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13_ncr:1_{28496818-4445-40AE-A2EA-0F2B7968A58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MAGM-grasses" sheetId="1" r:id="rId1"/>
    <sheet name="MAGM-SAV" sheetId="6" r:id="rId2"/>
    <sheet name="MAGM-hardwoods" sheetId="7" r:id="rId3"/>
    <sheet name="MAGM-typha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14" i="1"/>
  <c r="L5" i="1"/>
  <c r="G8" i="1"/>
  <c r="G11" i="1"/>
  <c r="G14" i="1"/>
  <c r="D1" i="1"/>
  <c r="D1" i="6"/>
  <c r="G11" i="6"/>
  <c r="G8" i="6"/>
  <c r="D1" i="3"/>
  <c r="J38" i="3"/>
  <c r="I38" i="3"/>
  <c r="H38" i="3"/>
  <c r="G38" i="3"/>
  <c r="J35" i="3"/>
  <c r="I35" i="3"/>
  <c r="H35" i="3"/>
  <c r="G35" i="3"/>
  <c r="J32" i="3"/>
  <c r="I32" i="3"/>
  <c r="H32" i="3"/>
  <c r="G32" i="3"/>
  <c r="J26" i="3"/>
  <c r="I26" i="3"/>
  <c r="H26" i="3"/>
  <c r="G26" i="3"/>
  <c r="J23" i="3"/>
  <c r="I23" i="3"/>
  <c r="H23" i="3"/>
  <c r="G23" i="3"/>
  <c r="J20" i="3"/>
  <c r="I20" i="3"/>
  <c r="H20" i="3"/>
  <c r="G20" i="3"/>
  <c r="J8" i="3"/>
  <c r="O15" i="3"/>
  <c r="I8" i="3"/>
  <c r="N15" i="3"/>
  <c r="H8" i="3"/>
  <c r="H11" i="3"/>
  <c r="H14" i="3"/>
  <c r="M15" i="3"/>
  <c r="G8" i="3"/>
  <c r="G11" i="3"/>
  <c r="G14" i="3"/>
  <c r="L15" i="3"/>
  <c r="O14" i="3"/>
  <c r="N14" i="3"/>
  <c r="M14" i="3"/>
  <c r="L14" i="3"/>
  <c r="J14" i="3"/>
  <c r="I14" i="3"/>
  <c r="J11" i="3"/>
  <c r="I11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J38" i="6"/>
  <c r="I38" i="6"/>
  <c r="H38" i="6"/>
  <c r="G38" i="6"/>
  <c r="J35" i="6"/>
  <c r="I35" i="6"/>
  <c r="H35" i="6"/>
  <c r="G35" i="6"/>
  <c r="J32" i="6"/>
  <c r="I32" i="6"/>
  <c r="H32" i="6"/>
  <c r="G32" i="6"/>
  <c r="J26" i="6"/>
  <c r="I26" i="6"/>
  <c r="H26" i="6"/>
  <c r="G26" i="6"/>
  <c r="J23" i="6"/>
  <c r="I23" i="6"/>
  <c r="H23" i="6"/>
  <c r="G23" i="6"/>
  <c r="J20" i="6"/>
  <c r="I20" i="6"/>
  <c r="H20" i="6"/>
  <c r="G20" i="6"/>
  <c r="J8" i="6"/>
  <c r="O15" i="6"/>
  <c r="I8" i="6"/>
  <c r="N15" i="6"/>
  <c r="H8" i="6"/>
  <c r="H11" i="6"/>
  <c r="H14" i="6"/>
  <c r="M15" i="6"/>
  <c r="G14" i="6"/>
  <c r="L15" i="6"/>
  <c r="O14" i="6"/>
  <c r="N14" i="6"/>
  <c r="M14" i="6"/>
  <c r="L14" i="6"/>
  <c r="J14" i="6"/>
  <c r="I14" i="6"/>
  <c r="J11" i="6"/>
  <c r="I11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D1" i="7"/>
  <c r="J38" i="7"/>
  <c r="I38" i="7"/>
  <c r="H38" i="7"/>
  <c r="G38" i="7"/>
  <c r="J35" i="7"/>
  <c r="I35" i="7"/>
  <c r="H35" i="7"/>
  <c r="G35" i="7"/>
  <c r="J32" i="7"/>
  <c r="I32" i="7"/>
  <c r="H32" i="7"/>
  <c r="G32" i="7"/>
  <c r="J26" i="7"/>
  <c r="I26" i="7"/>
  <c r="H26" i="7"/>
  <c r="G26" i="7"/>
  <c r="J23" i="7"/>
  <c r="I23" i="7"/>
  <c r="H23" i="7"/>
  <c r="G23" i="7"/>
  <c r="J20" i="7"/>
  <c r="I20" i="7"/>
  <c r="H20" i="7"/>
  <c r="G20" i="7"/>
  <c r="J8" i="7"/>
  <c r="O15" i="7"/>
  <c r="I8" i="7"/>
  <c r="N15" i="7"/>
  <c r="H8" i="7"/>
  <c r="H11" i="7"/>
  <c r="H14" i="7"/>
  <c r="M15" i="7"/>
  <c r="G8" i="7"/>
  <c r="G11" i="7"/>
  <c r="G14" i="7"/>
  <c r="L15" i="7"/>
  <c r="O14" i="7"/>
  <c r="N14" i="7"/>
  <c r="M14" i="7"/>
  <c r="L14" i="7"/>
  <c r="J14" i="7"/>
  <c r="I14" i="7"/>
  <c r="J11" i="7"/>
  <c r="I11" i="7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B53" i="3"/>
  <c r="I60" i="3"/>
  <c r="H60" i="3"/>
  <c r="H53" i="3"/>
  <c r="G60" i="3"/>
  <c r="F60" i="3"/>
  <c r="E53" i="3"/>
  <c r="E60" i="3"/>
  <c r="D60" i="3"/>
  <c r="C60" i="3"/>
  <c r="B60" i="3"/>
  <c r="B44" i="3"/>
  <c r="B43" i="3"/>
  <c r="B46" i="3"/>
  <c r="B45" i="3"/>
  <c r="B47" i="3"/>
  <c r="B48" i="3"/>
  <c r="I59" i="3"/>
  <c r="H59" i="3"/>
  <c r="H44" i="3"/>
  <c r="H43" i="3"/>
  <c r="H46" i="3"/>
  <c r="H45" i="3"/>
  <c r="H47" i="3"/>
  <c r="H48" i="3"/>
  <c r="G59" i="3"/>
  <c r="F59" i="3"/>
  <c r="E44" i="3"/>
  <c r="E43" i="3"/>
  <c r="E46" i="3"/>
  <c r="E45" i="3"/>
  <c r="E47" i="3"/>
  <c r="E48" i="3"/>
  <c r="E59" i="3"/>
  <c r="D59" i="3"/>
  <c r="C59" i="3"/>
  <c r="B59" i="3"/>
  <c r="B51" i="3"/>
  <c r="B49" i="3"/>
  <c r="B50" i="3"/>
  <c r="B52" i="3"/>
  <c r="B54" i="3"/>
  <c r="I58" i="3"/>
  <c r="H58" i="3"/>
  <c r="H51" i="3"/>
  <c r="H49" i="3"/>
  <c r="H50" i="3"/>
  <c r="H52" i="3"/>
  <c r="H54" i="3"/>
  <c r="G58" i="3"/>
  <c r="F58" i="3"/>
  <c r="E51" i="3"/>
  <c r="E49" i="3"/>
  <c r="E50" i="3"/>
  <c r="E52" i="3"/>
  <c r="E54" i="3"/>
  <c r="E58" i="3"/>
  <c r="D58" i="3"/>
  <c r="C58" i="3"/>
  <c r="B58" i="3"/>
  <c r="I57" i="3"/>
  <c r="H57" i="3"/>
  <c r="G57" i="3"/>
  <c r="F57" i="3"/>
  <c r="E57" i="3"/>
  <c r="D57" i="3"/>
  <c r="C57" i="3"/>
  <c r="B57" i="3"/>
  <c r="B53" i="6"/>
  <c r="I60" i="6"/>
  <c r="H60" i="6"/>
  <c r="H53" i="6"/>
  <c r="G60" i="6"/>
  <c r="F60" i="6"/>
  <c r="E53" i="6"/>
  <c r="E60" i="6"/>
  <c r="D60" i="6"/>
  <c r="C60" i="6"/>
  <c r="B60" i="6"/>
  <c r="B44" i="6"/>
  <c r="B43" i="6"/>
  <c r="B46" i="6"/>
  <c r="B47" i="6"/>
  <c r="B45" i="6"/>
  <c r="B48" i="6"/>
  <c r="I59" i="6"/>
  <c r="H59" i="6"/>
  <c r="H44" i="6"/>
  <c r="H43" i="6"/>
  <c r="H46" i="6"/>
  <c r="H47" i="6"/>
  <c r="H45" i="6"/>
  <c r="H48" i="6"/>
  <c r="G59" i="6"/>
  <c r="F59" i="6"/>
  <c r="E44" i="6"/>
  <c r="E43" i="6"/>
  <c r="E46" i="6"/>
  <c r="E47" i="6"/>
  <c r="E45" i="6"/>
  <c r="E48" i="6"/>
  <c r="E59" i="6"/>
  <c r="D59" i="6"/>
  <c r="C59" i="6"/>
  <c r="B59" i="6"/>
  <c r="B51" i="6"/>
  <c r="B49" i="6"/>
  <c r="B50" i="6"/>
  <c r="B52" i="6"/>
  <c r="B54" i="6"/>
  <c r="I58" i="6"/>
  <c r="H58" i="6"/>
  <c r="H51" i="6"/>
  <c r="H49" i="6"/>
  <c r="H50" i="6"/>
  <c r="H52" i="6"/>
  <c r="H54" i="6"/>
  <c r="G58" i="6"/>
  <c r="F58" i="6"/>
  <c r="E51" i="6"/>
  <c r="E49" i="6"/>
  <c r="E50" i="6"/>
  <c r="E52" i="6"/>
  <c r="E54" i="6"/>
  <c r="E58" i="6"/>
  <c r="D58" i="6"/>
  <c r="C58" i="6"/>
  <c r="B58" i="6"/>
  <c r="I57" i="6"/>
  <c r="H57" i="6"/>
  <c r="G57" i="6"/>
  <c r="F57" i="6"/>
  <c r="E57" i="6"/>
  <c r="D57" i="6"/>
  <c r="C57" i="6"/>
  <c r="B57" i="6"/>
  <c r="J8" i="1"/>
  <c r="O15" i="1"/>
  <c r="O14" i="1"/>
  <c r="J32" i="1"/>
  <c r="O9" i="1"/>
  <c r="O8" i="1"/>
  <c r="J20" i="1"/>
  <c r="O7" i="1"/>
  <c r="O6" i="1"/>
  <c r="O5" i="1"/>
  <c r="O4" i="1"/>
  <c r="I8" i="1"/>
  <c r="N15" i="1"/>
  <c r="N14" i="1"/>
  <c r="I32" i="1"/>
  <c r="N9" i="1"/>
  <c r="N8" i="1"/>
  <c r="I20" i="1"/>
  <c r="N7" i="1"/>
  <c r="N6" i="1"/>
  <c r="N5" i="1"/>
  <c r="N4" i="1"/>
  <c r="H8" i="1"/>
  <c r="H11" i="1"/>
  <c r="H14" i="1"/>
  <c r="H20" i="1"/>
  <c r="H23" i="1"/>
  <c r="H26" i="1"/>
  <c r="H32" i="1"/>
  <c r="H35" i="1"/>
  <c r="H38" i="1"/>
  <c r="M15" i="1"/>
  <c r="M14" i="1"/>
  <c r="M9" i="1"/>
  <c r="M8" i="1"/>
  <c r="M7" i="1"/>
  <c r="M6" i="1"/>
  <c r="M5" i="1"/>
  <c r="M4" i="1"/>
  <c r="G20" i="1"/>
  <c r="G23" i="1"/>
  <c r="G26" i="1"/>
  <c r="G32" i="1"/>
  <c r="G35" i="1"/>
  <c r="G38" i="1"/>
  <c r="L15" i="1"/>
  <c r="L9" i="1"/>
  <c r="L8" i="1"/>
  <c r="L7" i="1"/>
  <c r="L6" i="1"/>
  <c r="J35" i="1"/>
  <c r="I38" i="1"/>
  <c r="I35" i="1"/>
  <c r="J26" i="1"/>
  <c r="J23" i="1"/>
  <c r="I26" i="1"/>
  <c r="I23" i="1"/>
  <c r="J14" i="1"/>
  <c r="J11" i="1"/>
  <c r="I14" i="1"/>
  <c r="I11" i="1"/>
  <c r="J44" i="3"/>
  <c r="I44" i="3"/>
  <c r="I43" i="3"/>
  <c r="I45" i="3"/>
  <c r="G44" i="3"/>
  <c r="F44" i="3"/>
  <c r="D44" i="3"/>
  <c r="D43" i="3"/>
  <c r="D45" i="3"/>
  <c r="C44" i="3"/>
  <c r="J43" i="3"/>
  <c r="G43" i="3"/>
  <c r="F43" i="3"/>
  <c r="C43" i="3"/>
  <c r="J44" i="6"/>
  <c r="J43" i="6"/>
  <c r="J45" i="6"/>
  <c r="I44" i="6"/>
  <c r="I43" i="6"/>
  <c r="I45" i="6"/>
  <c r="G44" i="6"/>
  <c r="F44" i="6"/>
  <c r="F43" i="6"/>
  <c r="F45" i="6"/>
  <c r="D44" i="6"/>
  <c r="D43" i="6"/>
  <c r="D45" i="6"/>
  <c r="C44" i="6"/>
  <c r="G43" i="6"/>
  <c r="C43" i="6"/>
  <c r="F45" i="3"/>
  <c r="J45" i="3"/>
  <c r="C45" i="6"/>
  <c r="G45" i="6"/>
  <c r="C45" i="3"/>
  <c r="G45" i="3"/>
  <c r="J38" i="1"/>
  <c r="F46" i="3"/>
  <c r="F47" i="3"/>
  <c r="F49" i="3"/>
  <c r="F50" i="3"/>
  <c r="D51" i="3"/>
  <c r="D53" i="3"/>
  <c r="G49" i="6"/>
  <c r="G50" i="6"/>
  <c r="G46" i="6"/>
  <c r="G47" i="6"/>
  <c r="C49" i="3"/>
  <c r="C50" i="3"/>
  <c r="C46" i="3"/>
  <c r="C47" i="3"/>
  <c r="C48" i="3"/>
  <c r="I51" i="6"/>
  <c r="I53" i="6"/>
  <c r="D47" i="3"/>
  <c r="D49" i="3"/>
  <c r="D50" i="3"/>
  <c r="D52" i="3"/>
  <c r="D46" i="3"/>
  <c r="F53" i="3"/>
  <c r="F51" i="3"/>
  <c r="J53" i="3"/>
  <c r="J51" i="3"/>
  <c r="J46" i="6"/>
  <c r="J47" i="6"/>
  <c r="J49" i="6"/>
  <c r="J50" i="6"/>
  <c r="F53" i="6"/>
  <c r="F51" i="6"/>
  <c r="J53" i="6"/>
  <c r="J51" i="6"/>
  <c r="J46" i="3"/>
  <c r="J47" i="3"/>
  <c r="J48" i="3"/>
  <c r="J49" i="3"/>
  <c r="J50" i="3"/>
  <c r="I47" i="6"/>
  <c r="I49" i="6"/>
  <c r="I50" i="6"/>
  <c r="I52" i="6"/>
  <c r="I46" i="6"/>
  <c r="D51" i="6"/>
  <c r="D53" i="6"/>
  <c r="G49" i="3"/>
  <c r="G50" i="3"/>
  <c r="G46" i="3"/>
  <c r="G47" i="3"/>
  <c r="I51" i="3"/>
  <c r="I53" i="3"/>
  <c r="F46" i="6"/>
  <c r="F47" i="6"/>
  <c r="F49" i="6"/>
  <c r="F50" i="6"/>
  <c r="F52" i="6"/>
  <c r="F54" i="6"/>
  <c r="I47" i="3"/>
  <c r="I49" i="3"/>
  <c r="I50" i="3"/>
  <c r="I52" i="3"/>
  <c r="I54" i="3"/>
  <c r="I46" i="3"/>
  <c r="I48" i="3"/>
  <c r="C53" i="3"/>
  <c r="C51" i="3"/>
  <c r="G53" i="3"/>
  <c r="G51" i="3"/>
  <c r="C49" i="6"/>
  <c r="C50" i="6"/>
  <c r="C46" i="6"/>
  <c r="C47" i="6"/>
  <c r="C48" i="6"/>
  <c r="D47" i="6"/>
  <c r="D49" i="6"/>
  <c r="D50" i="6"/>
  <c r="D46" i="6"/>
  <c r="C53" i="6"/>
  <c r="C51" i="6"/>
  <c r="G53" i="6"/>
  <c r="G51" i="6"/>
  <c r="F48" i="3"/>
  <c r="J52" i="3"/>
  <c r="J54" i="3"/>
  <c r="J48" i="6"/>
  <c r="D54" i="3"/>
  <c r="G48" i="3"/>
  <c r="F52" i="3"/>
  <c r="F54" i="3"/>
  <c r="D48" i="6"/>
  <c r="G52" i="3"/>
  <c r="G54" i="3"/>
  <c r="I48" i="6"/>
  <c r="J52" i="6"/>
  <c r="J54" i="6"/>
  <c r="D48" i="3"/>
  <c r="I54" i="6"/>
  <c r="G52" i="6"/>
  <c r="G54" i="6"/>
  <c r="F48" i="6"/>
  <c r="G48" i="6"/>
  <c r="D52" i="6"/>
  <c r="D54" i="6"/>
  <c r="C52" i="6"/>
  <c r="C54" i="6"/>
  <c r="C52" i="3"/>
  <c r="C54" i="3"/>
</calcChain>
</file>

<file path=xl/sharedStrings.xml><?xml version="1.0" encoding="utf-8"?>
<sst xmlns="http://schemas.openxmlformats.org/spreadsheetml/2006/main" count="335" uniqueCount="94">
  <si>
    <t>Dissolved gas summary</t>
  </si>
  <si>
    <t>Station</t>
  </si>
  <si>
    <t>Sample</t>
  </si>
  <si>
    <r>
      <t>O</t>
    </r>
    <r>
      <rPr>
        <vertAlign val="subscript"/>
        <sz val="10"/>
        <rFont val="Arial"/>
        <family val="2"/>
      </rPr>
      <t>2</t>
    </r>
  </si>
  <si>
    <r>
      <t>28</t>
    </r>
    <r>
      <rPr>
        <sz val="10"/>
        <rFont val="Arial"/>
        <family val="2"/>
      </rPr>
      <t>N</t>
    </r>
    <r>
      <rPr>
        <vertAlign val="subscript"/>
        <sz val="10"/>
        <rFont val="Arial"/>
        <family val="2"/>
      </rPr>
      <t>2</t>
    </r>
  </si>
  <si>
    <r>
      <t>29</t>
    </r>
    <r>
      <rPr>
        <sz val="10"/>
        <rFont val="Arial"/>
        <family val="2"/>
      </rPr>
      <t>N</t>
    </r>
    <r>
      <rPr>
        <vertAlign val="subscript"/>
        <sz val="10"/>
        <rFont val="Arial"/>
        <family val="2"/>
      </rPr>
      <t>2</t>
    </r>
  </si>
  <si>
    <r>
      <t>30</t>
    </r>
    <r>
      <rPr>
        <sz val="10"/>
        <rFont val="Arial"/>
        <family val="2"/>
      </rPr>
      <t>N</t>
    </r>
    <r>
      <rPr>
        <vertAlign val="subscript"/>
        <sz val="10"/>
        <rFont val="Arial"/>
        <family val="2"/>
      </rPr>
      <t>2</t>
    </r>
  </si>
  <si>
    <t>T0</t>
  </si>
  <si>
    <t>T1</t>
  </si>
  <si>
    <t>T2</t>
  </si>
  <si>
    <t>SE</t>
  </si>
  <si>
    <t>alpha</t>
  </si>
  <si>
    <t>beta</t>
  </si>
  <si>
    <t>f</t>
  </si>
  <si>
    <t>const</t>
  </si>
  <si>
    <t>NF</t>
  </si>
  <si>
    <t>DNF</t>
  </si>
  <si>
    <t>15DNF</t>
  </si>
  <si>
    <t>14DNF</t>
  </si>
  <si>
    <t>Tot DNF</t>
  </si>
  <si>
    <t>Avg</t>
  </si>
  <si>
    <t>InT0</t>
  </si>
  <si>
    <t>InT1</t>
  </si>
  <si>
    <t>InT2</t>
  </si>
  <si>
    <t>29:30</t>
  </si>
  <si>
    <t>A-1-T0</t>
  </si>
  <si>
    <t>A-2-T0</t>
  </si>
  <si>
    <t>A-1-T1</t>
  </si>
  <si>
    <t>A-2-T1</t>
  </si>
  <si>
    <t>A-1-T2</t>
  </si>
  <si>
    <t>A-2-T2</t>
  </si>
  <si>
    <t>N-1-T0</t>
  </si>
  <si>
    <t>N-2-T0</t>
  </si>
  <si>
    <t>N-1-T1</t>
  </si>
  <si>
    <t>N-2-T1</t>
  </si>
  <si>
    <t>N-1-T2</t>
  </si>
  <si>
    <t>N-2-T2</t>
  </si>
  <si>
    <t>A-3-T0</t>
  </si>
  <si>
    <t>A-3-T1</t>
  </si>
  <si>
    <t>A-3-T2</t>
  </si>
  <si>
    <t>N-3-T0</t>
  </si>
  <si>
    <t>N-3-T1</t>
  </si>
  <si>
    <t>N-3-T2</t>
  </si>
  <si>
    <r>
      <t>f</t>
    </r>
    <r>
      <rPr>
        <vertAlign val="superscript"/>
        <sz val="10"/>
        <color theme="0" tint="-0.249977111117893"/>
        <rFont val="Arial"/>
        <family val="2"/>
      </rPr>
      <t>2</t>
    </r>
  </si>
  <si>
    <r>
      <t>net N</t>
    </r>
    <r>
      <rPr>
        <vertAlign val="subscript"/>
        <sz val="10"/>
        <color theme="0" tint="-0.249977111117893"/>
        <rFont val="Arial"/>
        <family val="2"/>
      </rPr>
      <t>2</t>
    </r>
  </si>
  <si>
    <t>*No Isotopic amendments</t>
  </si>
  <si>
    <t>*No isotopic amendments</t>
  </si>
  <si>
    <t>Site</t>
  </si>
  <si>
    <t>Sampling Date</t>
  </si>
  <si>
    <t>ml/min</t>
  </si>
  <si>
    <t>Avg flow rate:</t>
  </si>
  <si>
    <t>Site 2</t>
  </si>
  <si>
    <t>Site 3</t>
  </si>
  <si>
    <t>*All controls - No istotopic amendments</t>
  </si>
  <si>
    <r>
      <t>= flow rate (in L h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>)/core surface area (0.0045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</si>
  <si>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Site 4</t>
  </si>
  <si>
    <t>Site 1</t>
  </si>
  <si>
    <t>1T0</t>
  </si>
  <si>
    <t>2T0</t>
  </si>
  <si>
    <t>3T0</t>
  </si>
  <si>
    <t>1T1</t>
  </si>
  <si>
    <t>2T1</t>
  </si>
  <si>
    <t>3T1</t>
  </si>
  <si>
    <t>1T2</t>
  </si>
  <si>
    <t>2T2</t>
  </si>
  <si>
    <t>3T2</t>
  </si>
  <si>
    <t>MAGM</t>
  </si>
  <si>
    <t>4T0</t>
  </si>
  <si>
    <t>5T0</t>
  </si>
  <si>
    <t>6T0</t>
  </si>
  <si>
    <t>4T1</t>
  </si>
  <si>
    <t>5T1</t>
  </si>
  <si>
    <t>6T1</t>
  </si>
  <si>
    <t>4T2</t>
  </si>
  <si>
    <t>5T2</t>
  </si>
  <si>
    <t>6T2</t>
  </si>
  <si>
    <t>7T0</t>
  </si>
  <si>
    <t>8T0</t>
  </si>
  <si>
    <t>9T0</t>
  </si>
  <si>
    <t>7T1</t>
  </si>
  <si>
    <t>8T1</t>
  </si>
  <si>
    <t>9T1</t>
  </si>
  <si>
    <t>7T2</t>
  </si>
  <si>
    <t>8T2</t>
  </si>
  <si>
    <t>9T2</t>
  </si>
  <si>
    <t>10T0</t>
  </si>
  <si>
    <t>11T0</t>
  </si>
  <si>
    <t>12T0</t>
  </si>
  <si>
    <t>10T1</t>
  </si>
  <si>
    <t>11T1</t>
  </si>
  <si>
    <t>12T1</t>
  </si>
  <si>
    <t>10T2</t>
  </si>
  <si>
    <t>11T2</t>
  </si>
  <si>
    <t>12T2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</si>
</sst>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0"/>
      <name val="Arial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249977111117893"/>
      <name val="Arial"/>
      <family val="2"/>
    </font>
    <font>
      <vertAlign val="superscript"/>
      <sz val="10"/>
      <color theme="0" tint="-0.249977111117893"/>
      <name val="Arial"/>
      <family val="2"/>
    </font>
    <font>
      <vertAlign val="subscript"/>
      <sz val="10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0" xfId="0" applyNumberFormat="1"/>
    <xf numFmtId="0" fontId="4" fillId="0" borderId="0" xfId="0" applyFont="1"/>
    <xf numFmtId="0" fontId="4" fillId="0" borderId="3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quotePrefix="1" applyFont="1"/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20" fontId="0" fillId="0" borderId="0" xfId="0" applyNumberFormat="1" applyAlignment="1">
      <alignment horizontal="center"/>
    </xf>
    <xf numFmtId="46" fontId="0" fillId="0" borderId="0" xfId="0" quotePrefix="1" applyNumberForma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0" fontId="6" fillId="0" borderId="3" xfId="0" applyFont="1" applyBorder="1"/>
    <xf numFmtId="165" fontId="6" fillId="0" borderId="0" xfId="0" applyNumberFormat="1" applyFont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2" fontId="6" fillId="0" borderId="3" xfId="0" applyNumberFormat="1" applyFont="1" applyBorder="1"/>
    <xf numFmtId="165" fontId="6" fillId="0" borderId="3" xfId="0" applyNumberFormat="1" applyFont="1" applyBorder="1"/>
    <xf numFmtId="2" fontId="6" fillId="0" borderId="0" xfId="0" applyNumberFormat="1" applyFont="1" applyAlignment="1">
      <alignment horizontal="center"/>
    </xf>
    <xf numFmtId="2" fontId="6" fillId="0" borderId="3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20" fontId="6" fillId="0" borderId="0" xfId="0" applyNumberFormat="1" applyFont="1" applyAlignment="1">
      <alignment horizontal="center"/>
    </xf>
    <xf numFmtId="46" fontId="6" fillId="0" borderId="0" xfId="0" quotePrefix="1" applyNumberFormat="1" applyFont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4" fillId="0" borderId="1" xfId="0" applyFont="1" applyBorder="1"/>
    <xf numFmtId="15" fontId="0" fillId="0" borderId="1" xfId="0" applyNumberFormat="1" applyBorder="1"/>
    <xf numFmtId="0" fontId="4" fillId="0" borderId="3" xfId="0" quotePrefix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2" fontId="0" fillId="3" borderId="0" xfId="0" applyNumberFormat="1" applyFill="1"/>
    <xf numFmtId="2" fontId="0" fillId="3" borderId="3" xfId="0" applyNumberFormat="1" applyFill="1" applyBorder="1"/>
    <xf numFmtId="0" fontId="0" fillId="3" borderId="0" xfId="0" applyFill="1"/>
    <xf numFmtId="0" fontId="0" fillId="3" borderId="3" xfId="0" applyFill="1" applyBorder="1"/>
    <xf numFmtId="2" fontId="0" fillId="3" borderId="1" xfId="0" applyNumberFormat="1" applyFill="1" applyBorder="1"/>
    <xf numFmtId="2" fontId="0" fillId="3" borderId="2" xfId="0" applyNumberFormat="1" applyFill="1" applyBorder="1"/>
    <xf numFmtId="165" fontId="0" fillId="3" borderId="0" xfId="0" applyNumberFormat="1" applyFill="1"/>
    <xf numFmtId="0" fontId="4" fillId="0" borderId="11" xfId="0" applyFon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zoomScaleNormal="100" workbookViewId="0">
      <selection activeCell="L4" sqref="L4"/>
    </sheetView>
  </sheetViews>
  <sheetFormatPr defaultColWidth="8.81640625" defaultRowHeight="12.5" x14ac:dyDescent="0.25"/>
  <cols>
    <col min="1" max="1" width="19.36328125" bestFit="1" customWidth="1"/>
    <col min="2" max="2" width="10.1796875" bestFit="1" customWidth="1"/>
    <col min="3" max="3" width="9.453125" bestFit="1" customWidth="1"/>
    <col min="4" max="4" width="11.1796875" bestFit="1" customWidth="1"/>
    <col min="5" max="5" width="10.453125" bestFit="1" customWidth="1"/>
    <col min="6" max="6" width="10.1796875" bestFit="1" customWidth="1"/>
    <col min="7" max="7" width="9.36328125" bestFit="1" customWidth="1"/>
    <col min="8" max="8" width="8.6328125" customWidth="1"/>
    <col min="9" max="9" width="8.453125" customWidth="1"/>
    <col min="10" max="10" width="8.81640625" customWidth="1"/>
    <col min="12" max="12" width="9.1796875" customWidth="1"/>
    <col min="13" max="13" width="8.453125" customWidth="1"/>
    <col min="15" max="15" width="7.453125" customWidth="1"/>
  </cols>
  <sheetData>
    <row r="1" spans="1:15" ht="14.5" x14ac:dyDescent="0.25">
      <c r="A1" t="s">
        <v>0</v>
      </c>
      <c r="D1" s="22">
        <f>(E2*60/1000)/0.0045</f>
        <v>14.933333333333337</v>
      </c>
      <c r="E1" s="19" t="s">
        <v>54</v>
      </c>
    </row>
    <row r="2" spans="1:15" x14ac:dyDescent="0.25">
      <c r="A2" s="16" t="s">
        <v>47</v>
      </c>
      <c r="B2" s="16" t="s">
        <v>66</v>
      </c>
      <c r="D2" s="16" t="s">
        <v>50</v>
      </c>
      <c r="E2">
        <v>1.1200000000000001</v>
      </c>
      <c r="F2" s="16" t="s">
        <v>49</v>
      </c>
    </row>
    <row r="3" spans="1:15" ht="16" x14ac:dyDescent="0.4">
      <c r="A3" s="56" t="s">
        <v>48</v>
      </c>
      <c r="B3" s="57">
        <v>20220712</v>
      </c>
      <c r="C3" s="1"/>
      <c r="D3" s="1"/>
      <c r="E3" s="1"/>
      <c r="F3" s="1"/>
      <c r="G3" s="1"/>
      <c r="H3" s="1"/>
      <c r="I3" s="1"/>
      <c r="J3" s="1"/>
      <c r="L3" s="2" t="s">
        <v>3</v>
      </c>
      <c r="M3" s="6" t="s">
        <v>4</v>
      </c>
      <c r="N3" s="6" t="s">
        <v>5</v>
      </c>
      <c r="O3" s="7" t="s">
        <v>6</v>
      </c>
    </row>
    <row r="4" spans="1:15" ht="16" x14ac:dyDescent="0.4">
      <c r="A4" s="5" t="s">
        <v>1</v>
      </c>
      <c r="B4" s="3" t="s">
        <v>2</v>
      </c>
      <c r="C4" s="2" t="s">
        <v>3</v>
      </c>
      <c r="D4" s="6" t="s">
        <v>4</v>
      </c>
      <c r="E4" s="6" t="s">
        <v>5</v>
      </c>
      <c r="F4" s="7" t="s">
        <v>6</v>
      </c>
      <c r="G4" s="2" t="s">
        <v>3</v>
      </c>
      <c r="H4" s="6" t="s">
        <v>4</v>
      </c>
      <c r="I4" s="6" t="s">
        <v>5</v>
      </c>
      <c r="J4" s="7" t="s">
        <v>6</v>
      </c>
      <c r="K4" t="s">
        <v>7</v>
      </c>
      <c r="L4" s="15">
        <f>AVERAGE(G8,G11,G14)</f>
        <v>-301.63537445137666</v>
      </c>
      <c r="M4" s="15">
        <f>AVERAGE(H8,H11,H14)</f>
        <v>-0.79437752693678088</v>
      </c>
      <c r="N4" s="70" t="e">
        <f>AVERAGE(I8,I11,I14)</f>
        <v>#DIV/0!</v>
      </c>
      <c r="O4" s="70" t="e">
        <f>AVERAGE(J8,J11,J14)</f>
        <v>#DIV/0!</v>
      </c>
    </row>
    <row r="5" spans="1:15" x14ac:dyDescent="0.25">
      <c r="A5" s="17" t="s">
        <v>56</v>
      </c>
      <c r="B5" s="4" t="s">
        <v>21</v>
      </c>
      <c r="C5" s="12">
        <v>230.54687974026169</v>
      </c>
      <c r="D5" s="12">
        <v>534.57746026831762</v>
      </c>
      <c r="E5" s="60"/>
      <c r="F5" s="61"/>
      <c r="G5" s="8"/>
      <c r="H5" s="8"/>
      <c r="I5" s="64"/>
      <c r="J5" s="65"/>
      <c r="K5" t="s">
        <v>10</v>
      </c>
      <c r="L5" s="15">
        <f>STDEV(G8,G11,G14)/SQRT(3)</f>
        <v>282.39913545110159</v>
      </c>
      <c r="M5" s="15">
        <f>STDEV(H8,H11,H14)/SQRT(3)</f>
        <v>3.2892114805339236</v>
      </c>
      <c r="N5" s="70" t="e">
        <f>STDEV(I8,I11,I14)/SQRT(3)</f>
        <v>#DIV/0!</v>
      </c>
      <c r="O5" s="70" t="e">
        <f>STDEV(J8,J11,J14)/SQRT(3)</f>
        <v>#DIV/0!</v>
      </c>
    </row>
    <row r="6" spans="1:15" x14ac:dyDescent="0.25">
      <c r="A6" s="58"/>
      <c r="B6" s="4" t="s">
        <v>21</v>
      </c>
      <c r="C6" s="12"/>
      <c r="D6" s="12"/>
      <c r="E6" s="60"/>
      <c r="F6" s="61"/>
      <c r="G6" s="8"/>
      <c r="H6" s="8"/>
      <c r="I6" s="64"/>
      <c r="J6" s="65"/>
      <c r="K6" t="s">
        <v>8</v>
      </c>
      <c r="L6" s="15">
        <f>AVERAGE(G20,G23,G26)</f>
        <v>-753.63861042982683</v>
      </c>
      <c r="M6" s="15">
        <f>AVERAGE(H20,H23,H26)</f>
        <v>-1.2779629124220975</v>
      </c>
      <c r="N6" s="70" t="e">
        <f>AVERAGE(I20,I23,I26)</f>
        <v>#DIV/0!</v>
      </c>
      <c r="O6" s="70" t="e">
        <f>AVERAGE(J20,J23,J26)</f>
        <v>#DIV/0!</v>
      </c>
    </row>
    <row r="7" spans="1:15" x14ac:dyDescent="0.25">
      <c r="A7" s="4"/>
      <c r="B7" s="4" t="s">
        <v>21</v>
      </c>
      <c r="C7" s="12"/>
      <c r="D7" s="12"/>
      <c r="E7" s="60"/>
      <c r="F7" s="61"/>
      <c r="G7" s="8"/>
      <c r="H7" s="8"/>
      <c r="I7" s="64"/>
      <c r="J7" s="65"/>
      <c r="K7" t="s">
        <v>10</v>
      </c>
      <c r="L7" s="15">
        <f>STDEV(G20,G23,G26)/SQRT(3)</f>
        <v>319.223318225789</v>
      </c>
      <c r="M7" s="15">
        <f>STDEV(H20,H23,H26)/SQRT(3)</f>
        <v>20.111755782854221</v>
      </c>
      <c r="N7" s="70" t="e">
        <f>STDEV(I20,I23,I26)/SQRT(3)</f>
        <v>#DIV/0!</v>
      </c>
      <c r="O7" s="70" t="e">
        <f>STDEV(J20,J23,J26)/SQRT(3)</f>
        <v>#DIV/0!</v>
      </c>
    </row>
    <row r="8" spans="1:15" x14ac:dyDescent="0.25">
      <c r="A8" s="4"/>
      <c r="B8" s="17" t="s">
        <v>57</v>
      </c>
      <c r="C8" s="12">
        <v>173.98309400858611</v>
      </c>
      <c r="D8" s="12">
        <v>534.96321614836972</v>
      </c>
      <c r="E8" s="60"/>
      <c r="F8" s="61"/>
      <c r="G8" s="8">
        <f>(AVERAGE(C8:C10)-AVERAGE(C5:C7))*$D$1</f>
        <v>-844.68586692635552</v>
      </c>
      <c r="H8" s="8">
        <f>(AVERAGE(D8:D10)-AVERAGE(D5:D7))*$D$1</f>
        <v>5.7606211421113906</v>
      </c>
      <c r="I8" s="64" t="e">
        <f>(AVERAGE(E8:E10)-AVERAGE(E5:E7))*$D$1</f>
        <v>#DIV/0!</v>
      </c>
      <c r="J8" s="65" t="e">
        <f>(AVERAGE(F8:F10)-AVERAGE(F5:F7))*$D$1</f>
        <v>#DIV/0!</v>
      </c>
      <c r="K8" t="s">
        <v>9</v>
      </c>
      <c r="L8" s="15">
        <f>AVERAGE(G32,G35,G38)</f>
        <v>-434.81294092591634</v>
      </c>
      <c r="M8" s="15">
        <f>AVERAGE(H32,H35,H38)</f>
        <v>17.208454578232022</v>
      </c>
      <c r="N8" s="70" t="e">
        <f>AVERAGE(I32,I35,I38)</f>
        <v>#DIV/0!</v>
      </c>
      <c r="O8" s="70" t="e">
        <f>AVERAGE(J32,J35,J38)</f>
        <v>#DIV/0!</v>
      </c>
    </row>
    <row r="9" spans="1:15" x14ac:dyDescent="0.25">
      <c r="A9" s="4"/>
      <c r="B9" s="17" t="s">
        <v>57</v>
      </c>
      <c r="C9" s="12"/>
      <c r="D9" s="12"/>
      <c r="E9" s="60"/>
      <c r="F9" s="61"/>
      <c r="I9" s="66"/>
      <c r="J9" s="67"/>
      <c r="K9" t="s">
        <v>10</v>
      </c>
      <c r="L9" s="15">
        <f>STDEV(G32,G35,G38)/SQRT(3)</f>
        <v>343.67278404955891</v>
      </c>
      <c r="M9" s="15">
        <f>STDEV(H32,H35,H38)/SQRT(3)</f>
        <v>38.779078988518599</v>
      </c>
      <c r="N9" s="70" t="e">
        <f>STDEV(I32,I35,I38)/SQRT(3)</f>
        <v>#DIV/0!</v>
      </c>
      <c r="O9" s="70" t="e">
        <f>STDEV(J32,J35,J38)/SQRT(3)</f>
        <v>#DIV/0!</v>
      </c>
    </row>
    <row r="10" spans="1:15" x14ac:dyDescent="0.25">
      <c r="A10" s="4"/>
      <c r="B10" s="17" t="s">
        <v>57</v>
      </c>
      <c r="C10" s="12"/>
      <c r="D10" s="12"/>
      <c r="E10" s="60"/>
      <c r="F10" s="61"/>
      <c r="G10" s="8"/>
      <c r="H10" s="8"/>
      <c r="I10" s="64"/>
      <c r="J10" s="65"/>
      <c r="L10" s="8"/>
      <c r="M10" s="8"/>
      <c r="N10" s="70"/>
      <c r="O10" s="64"/>
    </row>
    <row r="11" spans="1:15" x14ac:dyDescent="0.25">
      <c r="A11" s="4"/>
      <c r="B11" s="17" t="s">
        <v>58</v>
      </c>
      <c r="C11" s="12">
        <v>219.52893815890172</v>
      </c>
      <c r="D11" s="12">
        <v>534.33695586834108</v>
      </c>
      <c r="E11" s="60"/>
      <c r="F11" s="61"/>
      <c r="G11" s="8">
        <f>(AVERAGE(C11:C13)-AVERAGE(C5:C7))*$D$1</f>
        <v>-164.53459428164217</v>
      </c>
      <c r="H11" s="8">
        <f>(AVERAGE(D11:D13)-AVERAGE(D5:D7))*$D$1</f>
        <v>-3.5915323729830568</v>
      </c>
      <c r="I11" s="64" t="e">
        <f>(AVERAGE(E11:E13)-AVERAGE(E5:E7))*$D$1</f>
        <v>#DIV/0!</v>
      </c>
      <c r="J11" s="65" t="e">
        <f>(AVERAGE(F11:F13)-AVERAGE(F5:F7))*$D$1</f>
        <v>#DIV/0!</v>
      </c>
      <c r="L11" s="8"/>
      <c r="M11" s="8"/>
      <c r="N11" s="70"/>
      <c r="O11" s="64"/>
    </row>
    <row r="12" spans="1:15" x14ac:dyDescent="0.25">
      <c r="A12" s="4"/>
      <c r="B12" s="17" t="s">
        <v>58</v>
      </c>
      <c r="C12" s="12"/>
      <c r="D12" s="12"/>
      <c r="E12" s="60"/>
      <c r="F12" s="61"/>
      <c r="I12" s="66"/>
      <c r="J12" s="67"/>
      <c r="L12" s="8"/>
      <c r="M12" s="8"/>
      <c r="N12" s="64"/>
      <c r="O12" s="70"/>
    </row>
    <row r="13" spans="1:15" x14ac:dyDescent="0.25">
      <c r="A13" s="4"/>
      <c r="B13" s="17" t="s">
        <v>58</v>
      </c>
      <c r="C13" s="12"/>
      <c r="D13" s="12"/>
      <c r="E13" s="60"/>
      <c r="F13" s="61"/>
      <c r="G13" s="8"/>
      <c r="H13" s="8"/>
      <c r="I13" s="64"/>
      <c r="J13" s="65"/>
      <c r="N13" s="66"/>
      <c r="O13" s="66"/>
    </row>
    <row r="14" spans="1:15" x14ac:dyDescent="0.25">
      <c r="A14" s="4"/>
      <c r="B14" s="17" t="s">
        <v>59</v>
      </c>
      <c r="C14" s="12">
        <v>237.53221486440461</v>
      </c>
      <c r="D14" s="12">
        <v>534.27262401720566</v>
      </c>
      <c r="E14" s="60"/>
      <c r="F14" s="61"/>
      <c r="G14" s="8">
        <f>(AVERAGE(C14:C16)-AVERAGE(C5:C7))*$D$1</f>
        <v>104.31433785386764</v>
      </c>
      <c r="H14" s="8">
        <f>(AVERAGE(D14:D16)-AVERAGE(D5:D7))*$D$1</f>
        <v>-4.5522213499386766</v>
      </c>
      <c r="I14" s="64" t="e">
        <f>(AVERAGE(E14:E16)-AVERAGE(E5:E7))*$D$1</f>
        <v>#DIV/0!</v>
      </c>
      <c r="J14" s="65" t="e">
        <f>(AVERAGE(F14:F16)-AVERAGE(F5:F7))*$D$1</f>
        <v>#DIV/0!</v>
      </c>
      <c r="K14" t="s">
        <v>20</v>
      </c>
      <c r="L14" s="8">
        <f>AVERAGE(G8,G11,G14,G20,G23,G26,G32,G35,G38)</f>
        <v>-496.69564193570682</v>
      </c>
      <c r="M14" s="8">
        <f>AVERAGE(H8,H11,H14,H20,H23,H26,H32,H35,H38)</f>
        <v>5.0453713796243811</v>
      </c>
      <c r="N14" s="64" t="e">
        <f>AVERAGE(I8,I11,I14,I20,I23,I26,I32,I35,I38)</f>
        <v>#DIV/0!</v>
      </c>
      <c r="O14" s="70" t="e">
        <f>AVERAGE(J8,J11,J14,J20,J23, J26,J32,J35,J38)</f>
        <v>#DIV/0!</v>
      </c>
    </row>
    <row r="15" spans="1:15" x14ac:dyDescent="0.25">
      <c r="A15" s="4"/>
      <c r="B15" s="17" t="s">
        <v>59</v>
      </c>
      <c r="C15" s="12"/>
      <c r="D15" s="12"/>
      <c r="E15" s="60"/>
      <c r="F15" s="61"/>
      <c r="I15" s="66"/>
      <c r="J15" s="67"/>
      <c r="K15" t="s">
        <v>10</v>
      </c>
      <c r="L15" s="8">
        <f>STDEV(G8,G11,G14,G20,G23,G26,G32,G35,G38)/SQRT(9)</f>
        <v>171.68590845541542</v>
      </c>
      <c r="M15" s="8">
        <f>STDEV(H8,H11,H14,H20,H23,H26,H32,H35,H38)/SQRT(9)</f>
        <v>13.006833166996822</v>
      </c>
      <c r="N15" s="64" t="e">
        <f>STDEV(I8,I11,I14,I20,I23,I26,I32,I35,I38)/SQRT(9)</f>
        <v>#DIV/0!</v>
      </c>
      <c r="O15" s="70" t="e">
        <f>STDEV(J8,J11,J14,J20,J23,J26,J32,J35,J38)/SQRT(9)</f>
        <v>#DIV/0!</v>
      </c>
    </row>
    <row r="16" spans="1:15" x14ac:dyDescent="0.25">
      <c r="A16" s="4"/>
      <c r="B16" s="17" t="s">
        <v>59</v>
      </c>
      <c r="C16" s="13"/>
      <c r="D16" s="13"/>
      <c r="E16" s="62"/>
      <c r="F16" s="63"/>
      <c r="G16" s="9"/>
      <c r="H16" s="9"/>
      <c r="I16" s="68"/>
      <c r="J16" s="69"/>
      <c r="N16" s="71" t="s">
        <v>53</v>
      </c>
    </row>
    <row r="17" spans="1:10" x14ac:dyDescent="0.25">
      <c r="A17" s="4"/>
      <c r="B17" s="4" t="s">
        <v>22</v>
      </c>
      <c r="C17" s="12">
        <v>233.82496476964661</v>
      </c>
      <c r="D17" s="12">
        <v>530.87001444406849</v>
      </c>
      <c r="E17" s="60"/>
      <c r="F17" s="61"/>
      <c r="G17" s="8"/>
      <c r="H17" s="8"/>
      <c r="I17" s="64"/>
      <c r="J17" s="65"/>
    </row>
    <row r="18" spans="1:10" x14ac:dyDescent="0.25">
      <c r="A18" s="4"/>
      <c r="B18" s="4" t="s">
        <v>22</v>
      </c>
      <c r="C18" s="12"/>
      <c r="D18" s="12"/>
      <c r="E18" s="60"/>
      <c r="F18" s="61"/>
      <c r="G18" s="8"/>
      <c r="H18" s="8"/>
      <c r="I18" s="64"/>
      <c r="J18" s="65"/>
    </row>
    <row r="19" spans="1:10" x14ac:dyDescent="0.25">
      <c r="A19" s="4"/>
      <c r="B19" s="4" t="s">
        <v>22</v>
      </c>
      <c r="C19" s="12"/>
      <c r="D19" s="12"/>
      <c r="E19" s="60"/>
      <c r="F19" s="61"/>
      <c r="G19" s="8"/>
      <c r="H19" s="8"/>
      <c r="I19" s="64"/>
      <c r="J19" s="65"/>
    </row>
    <row r="20" spans="1:10" x14ac:dyDescent="0.25">
      <c r="A20" s="4"/>
      <c r="B20" s="17" t="s">
        <v>60</v>
      </c>
      <c r="C20" s="12">
        <v>142.44633686263245</v>
      </c>
      <c r="D20" s="12">
        <v>528.58968425120599</v>
      </c>
      <c r="E20" s="60"/>
      <c r="F20" s="61"/>
      <c r="G20" s="8">
        <f>(AVERAGE(C20:C22)-AVERAGE(C17:C19))*$D$1</f>
        <v>-1364.5875100780786</v>
      </c>
      <c r="H20" s="8">
        <f>(AVERAGE(D20:D22)-AVERAGE(D17:D19))*$D$1</f>
        <v>-34.052930880079906</v>
      </c>
      <c r="I20" s="64" t="e">
        <f>(AVERAGE(E20:E22)-AVERAGE(E17:E19))*$D$1</f>
        <v>#DIV/0!</v>
      </c>
      <c r="J20" s="65" t="e">
        <f>(AVERAGE(F20:F22)-AVERAGE(F17:F19))*$D$1</f>
        <v>#DIV/0!</v>
      </c>
    </row>
    <row r="21" spans="1:10" x14ac:dyDescent="0.25">
      <c r="A21" s="4"/>
      <c r="B21" s="17" t="s">
        <v>60</v>
      </c>
      <c r="C21" s="12"/>
      <c r="D21" s="12"/>
      <c r="E21" s="60"/>
      <c r="F21" s="61"/>
      <c r="I21" s="66"/>
      <c r="J21" s="67"/>
    </row>
    <row r="22" spans="1:10" x14ac:dyDescent="0.25">
      <c r="A22" s="4"/>
      <c r="B22" s="17" t="s">
        <v>60</v>
      </c>
      <c r="C22" s="12"/>
      <c r="D22" s="12"/>
      <c r="E22" s="60"/>
      <c r="F22" s="61"/>
      <c r="G22" s="8"/>
      <c r="H22" s="8"/>
      <c r="I22" s="64"/>
      <c r="J22" s="65"/>
    </row>
    <row r="23" spans="1:10" x14ac:dyDescent="0.25">
      <c r="A23" s="4"/>
      <c r="B23" s="17" t="s">
        <v>61</v>
      </c>
      <c r="C23" s="12">
        <v>193.0648664371528</v>
      </c>
      <c r="D23" s="12">
        <v>530.52953323841541</v>
      </c>
      <c r="E23" s="60"/>
      <c r="F23" s="61"/>
      <c r="G23" s="8">
        <f>(AVERAGE(C23:C25)-AVERAGE(C17:C19))*$D$1</f>
        <v>-608.68413509857442</v>
      </c>
      <c r="H23" s="8">
        <f>(AVERAGE(D23:D25)-AVERAGE(D17:D19))*$D$1</f>
        <v>-5.0845193377526217</v>
      </c>
      <c r="I23" s="64" t="e">
        <f>(AVERAGE(E23:E25)-AVERAGE(E17:E19))*$D$1</f>
        <v>#DIV/0!</v>
      </c>
      <c r="J23" s="65" t="e">
        <f>(AVERAGE(F23:F25)-AVERAGE(F17:F19))*$D$1</f>
        <v>#DIV/0!</v>
      </c>
    </row>
    <row r="24" spans="1:10" x14ac:dyDescent="0.25">
      <c r="A24" s="4"/>
      <c r="B24" s="17" t="s">
        <v>61</v>
      </c>
      <c r="C24" s="12"/>
      <c r="D24" s="12"/>
      <c r="E24" s="60"/>
      <c r="F24" s="61"/>
      <c r="I24" s="66"/>
      <c r="J24" s="67"/>
    </row>
    <row r="25" spans="1:10" x14ac:dyDescent="0.25">
      <c r="A25" s="4"/>
      <c r="B25" s="17" t="s">
        <v>61</v>
      </c>
      <c r="C25" s="12"/>
      <c r="D25" s="12"/>
      <c r="E25" s="60"/>
      <c r="F25" s="61"/>
      <c r="G25" s="8"/>
      <c r="H25" s="8"/>
      <c r="I25" s="64"/>
      <c r="J25" s="65"/>
    </row>
    <row r="26" spans="1:10" x14ac:dyDescent="0.25">
      <c r="A26" s="4"/>
      <c r="B26" s="17" t="s">
        <v>62</v>
      </c>
      <c r="C26" s="12">
        <v>214.56307730673404</v>
      </c>
      <c r="D26" s="12">
        <v>533.23409222178498</v>
      </c>
      <c r="E26" s="60"/>
      <c r="F26" s="61"/>
      <c r="G26" s="8">
        <f>(AVERAGE(C26:C28)-AVERAGE(C17:C19))*$D$1</f>
        <v>-287.64418611282775</v>
      </c>
      <c r="H26" s="8">
        <f>(AVERAGE(D26:D28)-AVERAGE(D17:D19))*$D$1</f>
        <v>35.303561480566238</v>
      </c>
      <c r="I26" s="64" t="e">
        <f>(AVERAGE(E26:E28)-AVERAGE(E17:E19))*$D$1</f>
        <v>#DIV/0!</v>
      </c>
      <c r="J26" s="65" t="e">
        <f>(AVERAGE(F26:F28)-AVERAGE(F17:F19))*$D$1</f>
        <v>#DIV/0!</v>
      </c>
    </row>
    <row r="27" spans="1:10" x14ac:dyDescent="0.25">
      <c r="A27" s="4"/>
      <c r="B27" s="17" t="s">
        <v>62</v>
      </c>
      <c r="C27" s="12"/>
      <c r="D27" s="12"/>
      <c r="E27" s="60"/>
      <c r="F27" s="61"/>
      <c r="I27" s="66"/>
      <c r="J27" s="67"/>
    </row>
    <row r="28" spans="1:10" x14ac:dyDescent="0.25">
      <c r="A28" s="4"/>
      <c r="B28" s="17" t="s">
        <v>62</v>
      </c>
      <c r="C28" s="14"/>
      <c r="D28" s="13"/>
      <c r="E28" s="62"/>
      <c r="F28" s="63"/>
      <c r="G28" s="9"/>
      <c r="H28" s="9"/>
      <c r="I28" s="68"/>
      <c r="J28" s="69"/>
    </row>
    <row r="29" spans="1:10" x14ac:dyDescent="0.25">
      <c r="A29" s="4"/>
      <c r="B29" s="4" t="s">
        <v>23</v>
      </c>
      <c r="C29" s="12">
        <v>176.05801722953211</v>
      </c>
      <c r="D29" s="12">
        <v>533.61904766030796</v>
      </c>
      <c r="E29" s="60"/>
      <c r="F29" s="61"/>
      <c r="G29" s="8"/>
      <c r="H29" s="8"/>
      <c r="I29" s="64"/>
      <c r="J29" s="65"/>
    </row>
    <row r="30" spans="1:10" x14ac:dyDescent="0.25">
      <c r="A30" s="11"/>
      <c r="B30" s="20" t="s">
        <v>23</v>
      </c>
      <c r="C30" s="12"/>
      <c r="D30" s="12"/>
      <c r="E30" s="60"/>
      <c r="F30" s="61"/>
      <c r="G30" s="8"/>
      <c r="H30" s="8"/>
      <c r="I30" s="64"/>
      <c r="J30" s="65"/>
    </row>
    <row r="31" spans="1:10" x14ac:dyDescent="0.25">
      <c r="A31" s="11"/>
      <c r="B31" s="20" t="s">
        <v>23</v>
      </c>
      <c r="C31" s="12"/>
      <c r="D31" s="12"/>
      <c r="E31" s="60"/>
      <c r="F31" s="61"/>
      <c r="G31" s="8"/>
      <c r="H31" s="8"/>
      <c r="I31" s="64"/>
      <c r="J31" s="65"/>
    </row>
    <row r="32" spans="1:10" x14ac:dyDescent="0.25">
      <c r="A32" s="11"/>
      <c r="B32" s="59" t="s">
        <v>63</v>
      </c>
      <c r="C32" s="12">
        <v>109.30794907473414</v>
      </c>
      <c r="D32" s="12">
        <v>532.36268390429007</v>
      </c>
      <c r="E32" s="60"/>
      <c r="F32" s="61"/>
      <c r="G32" s="8">
        <f>(AVERAGE(C32:C34)-AVERAGE(C29:C31))*$D$1</f>
        <v>-996.80101777831669</v>
      </c>
      <c r="H32" s="8">
        <f>(AVERAGE(D32:D34)-AVERAGE(D29:D31))*$D$1</f>
        <v>-18.761698756533836</v>
      </c>
      <c r="I32" s="64" t="e">
        <f>(AVERAGE(E32:E34)-AVERAGE(E29:E31))*$D$1</f>
        <v>#DIV/0!</v>
      </c>
      <c r="J32" s="65" t="e">
        <f>(AVERAGE(F32:F34)-AVERAGE(F29:F31))*$D$1</f>
        <v>#DIV/0!</v>
      </c>
    </row>
    <row r="33" spans="1:10" x14ac:dyDescent="0.25">
      <c r="A33" s="11"/>
      <c r="B33" s="59" t="s">
        <v>63</v>
      </c>
      <c r="C33" s="12"/>
      <c r="D33" s="12"/>
      <c r="E33" s="60"/>
      <c r="F33" s="61"/>
      <c r="I33" s="66"/>
      <c r="J33" s="67"/>
    </row>
    <row r="34" spans="1:10" x14ac:dyDescent="0.25">
      <c r="A34" s="11"/>
      <c r="B34" s="59" t="s">
        <v>63</v>
      </c>
      <c r="C34" s="12"/>
      <c r="D34" s="12"/>
      <c r="E34" s="60"/>
      <c r="F34" s="61"/>
      <c r="G34" s="8"/>
      <c r="H34" s="8"/>
      <c r="I34" s="64"/>
      <c r="J34" s="65"/>
    </row>
    <row r="35" spans="1:10" x14ac:dyDescent="0.25">
      <c r="A35" s="11"/>
      <c r="B35" s="59" t="s">
        <v>64</v>
      </c>
      <c r="C35" s="12">
        <v>142.80735119102914</v>
      </c>
      <c r="D35" s="12">
        <v>539.96058922228838</v>
      </c>
      <c r="E35" s="60"/>
      <c r="F35" s="61"/>
      <c r="G35" s="8">
        <f>(AVERAGE(C35:C37)-AVERAGE(C29:C31))*$D$1</f>
        <v>-496.54327950831117</v>
      </c>
      <c r="H35" s="8">
        <f>(AVERAGE(D35:D37)-AVERAGE(D29:D31))*$D$1</f>
        <v>94.700353992240977</v>
      </c>
      <c r="I35" s="64" t="e">
        <f>(AVERAGE(E35:E37)-AVERAGE(E29:E31))*$D$1</f>
        <v>#DIV/0!</v>
      </c>
      <c r="J35" s="65" t="e">
        <f>(AVERAGE(F35:F37)-AVERAGE(F29:F31))*$D$1</f>
        <v>#DIV/0!</v>
      </c>
    </row>
    <row r="36" spans="1:10" x14ac:dyDescent="0.25">
      <c r="A36" s="11"/>
      <c r="B36" s="59" t="s">
        <v>64</v>
      </c>
      <c r="C36" s="12"/>
      <c r="D36" s="12"/>
      <c r="E36" s="60"/>
      <c r="F36" s="61"/>
      <c r="I36" s="66"/>
      <c r="J36" s="67"/>
    </row>
    <row r="37" spans="1:10" x14ac:dyDescent="0.25">
      <c r="A37" s="11"/>
      <c r="B37" s="59" t="s">
        <v>64</v>
      </c>
      <c r="C37" s="12"/>
      <c r="D37" s="12"/>
      <c r="E37" s="60"/>
      <c r="F37" s="61"/>
      <c r="G37" s="8"/>
      <c r="H37" s="8"/>
      <c r="I37" s="64"/>
      <c r="J37" s="65"/>
    </row>
    <row r="38" spans="1:10" x14ac:dyDescent="0.25">
      <c r="A38" s="11"/>
      <c r="B38" s="59" t="s">
        <v>65</v>
      </c>
      <c r="C38" s="12">
        <v>188.70793739753739</v>
      </c>
      <c r="D38" s="12">
        <v>531.99092546157954</v>
      </c>
      <c r="E38" s="60"/>
      <c r="F38" s="61"/>
      <c r="G38" s="8">
        <f>(AVERAGE(C38:C40)-AVERAGE(C29:C31))*$D$1</f>
        <v>188.90547450887891</v>
      </c>
      <c r="H38" s="8">
        <f>(AVERAGE(D38:D40)-AVERAGE(D29:D31))*$D$1</f>
        <v>-24.313291501011076</v>
      </c>
      <c r="I38" s="64" t="e">
        <f>(AVERAGE(E38:E40)-AVERAGE(E29:E31))*$D$1</f>
        <v>#DIV/0!</v>
      </c>
      <c r="J38" s="65" t="e">
        <f>(AVERAGE(F38:F40)-AVERAGE(F29:F31))*$D$1</f>
        <v>#DIV/0!</v>
      </c>
    </row>
    <row r="39" spans="1:10" x14ac:dyDescent="0.25">
      <c r="A39" s="71"/>
      <c r="B39" s="59" t="s">
        <v>65</v>
      </c>
      <c r="C39" s="12"/>
      <c r="D39" s="12"/>
      <c r="E39" s="60"/>
      <c r="F39" s="61"/>
      <c r="I39" s="66"/>
      <c r="J39" s="67"/>
    </row>
    <row r="40" spans="1:10" x14ac:dyDescent="0.25">
      <c r="A40" s="72"/>
      <c r="B40" s="59" t="s">
        <v>65</v>
      </c>
      <c r="C40" s="13"/>
      <c r="D40" s="13"/>
      <c r="E40" s="62"/>
      <c r="F40" s="63"/>
      <c r="G40" s="9"/>
      <c r="H40" s="9"/>
      <c r="I40" s="68"/>
      <c r="J40" s="69"/>
    </row>
    <row r="41" spans="1:10" x14ac:dyDescent="0.25">
      <c r="B41" s="23"/>
      <c r="D41" s="23"/>
      <c r="E41" s="71" t="s">
        <v>53</v>
      </c>
      <c r="F41" s="23"/>
      <c r="I41" s="71" t="s">
        <v>53</v>
      </c>
    </row>
    <row r="42" spans="1:10" x14ac:dyDescent="0.25">
      <c r="A42" s="11"/>
      <c r="B42" s="24"/>
      <c r="D42" s="24"/>
      <c r="E42" s="24"/>
      <c r="F42" s="24"/>
      <c r="G42" s="24"/>
      <c r="H42" s="24"/>
      <c r="I42" s="24"/>
      <c r="J42" s="11"/>
    </row>
    <row r="43" spans="1:10" x14ac:dyDescent="0.25">
      <c r="A43" s="11"/>
      <c r="B43" s="11"/>
      <c r="C43" s="11"/>
      <c r="D43" s="11"/>
      <c r="E43" s="11"/>
      <c r="F43" s="11"/>
      <c r="G43" s="11"/>
      <c r="H43" s="11"/>
      <c r="I43" s="11"/>
    </row>
    <row r="44" spans="1:10" x14ac:dyDescent="0.25">
      <c r="A44" s="11"/>
      <c r="B44" s="11"/>
      <c r="C44" s="11"/>
      <c r="D44" s="11"/>
      <c r="E44" s="11"/>
      <c r="F44" s="11"/>
      <c r="G44" s="11"/>
      <c r="H44" s="11"/>
      <c r="I44" s="11"/>
    </row>
    <row r="45" spans="1:10" x14ac:dyDescent="0.25">
      <c r="A45" s="11"/>
      <c r="B45" s="11"/>
      <c r="C45" s="11"/>
      <c r="D45" s="11"/>
      <c r="E45" s="11"/>
      <c r="F45" s="11"/>
      <c r="G45" s="11"/>
      <c r="H45" s="11"/>
      <c r="I45" s="11"/>
    </row>
    <row r="46" spans="1:10" x14ac:dyDescent="0.25">
      <c r="A46" s="11"/>
      <c r="B46" s="11"/>
      <c r="C46" s="11"/>
      <c r="D46" s="11"/>
      <c r="E46" s="11"/>
      <c r="F46" s="11"/>
      <c r="G46" s="11"/>
      <c r="H46" s="11"/>
      <c r="I46" s="11"/>
    </row>
    <row r="47" spans="1:10" x14ac:dyDescent="0.25">
      <c r="A47" s="11"/>
      <c r="B47" s="11"/>
      <c r="C47" s="11"/>
      <c r="D47" s="11"/>
      <c r="E47" s="11"/>
      <c r="F47" s="11"/>
      <c r="G47" s="11"/>
      <c r="H47" s="11"/>
      <c r="I47" s="11"/>
    </row>
    <row r="48" spans="1:10" x14ac:dyDescent="0.25">
      <c r="A48" s="11"/>
      <c r="B48" s="11"/>
      <c r="C48" s="11"/>
      <c r="D48" s="11"/>
      <c r="E48" s="11"/>
      <c r="F48" s="11"/>
      <c r="G48" s="11"/>
      <c r="H48" s="11"/>
      <c r="I48" s="11"/>
    </row>
    <row r="49" spans="1:10" x14ac:dyDescent="0.25">
      <c r="A49" s="11"/>
      <c r="B49" s="18"/>
      <c r="C49" s="18"/>
      <c r="D49" s="18"/>
      <c r="E49" s="18"/>
      <c r="F49" s="18"/>
      <c r="G49" s="18"/>
      <c r="H49" s="18"/>
      <c r="I49" s="18"/>
      <c r="J49" s="8"/>
    </row>
    <row r="50" spans="1:10" x14ac:dyDescent="0.25">
      <c r="A50" s="11"/>
      <c r="B50" s="18"/>
      <c r="C50" s="18"/>
      <c r="D50" s="18"/>
      <c r="E50" s="18"/>
      <c r="F50" s="18"/>
      <c r="G50" s="18"/>
      <c r="H50" s="18"/>
      <c r="I50" s="18"/>
      <c r="J50" s="15"/>
    </row>
    <row r="51" spans="1:10" x14ac:dyDescent="0.25">
      <c r="A51" s="11"/>
      <c r="B51" s="21"/>
      <c r="C51" s="21"/>
      <c r="D51" s="21"/>
      <c r="E51" s="21"/>
      <c r="F51" s="21"/>
      <c r="G51" s="21"/>
      <c r="H51" s="21"/>
      <c r="I51" s="21"/>
    </row>
    <row r="52" spans="1:10" x14ac:dyDescent="0.25">
      <c r="A52" s="11"/>
      <c r="B52" s="21"/>
      <c r="C52" s="21"/>
      <c r="D52" s="21"/>
      <c r="E52" s="21"/>
      <c r="F52" s="21"/>
      <c r="G52" s="21"/>
      <c r="H52" s="21"/>
      <c r="I52" s="21"/>
      <c r="J52" s="15"/>
    </row>
    <row r="53" spans="1:10" x14ac:dyDescent="0.25">
      <c r="A53" s="25"/>
      <c r="B53" s="21"/>
      <c r="C53" s="21"/>
      <c r="D53" s="21"/>
      <c r="E53" s="21"/>
      <c r="F53" s="21"/>
      <c r="G53" s="21"/>
      <c r="H53" s="21"/>
      <c r="I53" s="21"/>
    </row>
    <row r="54" spans="1:10" x14ac:dyDescent="0.25">
      <c r="A54" s="26"/>
      <c r="B54" s="11"/>
      <c r="C54" s="11"/>
      <c r="D54" s="11"/>
      <c r="E54" s="11"/>
      <c r="F54" s="11"/>
      <c r="G54" s="11"/>
      <c r="H54" s="11"/>
      <c r="I54" s="11"/>
    </row>
    <row r="56" spans="1:10" x14ac:dyDescent="0.25">
      <c r="A56" s="11"/>
      <c r="B56" s="11"/>
      <c r="C56" s="11"/>
      <c r="D56" s="11"/>
      <c r="E56" s="11"/>
      <c r="F56" s="11"/>
      <c r="G56" s="11"/>
      <c r="H56" s="11"/>
    </row>
    <row r="57" spans="1:10" x14ac:dyDescent="0.25">
      <c r="A57" s="11"/>
      <c r="B57" s="18"/>
      <c r="C57" s="18"/>
      <c r="D57" s="18"/>
      <c r="E57" s="18"/>
      <c r="F57" s="18"/>
      <c r="G57" s="18"/>
      <c r="H57" s="18"/>
      <c r="I57" s="18"/>
    </row>
    <row r="58" spans="1:10" x14ac:dyDescent="0.25">
      <c r="A58" s="26"/>
      <c r="B58" s="18"/>
      <c r="C58" s="18"/>
      <c r="D58" s="18"/>
      <c r="E58" s="18"/>
      <c r="F58" s="18"/>
      <c r="G58" s="18"/>
      <c r="H58" s="18"/>
      <c r="I58" s="18"/>
    </row>
    <row r="59" spans="1:10" x14ac:dyDescent="0.25">
      <c r="A59" s="11"/>
      <c r="B59" s="18"/>
      <c r="C59" s="18"/>
      <c r="D59" s="18"/>
      <c r="E59" s="18"/>
      <c r="F59" s="18"/>
      <c r="G59" s="18"/>
      <c r="H59" s="18"/>
      <c r="I59" s="18"/>
    </row>
    <row r="60" spans="1:10" x14ac:dyDescent="0.25">
      <c r="A60" s="27"/>
      <c r="B60" s="18"/>
      <c r="C60" s="18"/>
      <c r="D60" s="18"/>
      <c r="E60" s="18"/>
      <c r="F60" s="18"/>
      <c r="G60" s="18"/>
      <c r="H60" s="18"/>
      <c r="I60" s="18"/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tabSelected="1" zoomScaleNormal="100" workbookViewId="0">
      <selection activeCell="M24" sqref="M24"/>
    </sheetView>
  </sheetViews>
  <sheetFormatPr defaultColWidth="8.81640625" defaultRowHeight="12.5" x14ac:dyDescent="0.25"/>
  <cols>
    <col min="1" max="1" width="19.36328125" bestFit="1" customWidth="1"/>
  </cols>
  <sheetData>
    <row r="1" spans="1:15" ht="14.5" x14ac:dyDescent="0.25">
      <c r="A1" t="s">
        <v>0</v>
      </c>
      <c r="D1" s="22">
        <f>(E2*60/1000)/0.0045</f>
        <v>14.933333333333337</v>
      </c>
      <c r="E1" s="19" t="s">
        <v>54</v>
      </c>
    </row>
    <row r="2" spans="1:15" x14ac:dyDescent="0.25">
      <c r="A2" s="16" t="s">
        <v>47</v>
      </c>
      <c r="B2" s="16"/>
      <c r="D2" s="16" t="s">
        <v>50</v>
      </c>
      <c r="E2">
        <v>1.1200000000000001</v>
      </c>
      <c r="F2" s="16" t="s">
        <v>49</v>
      </c>
    </row>
    <row r="3" spans="1:15" ht="16" x14ac:dyDescent="0.4">
      <c r="A3" s="56" t="s">
        <v>48</v>
      </c>
      <c r="B3" s="57"/>
      <c r="C3" s="1"/>
      <c r="D3" s="1"/>
      <c r="E3" s="1"/>
      <c r="F3" s="1"/>
      <c r="G3" s="1"/>
      <c r="H3" s="1"/>
      <c r="I3" s="1"/>
      <c r="J3" s="1"/>
      <c r="L3" s="2" t="s">
        <v>3</v>
      </c>
      <c r="M3" s="6" t="s">
        <v>4</v>
      </c>
      <c r="N3" s="6" t="s">
        <v>5</v>
      </c>
      <c r="O3" s="7" t="s">
        <v>6</v>
      </c>
    </row>
    <row r="4" spans="1:15" ht="16" x14ac:dyDescent="0.4">
      <c r="A4" s="5" t="s">
        <v>1</v>
      </c>
      <c r="B4" s="3" t="s">
        <v>2</v>
      </c>
      <c r="C4" s="2" t="s">
        <v>3</v>
      </c>
      <c r="D4" s="6" t="s">
        <v>4</v>
      </c>
      <c r="E4" s="6" t="s">
        <v>5</v>
      </c>
      <c r="F4" s="7" t="s">
        <v>6</v>
      </c>
      <c r="G4" s="2" t="s">
        <v>3</v>
      </c>
      <c r="H4" s="6" t="s">
        <v>4</v>
      </c>
      <c r="I4" s="6" t="s">
        <v>5</v>
      </c>
      <c r="J4" s="7" t="s">
        <v>6</v>
      </c>
      <c r="K4" t="s">
        <v>7</v>
      </c>
      <c r="L4" s="15">
        <f>AVERAGE(G8,G11,G14)</f>
        <v>-497.32439793100826</v>
      </c>
      <c r="M4" s="15">
        <f>AVERAGE(H8,H11,H14)</f>
        <v>-1.256036288866502</v>
      </c>
      <c r="N4" s="70" t="e">
        <f>AVERAGE(I8,I11,I14)</f>
        <v>#DIV/0!</v>
      </c>
      <c r="O4" s="70" t="e">
        <f>AVERAGE(J8,J11,J14)</f>
        <v>#DIV/0!</v>
      </c>
    </row>
    <row r="5" spans="1:15" x14ac:dyDescent="0.25">
      <c r="A5" s="17" t="s">
        <v>51</v>
      </c>
      <c r="B5" s="4" t="s">
        <v>21</v>
      </c>
      <c r="C5" s="12">
        <v>229.56512080996745</v>
      </c>
      <c r="D5" s="12">
        <v>534.79271049741055</v>
      </c>
      <c r="E5" s="60"/>
      <c r="F5" s="61"/>
      <c r="G5" s="8"/>
      <c r="H5" s="8"/>
      <c r="I5" s="64"/>
      <c r="J5" s="65"/>
      <c r="K5" t="s">
        <v>10</v>
      </c>
      <c r="L5" s="15">
        <f>STDEV(G8,G11,G14)/SQRT(3)</f>
        <v>20.099396124992708</v>
      </c>
      <c r="M5" s="15">
        <f>STDEV(H8,H11,H14)/SQRT(3)</f>
        <v>0.7143838076503336</v>
      </c>
      <c r="N5" s="70" t="e">
        <f>STDEV(I8,I11,I14)/SQRT(3)</f>
        <v>#DIV/0!</v>
      </c>
      <c r="O5" s="70" t="e">
        <f>STDEV(J8,J11,J14)/SQRT(3)</f>
        <v>#DIV/0!</v>
      </c>
    </row>
    <row r="6" spans="1:15" x14ac:dyDescent="0.25">
      <c r="A6" s="58"/>
      <c r="B6" s="4" t="s">
        <v>21</v>
      </c>
      <c r="D6" s="12"/>
      <c r="E6" s="60"/>
      <c r="F6" s="61"/>
      <c r="G6" s="8"/>
      <c r="H6" s="8"/>
      <c r="I6" s="64"/>
      <c r="J6" s="65"/>
      <c r="K6" t="s">
        <v>8</v>
      </c>
      <c r="L6" s="15">
        <f>AVERAGE(G20,G23,G26)</f>
        <v>-871.92704392800169</v>
      </c>
      <c r="M6" s="15">
        <f>AVERAGE(H20,H23,H26)</f>
        <v>5.0778551970585903</v>
      </c>
      <c r="N6" s="70" t="e">
        <f>AVERAGE(I20,I23,I26)</f>
        <v>#DIV/0!</v>
      </c>
      <c r="O6" s="70" t="e">
        <f>AVERAGE(J20,J23,J26)</f>
        <v>#DIV/0!</v>
      </c>
    </row>
    <row r="7" spans="1:15" x14ac:dyDescent="0.25">
      <c r="A7" s="4"/>
      <c r="B7" s="4" t="s">
        <v>21</v>
      </c>
      <c r="C7" s="12"/>
      <c r="D7" s="12"/>
      <c r="E7" s="60"/>
      <c r="F7" s="61"/>
      <c r="G7" s="8"/>
      <c r="H7" s="8"/>
      <c r="I7" s="64"/>
      <c r="J7" s="65"/>
      <c r="K7" t="s">
        <v>10</v>
      </c>
      <c r="L7" s="15">
        <f>STDEV(G20,G23,G26)/SQRT(3)</f>
        <v>86.522528296534915</v>
      </c>
      <c r="M7" s="15">
        <f>STDEV(H20,H23,H26)/SQRT(3)</f>
        <v>12.132032704372119</v>
      </c>
      <c r="N7" s="70" t="e">
        <f>STDEV(I20,I23,I26)/SQRT(3)</f>
        <v>#DIV/0!</v>
      </c>
      <c r="O7" s="70" t="e">
        <f>STDEV(J20,J23,J26)/SQRT(3)</f>
        <v>#DIV/0!</v>
      </c>
    </row>
    <row r="8" spans="1:15" x14ac:dyDescent="0.25">
      <c r="A8" s="4"/>
      <c r="B8" s="17" t="s">
        <v>67</v>
      </c>
      <c r="C8" s="12">
        <v>193.88981364243966</v>
      </c>
      <c r="D8" s="12">
        <v>534.69314571540406</v>
      </c>
      <c r="E8" s="60"/>
      <c r="F8" s="61"/>
      <c r="G8" s="8">
        <f>(AVERAGE(C8:C10)-AVERAGE(C5:C7))*$D$1</f>
        <v>-532.75125370174851</v>
      </c>
      <c r="H8" s="8">
        <f>(AVERAGE(D8:D10)-AVERAGE(D5:D7))*$D$1</f>
        <v>-1.4868340779636737</v>
      </c>
      <c r="I8" s="64" t="e">
        <f>(AVERAGE(E8:E10)-AVERAGE(E5:E7))*$D$1</f>
        <v>#DIV/0!</v>
      </c>
      <c r="J8" s="65" t="e">
        <f>(AVERAGE(F8:F10)-AVERAGE(F5:F7))*$D$1</f>
        <v>#DIV/0!</v>
      </c>
      <c r="K8" t="s">
        <v>9</v>
      </c>
      <c r="L8" s="15">
        <f>AVERAGE(G32,G35,G38)</f>
        <v>-944.26844876540133</v>
      </c>
      <c r="M8" s="15">
        <f>AVERAGE(H32,H35,H38)</f>
        <v>3.904706946823314</v>
      </c>
      <c r="N8" s="70" t="e">
        <f>AVERAGE(I32,I35,I38)</f>
        <v>#DIV/0!</v>
      </c>
      <c r="O8" s="70" t="e">
        <f>AVERAGE(J32,J35,J38)</f>
        <v>#DIV/0!</v>
      </c>
    </row>
    <row r="9" spans="1:15" x14ac:dyDescent="0.25">
      <c r="A9" s="4"/>
      <c r="B9" s="17" t="s">
        <v>67</v>
      </c>
      <c r="C9" s="12"/>
      <c r="D9" s="12"/>
      <c r="E9" s="60"/>
      <c r="F9" s="61"/>
      <c r="I9" s="66"/>
      <c r="J9" s="67"/>
      <c r="K9" t="s">
        <v>10</v>
      </c>
      <c r="L9" s="15">
        <f>STDEV(G32,G35,G38)/SQRT(3)</f>
        <v>278.38255762097327</v>
      </c>
      <c r="M9" s="15">
        <f>STDEV(H32,H35,H38)/SQRT(3)</f>
        <v>9.0527661063125588</v>
      </c>
      <c r="N9" s="70" t="e">
        <f>STDEV(I32,I35,I38)/SQRT(3)</f>
        <v>#DIV/0!</v>
      </c>
      <c r="O9" s="70" t="e">
        <f>STDEV(J32,J35,J38)/SQRT(3)</f>
        <v>#DIV/0!</v>
      </c>
    </row>
    <row r="10" spans="1:15" x14ac:dyDescent="0.25">
      <c r="A10" s="4"/>
      <c r="B10" s="17" t="s">
        <v>67</v>
      </c>
      <c r="C10" s="12"/>
      <c r="D10" s="12"/>
      <c r="E10" s="60"/>
      <c r="F10" s="61"/>
      <c r="G10" s="8"/>
      <c r="H10" s="8"/>
      <c r="I10" s="64"/>
      <c r="J10" s="65"/>
      <c r="L10" s="8"/>
      <c r="M10" s="8"/>
      <c r="N10" s="70"/>
      <c r="O10" s="64"/>
    </row>
    <row r="11" spans="1:15" x14ac:dyDescent="0.25">
      <c r="A11" s="4"/>
      <c r="B11" s="17" t="s">
        <v>68</v>
      </c>
      <c r="C11" s="12">
        <v>196.34663404786033</v>
      </c>
      <c r="D11" s="12">
        <v>534.79809852919391</v>
      </c>
      <c r="E11" s="60"/>
      <c r="F11" s="61"/>
      <c r="G11" s="8">
        <f>(AVERAGE(C11:C13)-AVERAGE(C5:C7))*$D$1</f>
        <v>-496.06273564746641</v>
      </c>
      <c r="H11" s="8">
        <f>(AVERAGE(D11:D13)-AVERAGE(D5:D7))*$D$1</f>
        <v>8.0461274631428159E-2</v>
      </c>
      <c r="I11" s="64" t="e">
        <f>(AVERAGE(E11:E13)-AVERAGE(E5:E7))*$D$1</f>
        <v>#DIV/0!</v>
      </c>
      <c r="J11" s="65" t="e">
        <f>(AVERAGE(F11:F13)-AVERAGE(F5:F7))*$D$1</f>
        <v>#DIV/0!</v>
      </c>
      <c r="L11" s="8"/>
      <c r="M11" s="8"/>
      <c r="N11" s="70"/>
      <c r="O11" s="64"/>
    </row>
    <row r="12" spans="1:15" x14ac:dyDescent="0.25">
      <c r="A12" s="4"/>
      <c r="B12" s="17" t="s">
        <v>68</v>
      </c>
      <c r="C12" s="12"/>
      <c r="D12" s="12"/>
      <c r="E12" s="60"/>
      <c r="F12" s="61"/>
      <c r="I12" s="66"/>
      <c r="J12" s="67"/>
      <c r="L12" s="8"/>
      <c r="M12" s="8"/>
      <c r="N12" s="64"/>
      <c r="O12" s="70"/>
    </row>
    <row r="13" spans="1:15" x14ac:dyDescent="0.25">
      <c r="A13" s="4"/>
      <c r="B13" s="17" t="s">
        <v>68</v>
      </c>
      <c r="C13" s="12"/>
      <c r="D13" s="12"/>
      <c r="E13" s="60"/>
      <c r="F13" s="61"/>
      <c r="G13" s="8"/>
      <c r="H13" s="8"/>
      <c r="I13" s="64"/>
      <c r="J13" s="65"/>
      <c r="N13" s="66"/>
      <c r="O13" s="66"/>
    </row>
    <row r="14" spans="1:15" x14ac:dyDescent="0.25">
      <c r="A14" s="4"/>
      <c r="B14" s="17" t="s">
        <v>69</v>
      </c>
      <c r="C14" s="12">
        <v>198.54999551239089</v>
      </c>
      <c r="D14" s="12">
        <v>534.63455852888819</v>
      </c>
      <c r="E14" s="60"/>
      <c r="F14" s="61"/>
      <c r="G14" s="8">
        <f>(AVERAGE(C14:C16)-AVERAGE(C5:C7))*$D$1</f>
        <v>-463.1592044438101</v>
      </c>
      <c r="H14" s="8">
        <f>(AVERAGE(D14:D16)-AVERAGE(D5:D7))*$D$1</f>
        <v>-2.3617360632672599</v>
      </c>
      <c r="I14" s="64" t="e">
        <f>(AVERAGE(E14:E16)-AVERAGE(E5:E7))*$D$1</f>
        <v>#DIV/0!</v>
      </c>
      <c r="J14" s="65" t="e">
        <f>(AVERAGE(F14:F16)-AVERAGE(F5:F7))*$D$1</f>
        <v>#DIV/0!</v>
      </c>
      <c r="K14" t="s">
        <v>20</v>
      </c>
      <c r="L14" s="8">
        <f>AVERAGE(G8,G11,G14,G20,G23,G26,G32,G35,G38)</f>
        <v>-771.17329687480367</v>
      </c>
      <c r="M14" s="8">
        <f>AVERAGE(H8,H11,H14,H20,H23,H26,H32,H35,H38)</f>
        <v>2.5755086183384677</v>
      </c>
      <c r="N14" s="64" t="e">
        <f>AVERAGE(I8,I11,I14,I20,I23,I26,I32,I35,I38)</f>
        <v>#DIV/0!</v>
      </c>
      <c r="O14" s="70" t="e">
        <f>AVERAGE(J8,J11,J14,J20,J23, J26,J32,J35,J38)</f>
        <v>#DIV/0!</v>
      </c>
    </row>
    <row r="15" spans="1:15" x14ac:dyDescent="0.25">
      <c r="A15" s="4"/>
      <c r="B15" s="17" t="s">
        <v>69</v>
      </c>
      <c r="C15" s="12"/>
      <c r="D15" s="12"/>
      <c r="E15" s="60"/>
      <c r="F15" s="61"/>
      <c r="I15" s="66"/>
      <c r="J15" s="67"/>
      <c r="K15" t="s">
        <v>10</v>
      </c>
      <c r="L15" s="8">
        <f>STDEV(G8,G11,G14,G20,G23,G26,G32,G35,G38)/SQRT(9)</f>
        <v>109.14066470920973</v>
      </c>
      <c r="M15" s="8">
        <f>STDEV(H8,H11,H14,H20,H23,H26,H32,H35,H38)/SQRT(9)</f>
        <v>4.4814781548278697</v>
      </c>
      <c r="N15" s="64" t="e">
        <f>STDEV(I8,I11,I14,I20,I23,I26,I32,I35,I38)/SQRT(9)</f>
        <v>#DIV/0!</v>
      </c>
      <c r="O15" s="70" t="e">
        <f>STDEV(J8,J11,J14,J20,J23,J26,J32,J35,J38)/SQRT(9)</f>
        <v>#DIV/0!</v>
      </c>
    </row>
    <row r="16" spans="1:15" x14ac:dyDescent="0.25">
      <c r="A16" s="4"/>
      <c r="B16" s="17" t="s">
        <v>69</v>
      </c>
      <c r="C16" s="13"/>
      <c r="D16" s="13"/>
      <c r="E16" s="62"/>
      <c r="F16" s="63"/>
      <c r="G16" s="9"/>
      <c r="H16" s="9"/>
      <c r="I16" s="68"/>
      <c r="J16" s="69"/>
      <c r="N16" s="71" t="s">
        <v>53</v>
      </c>
    </row>
    <row r="17" spans="1:10" x14ac:dyDescent="0.25">
      <c r="A17" s="4"/>
      <c r="B17" s="4" t="s">
        <v>22</v>
      </c>
      <c r="C17" s="12">
        <v>237.48910041913209</v>
      </c>
      <c r="D17" s="12">
        <v>532.94982012506705</v>
      </c>
      <c r="E17" s="60"/>
      <c r="F17" s="61"/>
      <c r="G17" s="8"/>
      <c r="H17" s="8"/>
      <c r="I17" s="64"/>
      <c r="J17" s="65"/>
    </row>
    <row r="18" spans="1:10" x14ac:dyDescent="0.25">
      <c r="A18" s="4"/>
      <c r="B18" s="4" t="s">
        <v>22</v>
      </c>
      <c r="C18" s="12"/>
      <c r="D18" s="12"/>
      <c r="E18" s="60"/>
      <c r="F18" s="61"/>
      <c r="G18" s="8"/>
      <c r="H18" s="8"/>
      <c r="I18" s="64"/>
      <c r="J18" s="65"/>
    </row>
    <row r="19" spans="1:10" x14ac:dyDescent="0.25">
      <c r="A19" s="4"/>
      <c r="B19" s="4" t="s">
        <v>22</v>
      </c>
      <c r="C19" s="12"/>
      <c r="D19" s="12"/>
      <c r="E19" s="60"/>
      <c r="F19" s="61"/>
      <c r="G19" s="8"/>
      <c r="H19" s="8"/>
      <c r="I19" s="64"/>
      <c r="J19" s="65"/>
    </row>
    <row r="20" spans="1:10" x14ac:dyDescent="0.25">
      <c r="A20" s="4"/>
      <c r="B20" s="17" t="s">
        <v>70</v>
      </c>
      <c r="C20" s="12">
        <v>168.52236913722803</v>
      </c>
      <c r="D20" s="12">
        <v>532.0490762265714</v>
      </c>
      <c r="E20" s="60"/>
      <c r="F20" s="61"/>
      <c r="G20" s="8">
        <f>(AVERAGE(C20:C22)-AVERAGE(C17:C19))*$D$1</f>
        <v>-1029.9031871431009</v>
      </c>
      <c r="H20" s="8">
        <f>(AVERAGE(D20:D22)-AVERAGE(D17:D19))*$D$1</f>
        <v>-13.45110888420168</v>
      </c>
      <c r="I20" s="64" t="e">
        <f>(AVERAGE(E20:E22)-AVERAGE(E17:E19))*$D$1</f>
        <v>#DIV/0!</v>
      </c>
      <c r="J20" s="65" t="e">
        <f>(AVERAGE(F20:F22)-AVERAGE(F17:F19))*$D$1</f>
        <v>#DIV/0!</v>
      </c>
    </row>
    <row r="21" spans="1:10" x14ac:dyDescent="0.25">
      <c r="A21" s="4"/>
      <c r="B21" s="17" t="s">
        <v>70</v>
      </c>
      <c r="C21" s="12"/>
      <c r="D21" s="12"/>
      <c r="E21" s="60"/>
      <c r="F21" s="61"/>
      <c r="I21" s="66"/>
      <c r="J21" s="67"/>
    </row>
    <row r="22" spans="1:10" x14ac:dyDescent="0.25">
      <c r="A22" s="4"/>
      <c r="B22" s="17" t="s">
        <v>70</v>
      </c>
      <c r="C22" s="12"/>
      <c r="D22" s="12"/>
      <c r="E22" s="60"/>
      <c r="F22" s="61"/>
      <c r="G22" s="8"/>
      <c r="H22" s="8"/>
      <c r="I22" s="64"/>
      <c r="J22" s="65"/>
    </row>
    <row r="23" spans="1:10" x14ac:dyDescent="0.25">
      <c r="A23" s="4"/>
      <c r="B23" s="17" t="s">
        <v>71</v>
      </c>
      <c r="C23" s="12">
        <v>180.29467076875153</v>
      </c>
      <c r="D23" s="12">
        <v>533.00173193176272</v>
      </c>
      <c r="E23" s="60"/>
      <c r="F23" s="61"/>
      <c r="G23" s="8">
        <f>(AVERAGE(C23:C25)-AVERAGE(C17:C19))*$D$1</f>
        <v>-854.10348277901653</v>
      </c>
      <c r="H23" s="8">
        <f>(AVERAGE(D23:D25)-AVERAGE(D17:D19))*$D$1</f>
        <v>0.77521631332201668</v>
      </c>
      <c r="I23" s="64" t="e">
        <f>(AVERAGE(E23:E25)-AVERAGE(E17:E19))*$D$1</f>
        <v>#DIV/0!</v>
      </c>
      <c r="J23" s="65" t="e">
        <f>(AVERAGE(F23:F25)-AVERAGE(F17:F19))*$D$1</f>
        <v>#DIV/0!</v>
      </c>
    </row>
    <row r="24" spans="1:10" x14ac:dyDescent="0.25">
      <c r="A24" s="4"/>
      <c r="B24" s="17" t="s">
        <v>71</v>
      </c>
      <c r="C24" s="12"/>
      <c r="D24" s="12"/>
      <c r="E24" s="60"/>
      <c r="F24" s="61"/>
      <c r="I24" s="66"/>
      <c r="J24" s="67"/>
    </row>
    <row r="25" spans="1:10" x14ac:dyDescent="0.25">
      <c r="A25" s="4"/>
      <c r="B25" s="17" t="s">
        <v>71</v>
      </c>
      <c r="C25" s="12"/>
      <c r="D25" s="12"/>
      <c r="E25" s="60"/>
      <c r="F25" s="61"/>
      <c r="G25" s="8"/>
      <c r="H25" s="8"/>
      <c r="I25" s="64"/>
      <c r="J25" s="65"/>
    </row>
    <row r="26" spans="1:10" x14ac:dyDescent="0.25">
      <c r="A26" s="4"/>
      <c r="B26" s="17" t="s">
        <v>72</v>
      </c>
      <c r="C26" s="12">
        <v>188.48634627659499</v>
      </c>
      <c r="D26" s="12">
        <v>534.81875705556183</v>
      </c>
      <c r="E26" s="60"/>
      <c r="F26" s="61"/>
      <c r="G26" s="8">
        <f>(AVERAGE(C26:C28)-AVERAGE(C17:C19))*$D$1</f>
        <v>-731.77446186188752</v>
      </c>
      <c r="H26" s="8">
        <f>(AVERAGE(D26:D28)-AVERAGE(D17:D19))*$D$1</f>
        <v>27.909458162055437</v>
      </c>
      <c r="I26" s="64" t="e">
        <f>(AVERAGE(E26:E28)-AVERAGE(E17:E19))*$D$1</f>
        <v>#DIV/0!</v>
      </c>
      <c r="J26" s="65" t="e">
        <f>(AVERAGE(F26:F28)-AVERAGE(F17:F19))*$D$1</f>
        <v>#DIV/0!</v>
      </c>
    </row>
    <row r="27" spans="1:10" x14ac:dyDescent="0.25">
      <c r="A27" s="4"/>
      <c r="B27" s="17" t="s">
        <v>72</v>
      </c>
      <c r="C27" s="12"/>
      <c r="D27" s="12"/>
      <c r="E27" s="60"/>
      <c r="F27" s="61"/>
      <c r="I27" s="66"/>
      <c r="J27" s="67"/>
    </row>
    <row r="28" spans="1:10" x14ac:dyDescent="0.25">
      <c r="A28" s="4"/>
      <c r="B28" s="17" t="s">
        <v>72</v>
      </c>
      <c r="C28" s="14"/>
      <c r="D28" s="13"/>
      <c r="E28" s="62"/>
      <c r="F28" s="63"/>
      <c r="G28" s="9"/>
      <c r="H28" s="9"/>
      <c r="I28" s="68"/>
      <c r="J28" s="69"/>
    </row>
    <row r="29" spans="1:10" x14ac:dyDescent="0.25">
      <c r="A29" s="4"/>
      <c r="B29" s="4" t="s">
        <v>23</v>
      </c>
      <c r="C29" s="12">
        <v>216.87871378106345</v>
      </c>
      <c r="D29" s="12">
        <v>531.94666892810073</v>
      </c>
      <c r="E29" s="60"/>
      <c r="F29" s="61"/>
      <c r="G29" s="8"/>
      <c r="H29" s="8"/>
      <c r="I29" s="64"/>
      <c r="J29" s="65"/>
    </row>
    <row r="30" spans="1:10" x14ac:dyDescent="0.25">
      <c r="A30" s="11"/>
      <c r="B30" s="20" t="s">
        <v>23</v>
      </c>
      <c r="C30" s="12"/>
      <c r="D30" s="12"/>
      <c r="E30" s="60"/>
      <c r="F30" s="61"/>
      <c r="G30" s="8"/>
      <c r="H30" s="8"/>
      <c r="I30" s="64"/>
      <c r="J30" s="65"/>
    </row>
    <row r="31" spans="1:10" x14ac:dyDescent="0.25">
      <c r="A31" s="11"/>
      <c r="B31" s="20" t="s">
        <v>23</v>
      </c>
      <c r="C31" s="12"/>
      <c r="D31" s="12"/>
      <c r="E31" s="60"/>
      <c r="F31" s="61"/>
      <c r="G31" s="8"/>
      <c r="H31" s="8"/>
      <c r="I31" s="64"/>
      <c r="J31" s="65"/>
    </row>
    <row r="32" spans="1:10" x14ac:dyDescent="0.25">
      <c r="A32" s="11"/>
      <c r="B32" s="59" t="s">
        <v>73</v>
      </c>
      <c r="C32" s="12">
        <v>134.19133494849666</v>
      </c>
      <c r="D32" s="12">
        <v>531.15103724038272</v>
      </c>
      <c r="E32" s="60"/>
      <c r="F32" s="61"/>
      <c r="G32" s="8">
        <f>(AVERAGE(C32:C34)-AVERAGE(C29:C31))*$D$1</f>
        <v>-1234.7981905663312</v>
      </c>
      <c r="H32" s="8">
        <f>(AVERAGE(D32:D34)-AVERAGE(D29:D31))*$D$1</f>
        <v>-11.881433203255684</v>
      </c>
      <c r="I32" s="64" t="e">
        <f>(AVERAGE(E32:E34)-AVERAGE(E29:E31))*$D$1</f>
        <v>#DIV/0!</v>
      </c>
      <c r="J32" s="65" t="e">
        <f>(AVERAGE(F32:F34)-AVERAGE(F29:F31))*$D$1</f>
        <v>#DIV/0!</v>
      </c>
    </row>
    <row r="33" spans="1:12" x14ac:dyDescent="0.25">
      <c r="A33" s="11"/>
      <c r="B33" s="59" t="s">
        <v>73</v>
      </c>
      <c r="C33" s="12"/>
      <c r="D33" s="12"/>
      <c r="E33" s="60"/>
      <c r="F33" s="61"/>
      <c r="I33" s="66"/>
      <c r="J33" s="67"/>
    </row>
    <row r="34" spans="1:12" x14ac:dyDescent="0.25">
      <c r="A34" s="11"/>
      <c r="B34" s="59" t="s">
        <v>73</v>
      </c>
      <c r="C34" s="12"/>
      <c r="D34" s="12"/>
      <c r="E34" s="60"/>
      <c r="F34" s="61"/>
      <c r="G34" s="8"/>
      <c r="H34" s="8"/>
      <c r="I34" s="64"/>
      <c r="J34" s="65"/>
    </row>
    <row r="35" spans="1:12" x14ac:dyDescent="0.25">
      <c r="A35" s="11"/>
      <c r="B35" s="59" t="s">
        <v>74</v>
      </c>
      <c r="C35" s="12">
        <v>135.83019847975183</v>
      </c>
      <c r="D35" s="12">
        <v>533.25086949403669</v>
      </c>
      <c r="E35" s="60"/>
      <c r="F35" s="61"/>
      <c r="G35" s="8">
        <f>(AVERAGE(C35:C37)-AVERAGE(C29:C31))*$D$1</f>
        <v>-1210.3244951662539</v>
      </c>
      <c r="H35" s="8">
        <f>(AVERAGE(D35:D37)-AVERAGE(D29:D31))*$D$1</f>
        <v>19.476061784643637</v>
      </c>
      <c r="I35" s="64" t="e">
        <f>(AVERAGE(E35:E37)-AVERAGE(E29:E31))*$D$1</f>
        <v>#DIV/0!</v>
      </c>
      <c r="J35" s="65" t="e">
        <f>(AVERAGE(F35:F37)-AVERAGE(F29:F31))*$D$1</f>
        <v>#DIV/0!</v>
      </c>
    </row>
    <row r="36" spans="1:12" x14ac:dyDescent="0.25">
      <c r="A36" s="11"/>
      <c r="B36" s="59" t="s">
        <v>74</v>
      </c>
      <c r="C36" s="12"/>
      <c r="D36" s="12"/>
      <c r="E36" s="60"/>
      <c r="F36" s="61"/>
      <c r="I36" s="66"/>
      <c r="J36" s="67"/>
    </row>
    <row r="37" spans="1:12" x14ac:dyDescent="0.25">
      <c r="A37" s="11"/>
      <c r="B37" s="59" t="s">
        <v>74</v>
      </c>
      <c r="C37" s="12"/>
      <c r="D37" s="12"/>
      <c r="E37" s="60"/>
      <c r="F37" s="61"/>
      <c r="G37" s="8"/>
      <c r="H37" s="8"/>
      <c r="I37" s="64"/>
      <c r="J37" s="65"/>
    </row>
    <row r="38" spans="1:12" x14ac:dyDescent="0.25">
      <c r="A38" s="11"/>
      <c r="B38" s="59" t="s">
        <v>75</v>
      </c>
      <c r="C38" s="12">
        <v>190.91782133260685</v>
      </c>
      <c r="D38" s="12">
        <v>532.22252778473569</v>
      </c>
      <c r="E38" s="60"/>
      <c r="F38" s="61"/>
      <c r="G38" s="8">
        <f>(AVERAGE(C38:C40)-AVERAGE(C29:C31))*$D$1</f>
        <v>-387.68266056361875</v>
      </c>
      <c r="H38" s="8">
        <f>(AVERAGE(D38:D40)-AVERAGE(D29:D31))*$D$1</f>
        <v>4.119492259081988</v>
      </c>
      <c r="I38" s="64" t="e">
        <f>(AVERAGE(E38:E40)-AVERAGE(E29:E31))*$D$1</f>
        <v>#DIV/0!</v>
      </c>
      <c r="J38" s="65" t="e">
        <f>(AVERAGE(F38:F40)-AVERAGE(F29:F31))*$D$1</f>
        <v>#DIV/0!</v>
      </c>
    </row>
    <row r="39" spans="1:12" x14ac:dyDescent="0.25">
      <c r="A39" s="71"/>
      <c r="B39" s="59" t="s">
        <v>75</v>
      </c>
      <c r="C39" s="12"/>
      <c r="D39" s="12"/>
      <c r="E39" s="60"/>
      <c r="F39" s="61"/>
      <c r="I39" s="66"/>
      <c r="J39" s="67"/>
    </row>
    <row r="40" spans="1:12" x14ac:dyDescent="0.25">
      <c r="A40" s="72"/>
      <c r="B40" s="59" t="s">
        <v>75</v>
      </c>
      <c r="C40" s="13"/>
      <c r="D40" s="13"/>
      <c r="E40" s="62"/>
      <c r="F40" s="63"/>
      <c r="G40" s="9"/>
      <c r="H40" s="9"/>
      <c r="I40" s="68"/>
      <c r="J40" s="69"/>
    </row>
    <row r="41" spans="1:12" x14ac:dyDescent="0.25">
      <c r="B41" s="10"/>
      <c r="C41" s="10"/>
      <c r="D41" s="10"/>
      <c r="E41" s="71" t="s">
        <v>53</v>
      </c>
      <c r="F41" s="10"/>
      <c r="G41" s="1"/>
      <c r="H41" s="1"/>
      <c r="I41" s="71" t="s">
        <v>53</v>
      </c>
    </row>
    <row r="42" spans="1:12" x14ac:dyDescent="0.25">
      <c r="A42" s="28"/>
      <c r="B42" s="29" t="s">
        <v>25</v>
      </c>
      <c r="C42" s="30" t="s">
        <v>26</v>
      </c>
      <c r="D42" s="28" t="s">
        <v>37</v>
      </c>
      <c r="E42" s="29" t="s">
        <v>27</v>
      </c>
      <c r="F42" s="30" t="s">
        <v>28</v>
      </c>
      <c r="G42" s="28" t="s">
        <v>38</v>
      </c>
      <c r="H42" s="31" t="s">
        <v>29</v>
      </c>
      <c r="I42" s="30" t="s">
        <v>30</v>
      </c>
      <c r="J42" s="28" t="s">
        <v>39</v>
      </c>
      <c r="K42" s="54" t="s">
        <v>45</v>
      </c>
      <c r="L42" s="22"/>
    </row>
    <row r="43" spans="1:12" x14ac:dyDescent="0.25">
      <c r="A43" s="32" t="s">
        <v>11</v>
      </c>
      <c r="B43" s="33" t="e">
        <f>(AVERAGE(D8:D10)*0.00632+AVERAGE(E8:E10))/(AVERAGE(D8:D10)+AVERAGE(D8:D10)*0.00632+AVERAGE(E8:E10)+AVERAGE(D8:D10)*0.00316^2+AVERAGE(F8:F10))</f>
        <v>#DIV/0!</v>
      </c>
      <c r="C43" s="34" t="e">
        <f>(AVERAGE(D11:D13)*0.00632+AVERAGE(E11:E13))/(AVERAGE(D11:D13)+AVERAGE(D11:D13)*0.00632+AVERAGE(E11:E13)+AVERAGE(D11:D13)*0.00316^2+AVERAGE(F11:F13))</f>
        <v>#DIV/0!</v>
      </c>
      <c r="D43" s="32" t="e">
        <f>(AVERAGE(D14:D16)*0.00632+AVERAGE(E14:E16))/(AVERAGE(D14:D16)+AVERAGE(D14:D16)*0.00632+AVERAGE(E14:E16)+AVERAGE(D14:D16)*0.00316^2+AVERAGE(F14:F16))</f>
        <v>#DIV/0!</v>
      </c>
      <c r="E43" s="33" t="e">
        <f>(AVERAGE(D20:D22)*0.00632+AVERAGE(E20:E22))/(AVERAGE(D20:D22)+AVERAGE(D20:D22)*0.00632+AVERAGE(E20:E22)+AVERAGE(D20:D22)*0.00316^2+AVERAGE(F20:F22))</f>
        <v>#DIV/0!</v>
      </c>
      <c r="F43" s="34" t="e">
        <f>(AVERAGE(D23:D25)*0.00632+AVERAGE(E23:E25))/(AVERAGE(D23:D25)+AVERAGE(D23:D25)*0.00632+AVERAGE(E23:E25)+AVERAGE(D23:D25)*0.00316^2+AVERAGE(F23:F25))</f>
        <v>#DIV/0!</v>
      </c>
      <c r="G43" s="32" t="e">
        <f>(AVERAGE(D26:D28)*0.00632+AVERAGE(E26:E28))/(AVERAGE(D26:D28)+AVERAGE(D26:D28)*0.00632+AVERAGE(E26:E28)+AVERAGE(D26:D28)*0.00316^2+AVERAGE(F26:F28))</f>
        <v>#DIV/0!</v>
      </c>
      <c r="H43" s="35" t="e">
        <f>(AVERAGE(D32:D34)*0.00632+AVERAGE(E32:E34))/(AVERAGE(D32:D34)+AVERAGE(D32:D34)*0.00632+AVERAGE(E32:E34)+AVERAGE(D32:D34)*0.00316^2+AVERAGE(F32:F34))</f>
        <v>#DIV/0!</v>
      </c>
      <c r="I43" s="34" t="e">
        <f>(AVERAGE(D35:D37)*0.00632+AVERAGE(E35:E37))/(AVERAGE(D35:D37)+AVERAGE(D35:D37)*0.00632+AVERAGE(E35:E37)+AVERAGE(D35:D37)*0.00316^2+AVERAGE(F35:F37))</f>
        <v>#DIV/0!</v>
      </c>
      <c r="J43" s="36" t="e">
        <f>(AVERAGE(D38:D40)*0.00632+AVERAGE(E38:E40))/(AVERAGE(D38:D40)+AVERAGE(D38:D40)*0.00632+AVERAGE(E38:E40)+AVERAGE(D38:D40)*0.00316^2+AVERAGE(F38:F40))</f>
        <v>#DIV/0!</v>
      </c>
    </row>
    <row r="44" spans="1:12" x14ac:dyDescent="0.25">
      <c r="A44" s="32" t="s">
        <v>12</v>
      </c>
      <c r="B44" s="33" t="e">
        <f>(AVERAGE(D8:D10)*0.00316^2+AVERAGE(F8:F10))/(AVERAGE(D8:D10)+AVERAGE(D8:D10)*0.00632+AVERAGE(E8:E10)+AVERAGE(D8:D10)*0.00316^2+AVERAGE(F8:F10))</f>
        <v>#DIV/0!</v>
      </c>
      <c r="C44" s="33" t="e">
        <f>(AVERAGE(D11:D13)*0.00316^2+AVERAGE(F11:F13))/(AVERAGE(D11:D13)+AVERAGE(D11:D13)*0.00632+AVERAGE(E11:E13)+AVERAGE(D11:D13)*0.00316^2+AVERAGE(F11:F13))</f>
        <v>#DIV/0!</v>
      </c>
      <c r="D44" s="32" t="e">
        <f>(AVERAGE(D14:D16)*0.00316^2+AVERAGE(F14:F16))/(AVERAGE(D14:D16)+AVERAGE(D14:D16)*0.00632+AVERAGE(E14:E16)+AVERAGE(D14:D16)*0.00316^2+AVERAGE(F14:F16))</f>
        <v>#DIV/0!</v>
      </c>
      <c r="E44" s="33" t="e">
        <f>(AVERAGE(D20:D22)*0.00316^2+AVERAGE(F20:F22))/(AVERAGE(D20:D22)+AVERAGE(D20:D22)*0.00632+AVERAGE(E20:E22)+AVERAGE(D20:D22)*0.00316^2+AVERAGE(F20:F22))</f>
        <v>#DIV/0!</v>
      </c>
      <c r="F44" s="33" t="e">
        <f>(AVERAGE(D23:D25)*0.00316^2+AVERAGE(F23:F25))/(AVERAGE(D23:D25)+AVERAGE(D23:D25)*0.00632+AVERAGE(E23:E25)+AVERAGE(D23:D25)*0.00316^2+AVERAGE(F23:F25))</f>
        <v>#DIV/0!</v>
      </c>
      <c r="G44" s="32" t="e">
        <f>(AVERAGE(D26:D28)*0.00316^2+AVERAGE(F26:F28))/(AVERAGE(D26:D28)+AVERAGE(D26:D28)*0.00632+AVERAGE(E26:E28)+AVERAGE(D26:D28)*0.00316^2+AVERAGE(F26:F28))</f>
        <v>#DIV/0!</v>
      </c>
      <c r="H44" s="35" t="e">
        <f>(AVERAGE(D32:D34)*0.00316^2+AVERAGE(F32:F34))/(AVERAGE(D32:D34)+AVERAGE(D32:D34)*0.00632+AVERAGE(E32:E34)+AVERAGE(D32:D34)*0.00316^2+AVERAGE(F32:F34))</f>
        <v>#DIV/0!</v>
      </c>
      <c r="I44" s="33" t="e">
        <f>(AVERAGE(D35:D37)*0.00316^2+AVERAGE(F35:F37))/(AVERAGE(D35:D37)+AVERAGE(D35:D37)*0.00632+AVERAGE(E35:E37)+AVERAGE(D35:D37)*0.00316^2+AVERAGE(F35:F37))</f>
        <v>#DIV/0!</v>
      </c>
      <c r="J44" s="37" t="e">
        <f>(AVERAGE(D38:D40)*0.00316^2+AVERAGE(F38:F40))/(AVERAGE(D38:D40)+AVERAGE(D38:D40)*0.00632+AVERAGE(E38:E40)+AVERAGE(D38:D40)*0.00316^2+AVERAGE(F38:F40))</f>
        <v>#DIV/0!</v>
      </c>
    </row>
    <row r="45" spans="1:12" ht="14.5" x14ac:dyDescent="0.25">
      <c r="A45" s="32" t="s">
        <v>43</v>
      </c>
      <c r="B45" s="33" t="e">
        <f t="shared" ref="B45:I45" si="0">4*B44*(1-B43-B44)-B43^2</f>
        <v>#DIV/0!</v>
      </c>
      <c r="C45" s="33" t="e">
        <f t="shared" si="0"/>
        <v>#DIV/0!</v>
      </c>
      <c r="D45" s="32" t="e">
        <f t="shared" si="0"/>
        <v>#DIV/0!</v>
      </c>
      <c r="E45" s="33" t="e">
        <f t="shared" si="0"/>
        <v>#DIV/0!</v>
      </c>
      <c r="F45" s="33" t="e">
        <f t="shared" si="0"/>
        <v>#DIV/0!</v>
      </c>
      <c r="G45" s="32" t="e">
        <f t="shared" si="0"/>
        <v>#DIV/0!</v>
      </c>
      <c r="H45" s="35" t="e">
        <f t="shared" si="0"/>
        <v>#DIV/0!</v>
      </c>
      <c r="I45" s="33" t="e">
        <f t="shared" si="0"/>
        <v>#DIV/0!</v>
      </c>
      <c r="J45" s="37" t="e">
        <f>4*J44*(1-J43-J44)-JF43^2</f>
        <v>#DIV/0!</v>
      </c>
    </row>
    <row r="46" spans="1:12" x14ac:dyDescent="0.25">
      <c r="A46" s="32" t="s">
        <v>13</v>
      </c>
      <c r="B46" s="33" t="e">
        <f>4*H8*B44+4*J8*(1-B43-B44)-2*I8*B43</f>
        <v>#DIV/0!</v>
      </c>
      <c r="C46" s="33" t="e">
        <f>4*H11*C44+4*J11*(1-C43-C44)-2*I11*C43</f>
        <v>#DIV/0!</v>
      </c>
      <c r="D46" s="32" t="e">
        <f>4*H14*D44+4*J14*(1-D43-D44)-2*I14*D43</f>
        <v>#DIV/0!</v>
      </c>
      <c r="E46" s="33" t="e">
        <f>4*H20*E44+4*J20*(1-E43-E44)-2*I20*E43</f>
        <v>#DIV/0!</v>
      </c>
      <c r="F46" s="33" t="e">
        <f>4*H23*F44+4*J23*(1-F43-F44)-2*I23*F43</f>
        <v>#DIV/0!</v>
      </c>
      <c r="G46" s="32" t="e">
        <f>4*H26*G44+4*J26*(1-G43-G44)-2*I26*G43</f>
        <v>#DIV/0!</v>
      </c>
      <c r="H46" s="35" t="e">
        <f>4*H32*H44+4*J32*(1-H43-H44)-2*I32*H43</f>
        <v>#DIV/0!</v>
      </c>
      <c r="I46" s="33" t="e">
        <f>4*H35*I44+4*J35*(1-I43-I44)-2*I35*I43</f>
        <v>#DIV/0!</v>
      </c>
      <c r="J46" s="37" t="e">
        <f>4*H38*J44+4*J38*(1-J43-J44)-2*I38*J43</f>
        <v>#DIV/0!</v>
      </c>
    </row>
    <row r="47" spans="1:12" x14ac:dyDescent="0.25">
      <c r="A47" s="32" t="s">
        <v>14</v>
      </c>
      <c r="B47" s="33" t="e">
        <f>4*H8*J8-I8^2</f>
        <v>#DIV/0!</v>
      </c>
      <c r="C47" s="33" t="e">
        <f>4*H11*J11-I11^2</f>
        <v>#DIV/0!</v>
      </c>
      <c r="D47" s="32" t="e">
        <f>4*H14*J14-I14^2</f>
        <v>#DIV/0!</v>
      </c>
      <c r="E47" s="33" t="e">
        <f>4*H20*J20-I20^2</f>
        <v>#DIV/0!</v>
      </c>
      <c r="F47" s="33" t="e">
        <f>4*H23*J23-I23^2</f>
        <v>#DIV/0!</v>
      </c>
      <c r="G47" s="32" t="e">
        <f>4*H26*J26-I26^2</f>
        <v>#DIV/0!</v>
      </c>
      <c r="H47" s="35" t="e">
        <f>4*H32*J32-I32^2</f>
        <v>#DIV/0!</v>
      </c>
      <c r="I47" s="33" t="e">
        <f>4*H35*J35-I35^2</f>
        <v>#DIV/0!</v>
      </c>
      <c r="J47" s="37" t="e">
        <f>4*H38*J38-I38^2</f>
        <v>#DIV/0!</v>
      </c>
    </row>
    <row r="48" spans="1:12" x14ac:dyDescent="0.25">
      <c r="A48" s="32" t="s">
        <v>15</v>
      </c>
      <c r="B48" s="33" t="e">
        <f t="shared" ref="B48:J48" si="1">(-B46+SQRT(B46^2-4*B45*B47))/(2*B45)</f>
        <v>#DIV/0!</v>
      </c>
      <c r="C48" s="33" t="e">
        <f t="shared" si="1"/>
        <v>#DIV/0!</v>
      </c>
      <c r="D48" s="32" t="e">
        <f t="shared" si="1"/>
        <v>#DIV/0!</v>
      </c>
      <c r="E48" s="33" t="e">
        <f t="shared" si="1"/>
        <v>#DIV/0!</v>
      </c>
      <c r="F48" s="33" t="e">
        <f t="shared" si="1"/>
        <v>#DIV/0!</v>
      </c>
      <c r="G48" s="32" t="e">
        <f t="shared" si="1"/>
        <v>#DIV/0!</v>
      </c>
      <c r="H48" s="35" t="e">
        <f t="shared" si="1"/>
        <v>#DIV/0!</v>
      </c>
      <c r="I48" s="33" t="e">
        <f t="shared" si="1"/>
        <v>#DIV/0!</v>
      </c>
      <c r="J48" s="37" t="e">
        <f t="shared" si="1"/>
        <v>#DIV/0!</v>
      </c>
    </row>
    <row r="49" spans="1:10" ht="15.5" x14ac:dyDescent="0.4">
      <c r="A49" s="32" t="s">
        <v>44</v>
      </c>
      <c r="B49" s="38" t="e">
        <f>SUM(H8:J8)</f>
        <v>#DIV/0!</v>
      </c>
      <c r="C49" s="38" t="e">
        <f>SUM(H11:J11)</f>
        <v>#DIV/0!</v>
      </c>
      <c r="D49" s="39" t="e">
        <f>SUM(H14:J14)</f>
        <v>#DIV/0!</v>
      </c>
      <c r="E49" s="38" t="e">
        <f>SUM(H20:J20)</f>
        <v>#DIV/0!</v>
      </c>
      <c r="F49" s="38" t="e">
        <f>SUM(H23:J23)</f>
        <v>#DIV/0!</v>
      </c>
      <c r="G49" s="39" t="e">
        <f>SUM(H26:J26)</f>
        <v>#DIV/0!</v>
      </c>
      <c r="H49" s="40" t="e">
        <f>SUM(H32:J32)</f>
        <v>#DIV/0!</v>
      </c>
      <c r="I49" s="38" t="e">
        <f>SUM(H35:J35)</f>
        <v>#DIV/0!</v>
      </c>
      <c r="J49" s="41" t="e">
        <f>SUM(H38:J38)</f>
        <v>#DIV/0!</v>
      </c>
    </row>
    <row r="50" spans="1:10" x14ac:dyDescent="0.25">
      <c r="A50" s="32" t="s">
        <v>16</v>
      </c>
      <c r="B50" s="38" t="e">
        <f t="shared" ref="B50:J50" si="2">SUM(B49)</f>
        <v>#DIV/0!</v>
      </c>
      <c r="C50" s="38" t="e">
        <f t="shared" si="2"/>
        <v>#DIV/0!</v>
      </c>
      <c r="D50" s="38" t="e">
        <f t="shared" si="2"/>
        <v>#DIV/0!</v>
      </c>
      <c r="E50" s="38" t="e">
        <f t="shared" si="2"/>
        <v>#DIV/0!</v>
      </c>
      <c r="F50" s="38" t="e">
        <f t="shared" si="2"/>
        <v>#DIV/0!</v>
      </c>
      <c r="G50" s="39" t="e">
        <f t="shared" si="2"/>
        <v>#DIV/0!</v>
      </c>
      <c r="H50" s="40" t="e">
        <f t="shared" si="2"/>
        <v>#DIV/0!</v>
      </c>
      <c r="I50" s="38" t="e">
        <f t="shared" si="2"/>
        <v>#DIV/0!</v>
      </c>
      <c r="J50" s="42" t="e">
        <f t="shared" si="2"/>
        <v>#DIV/0!</v>
      </c>
    </row>
    <row r="51" spans="1:10" x14ac:dyDescent="0.25">
      <c r="A51" s="32" t="s">
        <v>17</v>
      </c>
      <c r="B51" s="43" t="e">
        <f>(I8/2+J8)</f>
        <v>#DIV/0!</v>
      </c>
      <c r="C51" s="43" t="e">
        <f>(I11/2+J11)</f>
        <v>#DIV/0!</v>
      </c>
      <c r="D51" s="44" t="e">
        <f>(I14/2+J14)</f>
        <v>#DIV/0!</v>
      </c>
      <c r="E51" s="43" t="e">
        <f>(I20/2+J20)</f>
        <v>#DIV/0!</v>
      </c>
      <c r="F51" s="43" t="e">
        <f>(I23/2+J23)</f>
        <v>#DIV/0!</v>
      </c>
      <c r="G51" s="44" t="e">
        <f>(I26/2+J26)</f>
        <v>#DIV/0!</v>
      </c>
      <c r="H51" s="45" t="e">
        <f>(I32/2+J32)</f>
        <v>#DIV/0!</v>
      </c>
      <c r="I51" s="43" t="e">
        <f>(I35/2+J35)</f>
        <v>#DIV/0!</v>
      </c>
      <c r="J51" s="37" t="e">
        <f>(I38/2+J38)</f>
        <v>#DIV/0!</v>
      </c>
    </row>
    <row r="52" spans="1:10" x14ac:dyDescent="0.25">
      <c r="A52" s="32" t="s">
        <v>18</v>
      </c>
      <c r="B52" s="43" t="e">
        <f t="shared" ref="B52" si="3">B50-B51</f>
        <v>#DIV/0!</v>
      </c>
      <c r="C52" s="43" t="e">
        <f t="shared" ref="C52:J52" si="4">C50-C51</f>
        <v>#DIV/0!</v>
      </c>
      <c r="D52" s="44" t="e">
        <f t="shared" si="4"/>
        <v>#DIV/0!</v>
      </c>
      <c r="E52" s="43" t="e">
        <f t="shared" si="4"/>
        <v>#DIV/0!</v>
      </c>
      <c r="F52" s="43" t="e">
        <f t="shared" si="4"/>
        <v>#DIV/0!</v>
      </c>
      <c r="G52" s="44" t="e">
        <f t="shared" si="4"/>
        <v>#DIV/0!</v>
      </c>
      <c r="H52" s="45" t="e">
        <f t="shared" si="4"/>
        <v>#DIV/0!</v>
      </c>
      <c r="I52" s="43" t="e">
        <f t="shared" si="4"/>
        <v>#DIV/0!</v>
      </c>
      <c r="J52" s="42" t="e">
        <f t="shared" si="4"/>
        <v>#DIV/0!</v>
      </c>
    </row>
    <row r="53" spans="1:10" x14ac:dyDescent="0.25">
      <c r="A53" s="46" t="s">
        <v>24</v>
      </c>
      <c r="B53" s="43" t="e">
        <f>I8/J8</f>
        <v>#DIV/0!</v>
      </c>
      <c r="C53" s="43" t="e">
        <f>I11/J11</f>
        <v>#DIV/0!</v>
      </c>
      <c r="D53" s="44" t="e">
        <f>I14/J14</f>
        <v>#DIV/0!</v>
      </c>
      <c r="E53" s="43" t="e">
        <f>I20/J20</f>
        <v>#DIV/0!</v>
      </c>
      <c r="F53" s="43" t="e">
        <f>I23/J23</f>
        <v>#DIV/0!</v>
      </c>
      <c r="G53" s="44" t="e">
        <f>I26/J26</f>
        <v>#DIV/0!</v>
      </c>
      <c r="H53" s="45" t="e">
        <f>I32/J32</f>
        <v>#DIV/0!</v>
      </c>
      <c r="I53" s="43" t="e">
        <f>I35/J35</f>
        <v>#DIV/0!</v>
      </c>
      <c r="J53" s="37" t="e">
        <f>I38/J38</f>
        <v>#DIV/0!</v>
      </c>
    </row>
    <row r="54" spans="1:10" x14ac:dyDescent="0.25">
      <c r="A54" s="47">
        <v>0.63472222222222219</v>
      </c>
      <c r="B54" s="29" t="e">
        <f t="shared" ref="B54:J54" si="5">B51/B52</f>
        <v>#DIV/0!</v>
      </c>
      <c r="C54" s="29" t="e">
        <f t="shared" si="5"/>
        <v>#DIV/0!</v>
      </c>
      <c r="D54" s="48" t="e">
        <f t="shared" si="5"/>
        <v>#DIV/0!</v>
      </c>
      <c r="E54" s="29" t="e">
        <f t="shared" si="5"/>
        <v>#DIV/0!</v>
      </c>
      <c r="F54" s="29" t="e">
        <f t="shared" si="5"/>
        <v>#DIV/0!</v>
      </c>
      <c r="G54" s="48" t="e">
        <f t="shared" si="5"/>
        <v>#DIV/0!</v>
      </c>
      <c r="H54" s="49" t="e">
        <f t="shared" si="5"/>
        <v>#DIV/0!</v>
      </c>
      <c r="I54" s="29" t="e">
        <f t="shared" si="5"/>
        <v>#DIV/0!</v>
      </c>
      <c r="J54" s="50" t="e">
        <f t="shared" si="5"/>
        <v>#DIV/0!</v>
      </c>
    </row>
    <row r="55" spans="1:10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x14ac:dyDescent="0.25">
      <c r="A56" s="33"/>
      <c r="B56" s="33" t="s">
        <v>7</v>
      </c>
      <c r="C56" s="32" t="s">
        <v>10</v>
      </c>
      <c r="D56" s="33" t="s">
        <v>8</v>
      </c>
      <c r="E56" s="32" t="s">
        <v>10</v>
      </c>
      <c r="F56" s="33" t="s">
        <v>9</v>
      </c>
      <c r="G56" s="32" t="s">
        <v>10</v>
      </c>
      <c r="H56" s="33" t="s">
        <v>20</v>
      </c>
      <c r="I56" s="51"/>
      <c r="J56" s="51"/>
    </row>
    <row r="57" spans="1:10" x14ac:dyDescent="0.25">
      <c r="A57" s="33" t="s">
        <v>19</v>
      </c>
      <c r="B57" s="38" t="e">
        <f>AVERAGE(B50:D50)</f>
        <v>#DIV/0!</v>
      </c>
      <c r="C57" s="39" t="e">
        <f>STDEV(B50:D50)/SQRT(3)</f>
        <v>#DIV/0!</v>
      </c>
      <c r="D57" s="38" t="e">
        <f>AVERAGE(E50:G50)</f>
        <v>#DIV/0!</v>
      </c>
      <c r="E57" s="39" t="e">
        <f>STDEV(E50:G50)/SQRT(3)</f>
        <v>#DIV/0!</v>
      </c>
      <c r="F57" s="38" t="e">
        <f>AVERAGE(H50:J50)</f>
        <v>#DIV/0!</v>
      </c>
      <c r="G57" s="39" t="e">
        <f>STDEV(H50:J50)/SQRT(3)</f>
        <v>#DIV/0!</v>
      </c>
      <c r="H57" s="38" t="e">
        <f>AVERAGE(B50:J50)</f>
        <v>#DIV/0!</v>
      </c>
      <c r="I57" s="38" t="e">
        <f>STDEV(B50:J50)/SQRT(9)</f>
        <v>#DIV/0!</v>
      </c>
      <c r="J57" s="51"/>
    </row>
    <row r="58" spans="1:10" x14ac:dyDescent="0.25">
      <c r="A58" s="52">
        <v>0.63472222222222219</v>
      </c>
      <c r="B58" s="38" t="e">
        <f>AVERAGE(B54:D54)</f>
        <v>#DIV/0!</v>
      </c>
      <c r="C58" s="39" t="e">
        <f>STDEV(B54:D54)/SQRT(3)</f>
        <v>#DIV/0!</v>
      </c>
      <c r="D58" s="38" t="e">
        <f>AVERAGE(E54:G54)</f>
        <v>#DIV/0!</v>
      </c>
      <c r="E58" s="39" t="e">
        <f>STDEV(E54:G54)/SQRT(3)</f>
        <v>#DIV/0!</v>
      </c>
      <c r="F58" s="38" t="e">
        <f>AVERAGE(H54:J54)</f>
        <v>#DIV/0!</v>
      </c>
      <c r="G58" s="39" t="e">
        <f>STDEV(H54:J54)/SQRT(3)</f>
        <v>#DIV/0!</v>
      </c>
      <c r="H58" s="38" t="e">
        <f>AVERAGE(B54:J54)</f>
        <v>#DIV/0!</v>
      </c>
      <c r="I58" s="38" t="e">
        <f>STDEV(B54:J54)/SQRT(9)</f>
        <v>#DIV/0!</v>
      </c>
      <c r="J58" s="51"/>
    </row>
    <row r="59" spans="1:10" x14ac:dyDescent="0.25">
      <c r="A59" s="33" t="s">
        <v>15</v>
      </c>
      <c r="B59" s="38" t="e">
        <f>AVERAGE(B48:D48)</f>
        <v>#DIV/0!</v>
      </c>
      <c r="C59" s="39" t="e">
        <f>STDEV(B48:D48)/SQRT(3)</f>
        <v>#DIV/0!</v>
      </c>
      <c r="D59" s="38" t="e">
        <f>AVERAGE(E48:G48)</f>
        <v>#DIV/0!</v>
      </c>
      <c r="E59" s="39" t="e">
        <f>STDEV(E48:G48)/SQRT(3)</f>
        <v>#DIV/0!</v>
      </c>
      <c r="F59" s="38" t="e">
        <f>AVERAGE(H48:J48)</f>
        <v>#DIV/0!</v>
      </c>
      <c r="G59" s="39" t="e">
        <f>STDEV(H48:J48)/SQRT(3)</f>
        <v>#DIV/0!</v>
      </c>
      <c r="H59" s="38" t="e">
        <f>AVERAGE(B48:J48)</f>
        <v>#DIV/0!</v>
      </c>
      <c r="I59" s="38" t="e">
        <f>STDEV(B48:J48)/SQRT(9)</f>
        <v>#DIV/0!</v>
      </c>
      <c r="J59" s="51"/>
    </row>
    <row r="60" spans="1:10" x14ac:dyDescent="0.25">
      <c r="A60" s="53" t="s">
        <v>24</v>
      </c>
      <c r="B60" s="38" t="e">
        <f>AVERAGE(B53:D53)</f>
        <v>#DIV/0!</v>
      </c>
      <c r="C60" s="39" t="e">
        <f>STDEV(B53:D53)/SQRT(3)</f>
        <v>#DIV/0!</v>
      </c>
      <c r="D60" s="38" t="e">
        <f>AVERAGE(E53:G53)</f>
        <v>#DIV/0!</v>
      </c>
      <c r="E60" s="39" t="e">
        <f>STDEV(E53:G53)/SQRT(3)</f>
        <v>#DIV/0!</v>
      </c>
      <c r="F60" s="38" t="e">
        <f>AVERAGE(H53:J53)</f>
        <v>#DIV/0!</v>
      </c>
      <c r="G60" s="39" t="e">
        <f>STDEV(H53:J53)/SQRT(3)</f>
        <v>#DIV/0!</v>
      </c>
      <c r="H60" s="38" t="e">
        <f>AVERAGE(B53:J53)</f>
        <v>#DIV/0!</v>
      </c>
      <c r="I60" s="38" t="e">
        <f>STDEV(B53:J53)/SQRT(9)</f>
        <v>#DIV/0!</v>
      </c>
      <c r="J60" s="51"/>
    </row>
  </sheetData>
  <phoneticPr fontId="3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0697-8E82-594D-B2C5-16AAAA4C3EE6}">
  <dimension ref="A1:O41"/>
  <sheetViews>
    <sheetView workbookViewId="0">
      <selection activeCell="A5" sqref="A5"/>
    </sheetView>
  </sheetViews>
  <sheetFormatPr defaultColWidth="10.90625" defaultRowHeight="12.5" x14ac:dyDescent="0.25"/>
  <cols>
    <col min="1" max="1" width="19.36328125" bestFit="1" customWidth="1"/>
  </cols>
  <sheetData>
    <row r="1" spans="1:15" ht="14.5" x14ac:dyDescent="0.25">
      <c r="A1" t="s">
        <v>0</v>
      </c>
      <c r="D1" s="22">
        <f>(E2*60/1000)/0.0045</f>
        <v>14.933333333333337</v>
      </c>
      <c r="E1" s="19" t="s">
        <v>54</v>
      </c>
    </row>
    <row r="2" spans="1:15" x14ac:dyDescent="0.25">
      <c r="A2" s="16" t="s">
        <v>47</v>
      </c>
      <c r="B2" s="16"/>
      <c r="D2" s="16" t="s">
        <v>50</v>
      </c>
      <c r="E2">
        <v>1.1200000000000001</v>
      </c>
      <c r="F2" s="16" t="s">
        <v>49</v>
      </c>
    </row>
    <row r="3" spans="1:15" ht="16" x14ac:dyDescent="0.4">
      <c r="A3" s="56" t="s">
        <v>48</v>
      </c>
      <c r="B3" s="57"/>
      <c r="C3" s="1"/>
      <c r="D3" s="1"/>
      <c r="E3" s="1"/>
      <c r="F3" s="1"/>
      <c r="G3" s="1"/>
      <c r="H3" s="1"/>
      <c r="I3" s="1"/>
      <c r="J3" s="1"/>
      <c r="L3" s="2" t="s">
        <v>3</v>
      </c>
      <c r="M3" s="6" t="s">
        <v>4</v>
      </c>
      <c r="N3" s="6" t="s">
        <v>5</v>
      </c>
      <c r="O3" s="7" t="s">
        <v>6</v>
      </c>
    </row>
    <row r="4" spans="1:15" ht="16" x14ac:dyDescent="0.4">
      <c r="A4" s="5" t="s">
        <v>1</v>
      </c>
      <c r="B4" s="3" t="s">
        <v>2</v>
      </c>
      <c r="C4" s="2" t="s">
        <v>3</v>
      </c>
      <c r="D4" s="6" t="s">
        <v>4</v>
      </c>
      <c r="E4" s="6" t="s">
        <v>5</v>
      </c>
      <c r="F4" s="7" t="s">
        <v>6</v>
      </c>
      <c r="G4" s="2" t="s">
        <v>3</v>
      </c>
      <c r="H4" s="6" t="s">
        <v>4</v>
      </c>
      <c r="I4" s="6" t="s">
        <v>5</v>
      </c>
      <c r="J4" s="7" t="s">
        <v>6</v>
      </c>
      <c r="K4" t="s">
        <v>7</v>
      </c>
      <c r="L4" s="15">
        <f>AVERAGE(G8,G11,G14)</f>
        <v>-635.18972449640194</v>
      </c>
      <c r="M4" s="15">
        <f>AVERAGE(H8,H11,H14)</f>
        <v>1.0747414233471027</v>
      </c>
      <c r="N4" s="70" t="e">
        <f>AVERAGE(I8,I11,I14)</f>
        <v>#DIV/0!</v>
      </c>
      <c r="O4" s="70" t="e">
        <f>AVERAGE(J8,J11,J14)</f>
        <v>#DIV/0!</v>
      </c>
    </row>
    <row r="5" spans="1:15" x14ac:dyDescent="0.25">
      <c r="A5" s="17" t="s">
        <v>52</v>
      </c>
      <c r="B5" s="4" t="s">
        <v>21</v>
      </c>
      <c r="C5" s="12">
        <v>256.61602684609346</v>
      </c>
      <c r="D5" s="12">
        <v>534.59709577232877</v>
      </c>
      <c r="E5" s="60"/>
      <c r="F5" s="61"/>
      <c r="G5" s="8"/>
      <c r="H5" s="8"/>
      <c r="I5" s="64"/>
      <c r="J5" s="65"/>
      <c r="K5" t="s">
        <v>10</v>
      </c>
      <c r="L5" s="15">
        <f>STDEV(G8,G11,G14)/SQRT(3)</f>
        <v>100.80197697490269</v>
      </c>
      <c r="M5" s="15">
        <f>STDEV(H8,H11,H14)/SQRT(3)</f>
        <v>18.522373405386087</v>
      </c>
      <c r="N5" s="70" t="e">
        <f>STDEV(I8,I11,I14)/SQRT(3)</f>
        <v>#DIV/0!</v>
      </c>
      <c r="O5" s="70" t="e">
        <f>STDEV(J8,J11,J14)/SQRT(3)</f>
        <v>#DIV/0!</v>
      </c>
    </row>
    <row r="6" spans="1:15" x14ac:dyDescent="0.25">
      <c r="A6" s="58"/>
      <c r="B6" s="4" t="s">
        <v>21</v>
      </c>
      <c r="C6" s="12"/>
      <c r="D6" s="12"/>
      <c r="E6" s="60"/>
      <c r="F6" s="61"/>
      <c r="G6" s="8"/>
      <c r="H6" s="8"/>
      <c r="I6" s="64"/>
      <c r="J6" s="65"/>
      <c r="K6" t="s">
        <v>8</v>
      </c>
      <c r="L6" s="15">
        <f>AVERAGE(G20,G23,G26)</f>
        <v>-1266.8515778377359</v>
      </c>
      <c r="M6" s="15">
        <f>AVERAGE(H20,H23,H26)</f>
        <v>1.7685663946481434</v>
      </c>
      <c r="N6" s="70" t="e">
        <f>AVERAGE(I20,I23,I26)</f>
        <v>#DIV/0!</v>
      </c>
      <c r="O6" s="70" t="e">
        <f>AVERAGE(J20,J23,J26)</f>
        <v>#DIV/0!</v>
      </c>
    </row>
    <row r="7" spans="1:15" x14ac:dyDescent="0.25">
      <c r="A7" s="4"/>
      <c r="B7" s="4" t="s">
        <v>21</v>
      </c>
      <c r="C7" s="12"/>
      <c r="D7" s="12"/>
      <c r="E7" s="60"/>
      <c r="F7" s="61"/>
      <c r="G7" s="8"/>
      <c r="H7" s="8"/>
      <c r="I7" s="64"/>
      <c r="J7" s="65"/>
      <c r="K7" t="s">
        <v>10</v>
      </c>
      <c r="L7" s="15">
        <f>STDEV(G20,G23,G26)/SQRT(3)</f>
        <v>360.20352003491467</v>
      </c>
      <c r="M7" s="15">
        <f>STDEV(H20,H23,H26)/SQRT(3)</f>
        <v>2.935690923091324</v>
      </c>
      <c r="N7" s="70" t="e">
        <f>STDEV(I20,I23,I26)/SQRT(3)</f>
        <v>#DIV/0!</v>
      </c>
      <c r="O7" s="70" t="e">
        <f>STDEV(J20,J23,J26)/SQRT(3)</f>
        <v>#DIV/0!</v>
      </c>
    </row>
    <row r="8" spans="1:15" x14ac:dyDescent="0.25">
      <c r="A8" s="4"/>
      <c r="B8" s="17" t="s">
        <v>76</v>
      </c>
      <c r="C8" s="12">
        <v>227.38611213017785</v>
      </c>
      <c r="D8" s="12">
        <v>537.12701365571172</v>
      </c>
      <c r="E8" s="60"/>
      <c r="F8" s="61"/>
      <c r="G8" s="8">
        <f>(AVERAGE(C8:C10)-AVERAGE(C5:C7))*$D$1</f>
        <v>-436.50005975767323</v>
      </c>
      <c r="H8" s="8">
        <f>(AVERAGE(D8:D10)-AVERAGE(D5:D7))*$D$1</f>
        <v>37.78010705851873</v>
      </c>
      <c r="I8" s="64" t="e">
        <f>(AVERAGE(E8:E10)-AVERAGE(E5:E7))*$D$1</f>
        <v>#DIV/0!</v>
      </c>
      <c r="J8" s="65" t="e">
        <f>(AVERAGE(F8:F10)-AVERAGE(F5:F7))*$D$1</f>
        <v>#DIV/0!</v>
      </c>
      <c r="K8" t="s">
        <v>9</v>
      </c>
      <c r="L8" s="15">
        <f>AVERAGE(G32,G35,G38)</f>
        <v>-1070.3202312459441</v>
      </c>
      <c r="M8" s="15">
        <f>AVERAGE(H32,H35,H38)</f>
        <v>26.811998542283586</v>
      </c>
      <c r="N8" s="70" t="e">
        <f>AVERAGE(I32,I35,I38)</f>
        <v>#DIV/0!</v>
      </c>
      <c r="O8" s="70" t="e">
        <f>AVERAGE(J32,J35,J38)</f>
        <v>#DIV/0!</v>
      </c>
    </row>
    <row r="9" spans="1:15" x14ac:dyDescent="0.25">
      <c r="A9" s="4"/>
      <c r="B9" s="17" t="s">
        <v>76</v>
      </c>
      <c r="C9" s="12"/>
      <c r="D9" s="12"/>
      <c r="E9" s="60"/>
      <c r="F9" s="61"/>
      <c r="I9" s="66"/>
      <c r="J9" s="67"/>
      <c r="K9" t="s">
        <v>10</v>
      </c>
      <c r="L9" s="15">
        <f>STDEV(G32,G35,G38)/SQRT(3)</f>
        <v>276.40323284311944</v>
      </c>
      <c r="M9" s="15">
        <f>STDEV(H32,H35,H38)/SQRT(3)</f>
        <v>2.5524423506615959</v>
      </c>
      <c r="N9" s="70" t="e">
        <f>STDEV(I32,I35,I38)/SQRT(3)</f>
        <v>#DIV/0!</v>
      </c>
      <c r="O9" s="70" t="e">
        <f>STDEV(J32,J35,J38)/SQRT(3)</f>
        <v>#DIV/0!</v>
      </c>
    </row>
    <row r="10" spans="1:15" x14ac:dyDescent="0.25">
      <c r="A10" s="4"/>
      <c r="B10" s="17" t="s">
        <v>76</v>
      </c>
      <c r="C10" s="12"/>
      <c r="D10" s="12"/>
      <c r="E10" s="60"/>
      <c r="F10" s="61"/>
      <c r="G10" s="8"/>
      <c r="H10" s="8"/>
      <c r="I10" s="64"/>
      <c r="J10" s="65"/>
      <c r="L10" s="8"/>
      <c r="M10" s="8"/>
      <c r="N10" s="70"/>
      <c r="O10" s="64"/>
    </row>
    <row r="11" spans="1:15" x14ac:dyDescent="0.25">
      <c r="A11" s="4"/>
      <c r="B11" s="17" t="s">
        <v>77</v>
      </c>
      <c r="C11" s="12">
        <v>209.4091942996188</v>
      </c>
      <c r="D11" s="12">
        <v>533.73022507898224</v>
      </c>
      <c r="E11" s="60"/>
      <c r="F11" s="61"/>
      <c r="G11" s="8">
        <f>(AVERAGE(C11:C13)-AVERAGE(C5:C7))*$D$1</f>
        <v>-704.95536602735513</v>
      </c>
      <c r="H11" s="8">
        <f>(AVERAGE(D11:D13)-AVERAGE(D5:D7))*$D$1</f>
        <v>-12.945269020641478</v>
      </c>
      <c r="I11" s="64" t="e">
        <f>(AVERAGE(E11:E13)-AVERAGE(E5:E7))*$D$1</f>
        <v>#DIV/0!</v>
      </c>
      <c r="J11" s="65" t="e">
        <f>(AVERAGE(F11:F13)-AVERAGE(F5:F7))*$D$1</f>
        <v>#DIV/0!</v>
      </c>
      <c r="L11" s="8"/>
      <c r="M11" s="8"/>
      <c r="N11" s="70"/>
      <c r="O11" s="64"/>
    </row>
    <row r="12" spans="1:15" x14ac:dyDescent="0.25">
      <c r="A12" s="4"/>
      <c r="B12" s="17" t="s">
        <v>77</v>
      </c>
      <c r="C12" s="12"/>
      <c r="D12" s="12"/>
      <c r="E12" s="60"/>
      <c r="F12" s="61"/>
      <c r="I12" s="66"/>
      <c r="J12" s="67"/>
      <c r="L12" s="8"/>
      <c r="M12" s="8"/>
      <c r="N12" s="64"/>
      <c r="O12" s="70"/>
    </row>
    <row r="13" spans="1:15" x14ac:dyDescent="0.25">
      <c r="A13" s="4"/>
      <c r="B13" s="17" t="s">
        <v>77</v>
      </c>
      <c r="C13" s="12"/>
      <c r="D13" s="12"/>
      <c r="E13" s="60"/>
      <c r="F13" s="61"/>
      <c r="G13" s="8"/>
      <c r="H13" s="8"/>
      <c r="I13" s="64"/>
      <c r="J13" s="65"/>
      <c r="N13" s="66"/>
      <c r="O13" s="66"/>
    </row>
    <row r="14" spans="1:15" x14ac:dyDescent="0.25">
      <c r="A14" s="4"/>
      <c r="B14" s="17" t="s">
        <v>78</v>
      </c>
      <c r="C14" s="12">
        <v>205.44769552661731</v>
      </c>
      <c r="D14" s="12">
        <v>533.14995645751833</v>
      </c>
      <c r="E14" s="60"/>
      <c r="F14" s="61"/>
      <c r="G14" s="8">
        <f>(AVERAGE(C14:C16)-AVERAGE(C5:C7))*$D$1</f>
        <v>-764.1137477041774</v>
      </c>
      <c r="H14" s="8">
        <f>(AVERAGE(D14:D16)-AVERAGE(D5:D7))*$D$1</f>
        <v>-21.610613767835947</v>
      </c>
      <c r="I14" s="64" t="e">
        <f>(AVERAGE(E14:E16)-AVERAGE(E5:E7))*$D$1</f>
        <v>#DIV/0!</v>
      </c>
      <c r="J14" s="65" t="e">
        <f>(AVERAGE(F14:F16)-AVERAGE(F5:F7))*$D$1</f>
        <v>#DIV/0!</v>
      </c>
      <c r="K14" t="s">
        <v>20</v>
      </c>
      <c r="L14" s="8">
        <f>AVERAGE(G8,G11,G14,G20,G23,G26,G32,G35,G38)</f>
        <v>-990.78717786002744</v>
      </c>
      <c r="M14" s="8">
        <f>AVERAGE(H8,H11,H14,H20,H23,H26,H32,H35,H38)</f>
        <v>9.8851021200929452</v>
      </c>
      <c r="N14" s="64" t="e">
        <f>AVERAGE(I8,I11,I14,I20,I23,I26,I32,I35,I38)</f>
        <v>#DIV/0!</v>
      </c>
      <c r="O14" s="70" t="e">
        <f>AVERAGE(J8,J11,J14,J20,J23, J26,J32,J35,J38)</f>
        <v>#DIV/0!</v>
      </c>
    </row>
    <row r="15" spans="1:15" x14ac:dyDescent="0.25">
      <c r="A15" s="4"/>
      <c r="B15" s="17" t="s">
        <v>78</v>
      </c>
      <c r="C15" s="12"/>
      <c r="D15" s="12"/>
      <c r="E15" s="60"/>
      <c r="F15" s="61"/>
      <c r="I15" s="66"/>
      <c r="J15" s="67"/>
      <c r="K15" t="s">
        <v>10</v>
      </c>
      <c r="L15" s="8">
        <f>STDEV(G8,G11,G14,G20,G23,G26,G32,G35,G38)/SQRT(9)</f>
        <v>163.50322772324631</v>
      </c>
      <c r="M15" s="8">
        <f>STDEV(H8,H11,H14,H20,H23,H26,H32,H35,H38)/SQRT(9)</f>
        <v>6.9114746066252231</v>
      </c>
      <c r="N15" s="64" t="e">
        <f>STDEV(I8,I11,I14,I20,I23,I26,I32,I35,I38)/SQRT(9)</f>
        <v>#DIV/0!</v>
      </c>
      <c r="O15" s="70" t="e">
        <f>STDEV(J8,J11,J14,J20,J23,J26,J32,J35,J38)/SQRT(9)</f>
        <v>#DIV/0!</v>
      </c>
    </row>
    <row r="16" spans="1:15" x14ac:dyDescent="0.25">
      <c r="A16" s="4"/>
      <c r="B16" s="17" t="s">
        <v>78</v>
      </c>
      <c r="C16" s="13"/>
      <c r="D16" s="13"/>
      <c r="E16" s="62"/>
      <c r="F16" s="63"/>
      <c r="G16" s="9"/>
      <c r="H16" s="9"/>
      <c r="I16" s="68"/>
      <c r="J16" s="69"/>
      <c r="N16" s="71" t="s">
        <v>53</v>
      </c>
    </row>
    <row r="17" spans="1:10" x14ac:dyDescent="0.25">
      <c r="A17" s="4"/>
      <c r="B17" s="4" t="s">
        <v>22</v>
      </c>
      <c r="C17" s="12">
        <v>265.00073664649165</v>
      </c>
      <c r="D17" s="12">
        <v>532.03723880980908</v>
      </c>
      <c r="E17" s="60"/>
      <c r="F17" s="61"/>
      <c r="G17" s="8"/>
      <c r="H17" s="8"/>
      <c r="I17" s="64"/>
      <c r="J17" s="65"/>
    </row>
    <row r="18" spans="1:10" x14ac:dyDescent="0.25">
      <c r="A18" s="4"/>
      <c r="B18" s="4" t="s">
        <v>22</v>
      </c>
      <c r="C18" s="12"/>
      <c r="D18" s="12"/>
      <c r="E18" s="60"/>
      <c r="F18" s="61"/>
      <c r="G18" s="8"/>
      <c r="H18" s="8"/>
      <c r="I18" s="64"/>
      <c r="J18" s="65"/>
    </row>
    <row r="19" spans="1:10" x14ac:dyDescent="0.25">
      <c r="A19" s="4"/>
      <c r="B19" s="4" t="s">
        <v>22</v>
      </c>
      <c r="C19" s="12"/>
      <c r="D19" s="12"/>
      <c r="E19" s="60"/>
      <c r="F19" s="61"/>
      <c r="G19" s="8"/>
      <c r="H19" s="8"/>
      <c r="I19" s="64"/>
      <c r="J19" s="65"/>
    </row>
    <row r="20" spans="1:10" x14ac:dyDescent="0.25">
      <c r="A20" s="4"/>
      <c r="B20" s="17" t="s">
        <v>79</v>
      </c>
      <c r="C20" s="12">
        <v>218.34115475682017</v>
      </c>
      <c r="D20" s="12">
        <v>531.81957491833475</v>
      </c>
      <c r="E20" s="60"/>
      <c r="F20" s="61"/>
      <c r="G20" s="8">
        <f>(AVERAGE(C20:C22)-AVERAGE(C17:C19))*$D$1</f>
        <v>-696.78308955242744</v>
      </c>
      <c r="H20" s="8">
        <f>(AVERAGE(D20:D22)-AVERAGE(D17:D19))*$D$1</f>
        <v>-3.2504474460166732</v>
      </c>
      <c r="I20" s="64" t="e">
        <f>(AVERAGE(E20:E22)-AVERAGE(E17:E19))*$D$1</f>
        <v>#DIV/0!</v>
      </c>
      <c r="J20" s="65" t="e">
        <f>(AVERAGE(F20:F22)-AVERAGE(F17:F19))*$D$1</f>
        <v>#DIV/0!</v>
      </c>
    </row>
    <row r="21" spans="1:10" x14ac:dyDescent="0.25">
      <c r="A21" s="4"/>
      <c r="B21" s="17" t="s">
        <v>79</v>
      </c>
      <c r="C21" s="12"/>
      <c r="D21" s="12"/>
      <c r="E21" s="60"/>
      <c r="F21" s="61"/>
      <c r="I21" s="66"/>
      <c r="J21" s="67"/>
    </row>
    <row r="22" spans="1:10" x14ac:dyDescent="0.25">
      <c r="A22" s="4"/>
      <c r="B22" s="17" t="s">
        <v>79</v>
      </c>
      <c r="C22" s="12"/>
      <c r="D22" s="12"/>
      <c r="E22" s="60"/>
      <c r="F22" s="61"/>
      <c r="G22" s="8"/>
      <c r="H22" s="8"/>
      <c r="I22" s="64"/>
      <c r="J22" s="65"/>
    </row>
    <row r="23" spans="1:10" x14ac:dyDescent="0.25">
      <c r="A23" s="4"/>
      <c r="B23" s="17" t="s">
        <v>80</v>
      </c>
      <c r="C23" s="12">
        <v>186.62351902516309</v>
      </c>
      <c r="D23" s="12">
        <v>532.14702803154023</v>
      </c>
      <c r="E23" s="60"/>
      <c r="F23" s="61"/>
      <c r="G23" s="8">
        <f>(AVERAGE(C23:C25)-AVERAGE(C17:C19))*$D$1</f>
        <v>-1170.4331164785067</v>
      </c>
      <c r="H23" s="8">
        <f>(AVERAGE(D23:D25)-AVERAGE(D17:D19))*$D$1</f>
        <v>1.6395190445184809</v>
      </c>
      <c r="I23" s="64" t="e">
        <f>(AVERAGE(E23:E25)-AVERAGE(E17:E19))*$D$1</f>
        <v>#DIV/0!</v>
      </c>
      <c r="J23" s="65" t="e">
        <f>(AVERAGE(F23:F25)-AVERAGE(F17:F19))*$D$1</f>
        <v>#DIV/0!</v>
      </c>
    </row>
    <row r="24" spans="1:10" x14ac:dyDescent="0.25">
      <c r="A24" s="4"/>
      <c r="B24" s="17" t="s">
        <v>80</v>
      </c>
      <c r="C24" s="12"/>
      <c r="D24" s="12"/>
      <c r="E24" s="60"/>
      <c r="F24" s="61"/>
      <c r="I24" s="66"/>
      <c r="J24" s="67"/>
    </row>
    <row r="25" spans="1:10" x14ac:dyDescent="0.25">
      <c r="A25" s="4"/>
      <c r="B25" s="17" t="s">
        <v>80</v>
      </c>
      <c r="C25" s="12"/>
      <c r="D25" s="12"/>
      <c r="E25" s="60"/>
      <c r="F25" s="61"/>
      <c r="G25" s="8"/>
      <c r="H25" s="8"/>
      <c r="I25" s="64"/>
      <c r="J25" s="65"/>
    </row>
    <row r="26" spans="1:10" x14ac:dyDescent="0.25">
      <c r="A26" s="4"/>
      <c r="B26" s="17" t="s">
        <v>81</v>
      </c>
      <c r="C26" s="12">
        <v>135.53610310973227</v>
      </c>
      <c r="D26" s="12">
        <v>532.50040583561997</v>
      </c>
      <c r="E26" s="60"/>
      <c r="F26" s="61"/>
      <c r="G26" s="8">
        <f>(AVERAGE(C26:C28)-AVERAGE(C17:C19))*$D$1</f>
        <v>-1933.3385274822738</v>
      </c>
      <c r="H26" s="8">
        <f>(AVERAGE(D26:D28)-AVERAGE(D17:D19))*$D$1</f>
        <v>6.9166275854426225</v>
      </c>
      <c r="I26" s="64" t="e">
        <f>(AVERAGE(E26:E28)-AVERAGE(E17:E19))*$D$1</f>
        <v>#DIV/0!</v>
      </c>
      <c r="J26" s="65" t="e">
        <f>(AVERAGE(F26:F28)-AVERAGE(F17:F19))*$D$1</f>
        <v>#DIV/0!</v>
      </c>
    </row>
    <row r="27" spans="1:10" x14ac:dyDescent="0.25">
      <c r="A27" s="4"/>
      <c r="B27" s="17" t="s">
        <v>81</v>
      </c>
      <c r="C27" s="12"/>
      <c r="D27" s="12"/>
      <c r="E27" s="60"/>
      <c r="F27" s="61"/>
      <c r="I27" s="66"/>
      <c r="J27" s="67"/>
    </row>
    <row r="28" spans="1:10" x14ac:dyDescent="0.25">
      <c r="A28" s="4"/>
      <c r="B28" s="17" t="s">
        <v>81</v>
      </c>
      <c r="C28" s="14"/>
      <c r="D28" s="13"/>
      <c r="E28" s="62"/>
      <c r="F28" s="63"/>
      <c r="G28" s="9"/>
      <c r="H28" s="9"/>
      <c r="I28" s="68"/>
      <c r="J28" s="69"/>
    </row>
    <row r="29" spans="1:10" x14ac:dyDescent="0.25">
      <c r="A29" s="4"/>
      <c r="B29" s="4" t="s">
        <v>23</v>
      </c>
      <c r="C29" s="12">
        <v>247.23811840491848</v>
      </c>
      <c r="D29" s="12">
        <v>532.54770177969556</v>
      </c>
      <c r="E29" s="60"/>
      <c r="F29" s="61"/>
      <c r="G29" s="8"/>
      <c r="H29" s="8"/>
      <c r="I29" s="64"/>
      <c r="J29" s="65"/>
    </row>
    <row r="30" spans="1:10" x14ac:dyDescent="0.25">
      <c r="A30" s="11"/>
      <c r="B30" s="20" t="s">
        <v>23</v>
      </c>
      <c r="C30" s="12"/>
      <c r="D30" s="12"/>
      <c r="E30" s="60"/>
      <c r="F30" s="61"/>
      <c r="G30" s="8"/>
      <c r="H30" s="8"/>
      <c r="I30" s="64"/>
      <c r="J30" s="65"/>
    </row>
    <row r="31" spans="1:10" x14ac:dyDescent="0.25">
      <c r="A31" s="11"/>
      <c r="B31" s="20" t="s">
        <v>23</v>
      </c>
      <c r="C31" s="12"/>
      <c r="D31" s="12"/>
      <c r="E31" s="60"/>
      <c r="F31" s="61"/>
      <c r="G31" s="8"/>
      <c r="H31" s="8"/>
      <c r="I31" s="64"/>
      <c r="J31" s="65"/>
    </row>
    <row r="32" spans="1:10" x14ac:dyDescent="0.25">
      <c r="A32" s="11"/>
      <c r="B32" s="59" t="s">
        <v>82</v>
      </c>
      <c r="C32" s="12">
        <v>197.75781930545622</v>
      </c>
      <c r="D32" s="12">
        <v>534.11429540821837</v>
      </c>
      <c r="E32" s="60"/>
      <c r="F32" s="61"/>
      <c r="G32" s="8">
        <f>(AVERAGE(C32:C34)-AVERAGE(C29:C31))*$D$1</f>
        <v>-738.90579988530328</v>
      </c>
      <c r="H32" s="8">
        <f>(AVERAGE(D32:D34)-AVERAGE(D29:D31))*$D$1</f>
        <v>23.3944648526073</v>
      </c>
      <c r="I32" s="64" t="e">
        <f>(AVERAGE(E32:E34)-AVERAGE(E29:E31))*$D$1</f>
        <v>#DIV/0!</v>
      </c>
      <c r="J32" s="65" t="e">
        <f>(AVERAGE(F32:F34)-AVERAGE(F29:F31))*$D$1</f>
        <v>#DIV/0!</v>
      </c>
    </row>
    <row r="33" spans="1:10" x14ac:dyDescent="0.25">
      <c r="A33" s="11"/>
      <c r="B33" s="59" t="s">
        <v>82</v>
      </c>
      <c r="C33" s="12"/>
      <c r="D33" s="12"/>
      <c r="E33" s="60"/>
      <c r="F33" s="61"/>
      <c r="I33" s="66"/>
      <c r="J33" s="67"/>
    </row>
    <row r="34" spans="1:10" x14ac:dyDescent="0.25">
      <c r="A34" s="11"/>
      <c r="B34" s="59" t="s">
        <v>82</v>
      </c>
      <c r="C34" s="12"/>
      <c r="D34" s="12"/>
      <c r="E34" s="60"/>
      <c r="F34" s="61"/>
      <c r="G34" s="8"/>
      <c r="H34" s="8"/>
      <c r="I34" s="64"/>
      <c r="J34" s="65"/>
    </row>
    <row r="35" spans="1:10" x14ac:dyDescent="0.25">
      <c r="A35" s="11"/>
      <c r="B35" s="59" t="s">
        <v>83</v>
      </c>
      <c r="C35" s="12">
        <v>190.12715910735611</v>
      </c>
      <c r="D35" s="12">
        <v>534.67749106369547</v>
      </c>
      <c r="E35" s="60"/>
      <c r="F35" s="61"/>
      <c r="G35" s="8">
        <f>(AVERAGE(C35:C37)-AVERAGE(C29:C31))*$D$1</f>
        <v>-852.85699217693173</v>
      </c>
      <c r="H35" s="8">
        <f>(AVERAGE(D35:D37)-AVERAGE(D29:D31))*$D$1</f>
        <v>31.804853307732031</v>
      </c>
      <c r="I35" s="64" t="e">
        <f>(AVERAGE(E35:E37)-AVERAGE(E29:E31))*$D$1</f>
        <v>#DIV/0!</v>
      </c>
      <c r="J35" s="65" t="e">
        <f>(AVERAGE(F35:F37)-AVERAGE(F29:F31))*$D$1</f>
        <v>#DIV/0!</v>
      </c>
    </row>
    <row r="36" spans="1:10" x14ac:dyDescent="0.25">
      <c r="A36" s="11"/>
      <c r="B36" s="59" t="s">
        <v>83</v>
      </c>
      <c r="C36" s="12"/>
      <c r="D36" s="12"/>
      <c r="E36" s="60"/>
      <c r="F36" s="61"/>
      <c r="I36" s="66"/>
      <c r="J36" s="67"/>
    </row>
    <row r="37" spans="1:10" x14ac:dyDescent="0.25">
      <c r="A37" s="11"/>
      <c r="B37" s="59" t="s">
        <v>83</v>
      </c>
      <c r="C37" s="12"/>
      <c r="D37" s="12"/>
      <c r="E37" s="60"/>
      <c r="F37" s="61"/>
      <c r="G37" s="8"/>
      <c r="H37" s="8"/>
      <c r="I37" s="64"/>
      <c r="J37" s="65"/>
    </row>
    <row r="38" spans="1:10" x14ac:dyDescent="0.25">
      <c r="A38" s="11"/>
      <c r="B38" s="59" t="s">
        <v>84</v>
      </c>
      <c r="C38" s="12">
        <v>138.80968748914191</v>
      </c>
      <c r="D38" s="12">
        <v>534.2376578600423</v>
      </c>
      <c r="E38" s="60"/>
      <c r="F38" s="61"/>
      <c r="G38" s="8">
        <f>(AVERAGE(C38:C40)-AVERAGE(C29:C31))*$D$1</f>
        <v>-1619.1979016755972</v>
      </c>
      <c r="H38" s="8">
        <f>(AVERAGE(D38:D40)-AVERAGE(D29:D31))*$D$1</f>
        <v>25.236677466511424</v>
      </c>
      <c r="I38" s="64" t="e">
        <f>(AVERAGE(E38:E40)-AVERAGE(E29:E31))*$D$1</f>
        <v>#DIV/0!</v>
      </c>
      <c r="J38" s="65" t="e">
        <f>(AVERAGE(F38:F40)-AVERAGE(F29:F31))*$D$1</f>
        <v>#DIV/0!</v>
      </c>
    </row>
    <row r="39" spans="1:10" x14ac:dyDescent="0.25">
      <c r="A39" s="71"/>
      <c r="B39" s="59" t="s">
        <v>84</v>
      </c>
      <c r="C39" s="12"/>
      <c r="D39" s="12"/>
      <c r="E39" s="60"/>
      <c r="F39" s="61"/>
      <c r="I39" s="66"/>
      <c r="J39" s="67"/>
    </row>
    <row r="40" spans="1:10" x14ac:dyDescent="0.25">
      <c r="A40" s="72"/>
      <c r="B40" s="59" t="s">
        <v>84</v>
      </c>
      <c r="C40" s="13"/>
      <c r="D40" s="13"/>
      <c r="E40" s="62"/>
      <c r="F40" s="63"/>
      <c r="G40" s="9"/>
      <c r="H40" s="9"/>
      <c r="I40" s="68"/>
      <c r="J40" s="69"/>
    </row>
    <row r="41" spans="1:10" x14ac:dyDescent="0.25">
      <c r="E41" s="71" t="s">
        <v>53</v>
      </c>
      <c r="I41" s="7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zoomScaleNormal="100" workbookViewId="0">
      <selection activeCell="A5" sqref="A5"/>
    </sheetView>
  </sheetViews>
  <sheetFormatPr defaultColWidth="8.81640625" defaultRowHeight="12.5" x14ac:dyDescent="0.25"/>
  <cols>
    <col min="1" max="1" width="19.36328125" bestFit="1" customWidth="1"/>
    <col min="8" max="8" width="7.81640625" customWidth="1"/>
    <col min="9" max="9" width="8.36328125" customWidth="1"/>
    <col min="12" max="12" width="9.1796875" bestFit="1" customWidth="1"/>
  </cols>
  <sheetData>
    <row r="1" spans="1:15" ht="14.5" x14ac:dyDescent="0.25">
      <c r="A1" t="s">
        <v>0</v>
      </c>
      <c r="D1" s="22">
        <f>(E2*60/1000)/0.0045</f>
        <v>14.933333333333337</v>
      </c>
      <c r="E1" s="19" t="s">
        <v>54</v>
      </c>
    </row>
    <row r="2" spans="1:15" x14ac:dyDescent="0.25">
      <c r="A2" s="16" t="s">
        <v>47</v>
      </c>
      <c r="B2" s="16"/>
      <c r="D2" s="16" t="s">
        <v>50</v>
      </c>
      <c r="E2">
        <v>1.1200000000000001</v>
      </c>
      <c r="F2" s="16" t="s">
        <v>49</v>
      </c>
    </row>
    <row r="3" spans="1:15" ht="16" x14ac:dyDescent="0.4">
      <c r="A3" s="56" t="s">
        <v>48</v>
      </c>
      <c r="B3" s="57"/>
      <c r="C3" s="1"/>
      <c r="D3" s="1"/>
      <c r="E3" s="1"/>
      <c r="F3" s="1"/>
      <c r="G3" s="1"/>
      <c r="H3" s="1"/>
      <c r="I3" s="1"/>
      <c r="J3" s="1"/>
      <c r="L3" s="2" t="s">
        <v>3</v>
      </c>
      <c r="M3" s="6" t="s">
        <v>4</v>
      </c>
      <c r="N3" s="6" t="s">
        <v>5</v>
      </c>
      <c r="O3" s="7" t="s">
        <v>6</v>
      </c>
    </row>
    <row r="4" spans="1:15" ht="16" x14ac:dyDescent="0.4">
      <c r="A4" s="5" t="s">
        <v>1</v>
      </c>
      <c r="B4" s="3" t="s">
        <v>2</v>
      </c>
      <c r="C4" s="2" t="s">
        <v>3</v>
      </c>
      <c r="D4" s="6" t="s">
        <v>4</v>
      </c>
      <c r="E4" s="6" t="s">
        <v>5</v>
      </c>
      <c r="F4" s="7" t="s">
        <v>6</v>
      </c>
      <c r="G4" s="2" t="s">
        <v>3</v>
      </c>
      <c r="H4" s="6" t="s">
        <v>4</v>
      </c>
      <c r="I4" s="6" t="s">
        <v>5</v>
      </c>
      <c r="J4" s="7" t="s">
        <v>6</v>
      </c>
      <c r="K4" t="s">
        <v>7</v>
      </c>
      <c r="L4" s="15">
        <f>AVERAGE(G8,G11,G14)</f>
        <v>-884.36632056814233</v>
      </c>
      <c r="M4" s="15">
        <f>AVERAGE(H8,H11,H14)</f>
        <v>25.140175032395529</v>
      </c>
      <c r="N4" s="70" t="e">
        <f>AVERAGE(I8,I11,I14)</f>
        <v>#DIV/0!</v>
      </c>
      <c r="O4" s="70" t="e">
        <f>AVERAGE(J8,J11,J14)</f>
        <v>#DIV/0!</v>
      </c>
    </row>
    <row r="5" spans="1:15" x14ac:dyDescent="0.25">
      <c r="A5" s="17" t="s">
        <v>55</v>
      </c>
      <c r="B5" s="4" t="s">
        <v>21</v>
      </c>
      <c r="C5" s="12">
        <v>218.25510913676013</v>
      </c>
      <c r="D5" s="12">
        <v>533.76120161732752</v>
      </c>
      <c r="E5" s="60"/>
      <c r="F5" s="61"/>
      <c r="G5" s="8"/>
      <c r="H5" s="8"/>
      <c r="I5" s="64"/>
      <c r="J5" s="65"/>
      <c r="K5" t="s">
        <v>10</v>
      </c>
      <c r="L5" s="15">
        <f>STDEV(G8,G11,G14)/SQRT(3)</f>
        <v>291.27575810406876</v>
      </c>
      <c r="M5" s="15">
        <f>STDEV(H8,H11,H14)/SQRT(3)</f>
        <v>8.2759198604746427</v>
      </c>
      <c r="N5" s="70" t="e">
        <f>STDEV(I8,I11,I14)/SQRT(3)</f>
        <v>#DIV/0!</v>
      </c>
      <c r="O5" s="70" t="e">
        <f>STDEV(J8,J11,J14)/SQRT(3)</f>
        <v>#DIV/0!</v>
      </c>
    </row>
    <row r="6" spans="1:15" x14ac:dyDescent="0.25">
      <c r="A6" s="58"/>
      <c r="B6" s="4" t="s">
        <v>21</v>
      </c>
      <c r="C6" s="12"/>
      <c r="D6" s="12"/>
      <c r="E6" s="60"/>
      <c r="F6" s="61"/>
      <c r="G6" s="8"/>
      <c r="H6" s="8"/>
      <c r="I6" s="64"/>
      <c r="J6" s="65"/>
      <c r="K6" t="s">
        <v>8</v>
      </c>
      <c r="L6" s="15">
        <f>AVERAGE(G20,G23,G26)</f>
        <v>-1038.6273877069943</v>
      </c>
      <c r="M6" s="15">
        <f>AVERAGE(H20,H23,H26)</f>
        <v>5.9899443918795461</v>
      </c>
      <c r="N6" s="70" t="e">
        <f>AVERAGE(I20,I23,I26)</f>
        <v>#DIV/0!</v>
      </c>
      <c r="O6" s="70" t="e">
        <f>AVERAGE(J20,J23,J26)</f>
        <v>#DIV/0!</v>
      </c>
    </row>
    <row r="7" spans="1:15" x14ac:dyDescent="0.25">
      <c r="A7" s="17"/>
      <c r="B7" s="4" t="s">
        <v>21</v>
      </c>
      <c r="C7" s="12"/>
      <c r="D7" s="12"/>
      <c r="E7" s="60"/>
      <c r="F7" s="61"/>
      <c r="G7" s="8"/>
      <c r="H7" s="8"/>
      <c r="I7" s="64"/>
      <c r="J7" s="65"/>
      <c r="K7" t="s">
        <v>10</v>
      </c>
      <c r="L7" s="15">
        <f>STDEV(G20,G23,G26)/SQRT(3)</f>
        <v>187.26804106596191</v>
      </c>
      <c r="M7" s="15">
        <f>STDEV(H20,H23,H26)/SQRT(3)</f>
        <v>6.0668345838392606</v>
      </c>
      <c r="N7" s="70" t="e">
        <f>STDEV(I20,I23,I26)/SQRT(3)</f>
        <v>#DIV/0!</v>
      </c>
      <c r="O7" s="70" t="e">
        <f>STDEV(J20,J23,J26)/SQRT(3)</f>
        <v>#DIV/0!</v>
      </c>
    </row>
    <row r="8" spans="1:15" x14ac:dyDescent="0.25">
      <c r="A8" s="4"/>
      <c r="B8" s="17" t="s">
        <v>85</v>
      </c>
      <c r="C8" s="12">
        <v>181.4202511442727</v>
      </c>
      <c r="D8" s="12">
        <v>536.24742614587592</v>
      </c>
      <c r="E8" s="60"/>
      <c r="F8" s="61"/>
      <c r="G8" s="8">
        <f>(AVERAGE(C8:C10)-AVERAGE(C5:C7))*$D$1</f>
        <v>-550.06721268781246</v>
      </c>
      <c r="H8" s="8">
        <f>(AVERAGE(D8:D10)-AVERAGE(D5:D7))*$D$1</f>
        <v>37.127619626322861</v>
      </c>
      <c r="I8" s="64" t="e">
        <f>(AVERAGE(E8:E10)-AVERAGE(E5:E7))*$D$1</f>
        <v>#DIV/0!</v>
      </c>
      <c r="J8" s="65" t="e">
        <f>(AVERAGE(F8:F10)-AVERAGE(F5:F7))*$D$1</f>
        <v>#DIV/0!</v>
      </c>
      <c r="K8" t="s">
        <v>9</v>
      </c>
      <c r="L8" s="15">
        <f>AVERAGE(G32,G35,G38)</f>
        <v>-591.59292742892251</v>
      </c>
      <c r="M8" s="15">
        <f>AVERAGE(H32,H35,H38)</f>
        <v>31.459685190490006</v>
      </c>
      <c r="N8" s="70" t="e">
        <f>AVERAGE(I32,I35,I38)</f>
        <v>#DIV/0!</v>
      </c>
      <c r="O8" s="70" t="e">
        <f>AVERAGE(J32,J35,J38)</f>
        <v>#DIV/0!</v>
      </c>
    </row>
    <row r="9" spans="1:15" x14ac:dyDescent="0.25">
      <c r="A9" s="4"/>
      <c r="B9" s="17" t="s">
        <v>85</v>
      </c>
      <c r="C9" s="12"/>
      <c r="D9" s="12"/>
      <c r="E9" s="60"/>
      <c r="F9" s="61"/>
      <c r="I9" s="66"/>
      <c r="J9" s="67"/>
      <c r="K9" t="s">
        <v>10</v>
      </c>
      <c r="L9" s="15">
        <f>STDEV(G32,G35,G38)/SQRT(3)</f>
        <v>242.02915408596806</v>
      </c>
      <c r="M9" s="15">
        <f>STDEV(H32,H35,H38)/SQRT(3)</f>
        <v>35.390006451711685</v>
      </c>
      <c r="N9" s="70" t="e">
        <f>STDEV(I32,I35,I38)/SQRT(3)</f>
        <v>#DIV/0!</v>
      </c>
      <c r="O9" s="70" t="e">
        <f>STDEV(J32,J35,J38)/SQRT(3)</f>
        <v>#DIV/0!</v>
      </c>
    </row>
    <row r="10" spans="1:15" x14ac:dyDescent="0.25">
      <c r="A10" s="4"/>
      <c r="B10" s="17" t="s">
        <v>85</v>
      </c>
      <c r="C10" s="12"/>
      <c r="D10" s="12"/>
      <c r="E10" s="60"/>
      <c r="F10" s="61"/>
      <c r="G10" s="8"/>
      <c r="H10" s="8"/>
      <c r="I10" s="64"/>
      <c r="J10" s="65"/>
      <c r="L10" s="8"/>
      <c r="M10" s="8"/>
      <c r="N10" s="70"/>
      <c r="O10" s="64"/>
    </row>
    <row r="11" spans="1:15" x14ac:dyDescent="0.25">
      <c r="A11" s="4"/>
      <c r="B11" s="17" t="s">
        <v>86</v>
      </c>
      <c r="C11" s="12">
        <v>175.50859850042517</v>
      </c>
      <c r="D11" s="12">
        <v>535.70522199015591</v>
      </c>
      <c r="E11" s="60"/>
      <c r="F11" s="61"/>
      <c r="G11" s="8">
        <f>(AVERAGE(C11:C13)-AVERAGE(C5:C7))*$D$1</f>
        <v>-638.3478921692689</v>
      </c>
      <c r="H11" s="8">
        <f>(AVERAGE(D11:D13)-AVERAGE(D5:D7))*$D$1</f>
        <v>29.030704234237305</v>
      </c>
      <c r="I11" s="64" t="e">
        <f>(AVERAGE(E11:E13)-AVERAGE(E5:E7))*$D$1</f>
        <v>#DIV/0!</v>
      </c>
      <c r="J11" s="65" t="e">
        <f>(AVERAGE(F11:F13)-AVERAGE(F5:F7))*$D$1</f>
        <v>#DIV/0!</v>
      </c>
      <c r="L11" s="8"/>
      <c r="M11" s="8"/>
      <c r="N11" s="70"/>
      <c r="O11" s="64"/>
    </row>
    <row r="12" spans="1:15" x14ac:dyDescent="0.25">
      <c r="A12" s="4"/>
      <c r="B12" s="17" t="s">
        <v>86</v>
      </c>
      <c r="C12" s="12"/>
      <c r="D12" s="12"/>
      <c r="E12" s="60"/>
      <c r="F12" s="61"/>
      <c r="I12" s="66"/>
      <c r="J12" s="67"/>
      <c r="L12" s="8"/>
      <c r="M12" s="8"/>
      <c r="N12" s="64"/>
      <c r="O12" s="70"/>
    </row>
    <row r="13" spans="1:15" x14ac:dyDescent="0.25">
      <c r="A13" s="4"/>
      <c r="B13" s="17" t="s">
        <v>86</v>
      </c>
      <c r="C13" s="12"/>
      <c r="D13" s="12"/>
      <c r="E13" s="60"/>
      <c r="F13" s="61"/>
      <c r="G13" s="8"/>
      <c r="H13" s="8"/>
      <c r="I13" s="64"/>
      <c r="J13" s="65"/>
      <c r="N13" s="66"/>
      <c r="O13" s="66"/>
    </row>
    <row r="14" spans="1:15" x14ac:dyDescent="0.25">
      <c r="A14" s="4"/>
      <c r="B14" s="17" t="s">
        <v>87</v>
      </c>
      <c r="C14" s="12">
        <v>120.17360086573255</v>
      </c>
      <c r="D14" s="12">
        <v>534.38143830728018</v>
      </c>
      <c r="E14" s="60"/>
      <c r="F14" s="61"/>
      <c r="G14" s="8">
        <f>(AVERAGE(C14:C16)-AVERAGE(C5:C7))*$D$1</f>
        <v>-1464.6838568473454</v>
      </c>
      <c r="H14" s="8">
        <f>(AVERAGE(D14:D16)-AVERAGE(D5:D7))*$D$1</f>
        <v>9.2622012366264261</v>
      </c>
      <c r="I14" s="64" t="e">
        <f>(AVERAGE(E14:E16)-AVERAGE(E5:E7))*$D$1</f>
        <v>#DIV/0!</v>
      </c>
      <c r="J14" s="65" t="e">
        <f>(AVERAGE(F14:F16)-AVERAGE(F5:F7))*$D$1</f>
        <v>#DIV/0!</v>
      </c>
      <c r="K14" t="s">
        <v>20</v>
      </c>
      <c r="L14" s="8">
        <f>AVERAGE(G8,G11,G14,G20,G23,G26,G32,G35,G38)</f>
        <v>-838.19554523468639</v>
      </c>
      <c r="M14" s="8">
        <f>AVERAGE(H8,H11,H14,H20,H23,H26,H32,H35,H38)</f>
        <v>20.863268204921692</v>
      </c>
      <c r="N14" s="64" t="e">
        <f>AVERAGE(I8,I11,I14,I20,I23,I26,I32,I35,I38)</f>
        <v>#DIV/0!</v>
      </c>
      <c r="O14" s="70" t="e">
        <f>AVERAGE(J8,J11,J14,J20,J23, J26,J32,J35,J38)</f>
        <v>#DIV/0!</v>
      </c>
    </row>
    <row r="15" spans="1:15" x14ac:dyDescent="0.25">
      <c r="A15" s="4"/>
      <c r="B15" s="17" t="s">
        <v>87</v>
      </c>
      <c r="C15" s="12"/>
      <c r="D15" s="12"/>
      <c r="E15" s="60"/>
      <c r="F15" s="61"/>
      <c r="I15" s="66"/>
      <c r="J15" s="67"/>
      <c r="K15" t="s">
        <v>10</v>
      </c>
      <c r="L15" s="8">
        <f>STDEV(G8,G11,G14,G20,G23,G26,G32,G35,G38)/SQRT(9)</f>
        <v>138.45810299856905</v>
      </c>
      <c r="M15" s="8">
        <f>STDEV(H8,H11,H14,H20,H23,H26,H32,H35,H38)/SQRT(9)</f>
        <v>11.30503487077082</v>
      </c>
      <c r="N15" s="64" t="e">
        <f>STDEV(I8,I11,I14,I20,I23,I26,I32,I35,I38)/SQRT(9)</f>
        <v>#DIV/0!</v>
      </c>
      <c r="O15" s="70" t="e">
        <f>STDEV(J8,J11,J14,J20,J23,J26,J32,J35,J38)/SQRT(9)</f>
        <v>#DIV/0!</v>
      </c>
    </row>
    <row r="16" spans="1:15" x14ac:dyDescent="0.25">
      <c r="A16" s="4"/>
      <c r="B16" s="17" t="s">
        <v>87</v>
      </c>
      <c r="C16" s="13"/>
      <c r="D16" s="13"/>
      <c r="E16" s="62"/>
      <c r="F16" s="63"/>
      <c r="G16" s="9"/>
      <c r="H16" s="9"/>
      <c r="I16" s="68"/>
      <c r="J16" s="69"/>
      <c r="N16" s="71" t="s">
        <v>53</v>
      </c>
    </row>
    <row r="17" spans="1:10" x14ac:dyDescent="0.25">
      <c r="A17" s="4"/>
      <c r="B17" s="4" t="s">
        <v>22</v>
      </c>
      <c r="C17" s="12">
        <v>230.96611695177717</v>
      </c>
      <c r="D17" s="12">
        <v>532.51074922894736</v>
      </c>
      <c r="E17" s="60"/>
      <c r="F17" s="61"/>
      <c r="G17" s="8"/>
      <c r="H17" s="8"/>
      <c r="I17" s="64"/>
      <c r="J17" s="65"/>
    </row>
    <row r="18" spans="1:10" x14ac:dyDescent="0.25">
      <c r="A18" s="4"/>
      <c r="B18" s="4" t="s">
        <v>22</v>
      </c>
      <c r="C18" s="12"/>
      <c r="D18" s="12"/>
      <c r="E18" s="60"/>
      <c r="F18" s="61"/>
      <c r="G18" s="8"/>
      <c r="H18" s="8"/>
      <c r="I18" s="64"/>
      <c r="J18" s="65"/>
    </row>
    <row r="19" spans="1:10" x14ac:dyDescent="0.25">
      <c r="A19" s="4"/>
      <c r="B19" s="4" t="s">
        <v>22</v>
      </c>
      <c r="C19" s="12"/>
      <c r="D19" s="12"/>
      <c r="E19" s="60"/>
      <c r="F19" s="61"/>
      <c r="G19" s="8"/>
      <c r="H19" s="8"/>
      <c r="I19" s="64"/>
      <c r="J19" s="65"/>
    </row>
    <row r="20" spans="1:10" x14ac:dyDescent="0.25">
      <c r="A20" s="4"/>
      <c r="B20" s="17" t="s">
        <v>88</v>
      </c>
      <c r="C20" s="12">
        <v>184.96570220799467</v>
      </c>
      <c r="D20" s="12">
        <v>532.57672449022596</v>
      </c>
      <c r="E20" s="60"/>
      <c r="F20" s="61"/>
      <c r="G20" s="8">
        <f>(AVERAGE(C20:C22)-AVERAGE(C17:C19))*$D$1</f>
        <v>-686.93952684048554</v>
      </c>
      <c r="H20" s="8">
        <f>(AVERAGE(D20:D22)-AVERAGE(D17:D19))*$D$1</f>
        <v>0.98523056842702039</v>
      </c>
      <c r="I20" s="64" t="e">
        <f>(AVERAGE(E20:E22)-AVERAGE(E17:E19))*$D$1</f>
        <v>#DIV/0!</v>
      </c>
      <c r="J20" s="65" t="e">
        <f>(AVERAGE(F20:F22)-AVERAGE(F17:F19))*$D$1</f>
        <v>#DIV/0!</v>
      </c>
    </row>
    <row r="21" spans="1:10" x14ac:dyDescent="0.25">
      <c r="A21" s="4"/>
      <c r="B21" s="17" t="s">
        <v>88</v>
      </c>
      <c r="C21" s="12"/>
      <c r="D21" s="12"/>
      <c r="E21" s="60"/>
      <c r="F21" s="61"/>
      <c r="I21" s="66"/>
      <c r="J21" s="67"/>
    </row>
    <row r="22" spans="1:10" x14ac:dyDescent="0.25">
      <c r="A22" s="4"/>
      <c r="B22" s="17" t="s">
        <v>88</v>
      </c>
      <c r="C22" s="12"/>
      <c r="D22" s="12"/>
      <c r="E22" s="60"/>
      <c r="F22" s="61"/>
      <c r="G22" s="8"/>
      <c r="H22" s="8"/>
      <c r="I22" s="64"/>
      <c r="J22" s="65"/>
    </row>
    <row r="23" spans="1:10" x14ac:dyDescent="0.25">
      <c r="A23" s="4"/>
      <c r="B23" s="17" t="s">
        <v>89</v>
      </c>
      <c r="C23" s="12">
        <v>157.11016632289622</v>
      </c>
      <c r="D23" s="12">
        <v>532.43840988126567</v>
      </c>
      <c r="E23" s="60"/>
      <c r="F23" s="61"/>
      <c r="G23" s="8">
        <f>(AVERAGE(C23:C25)-AVERAGE(C17:C19))*$D$1</f>
        <v>-1102.9155293912891</v>
      </c>
      <c r="H23" s="8">
        <f>(AVERAGE(D23:D25)-AVERAGE(D17:D19))*$D$1</f>
        <v>-1.0802675920465847</v>
      </c>
      <c r="I23" s="64" t="e">
        <f>(AVERAGE(E23:E25)-AVERAGE(E17:E19))*$D$1</f>
        <v>#DIV/0!</v>
      </c>
      <c r="J23" s="65" t="e">
        <f>(AVERAGE(F23:F25)-AVERAGE(F17:F19))*$D$1</f>
        <v>#DIV/0!</v>
      </c>
    </row>
    <row r="24" spans="1:10" x14ac:dyDescent="0.25">
      <c r="A24" s="4"/>
      <c r="B24" s="17" t="s">
        <v>89</v>
      </c>
      <c r="C24" s="12"/>
      <c r="D24" s="12"/>
      <c r="E24" s="60"/>
      <c r="F24" s="61"/>
      <c r="I24" s="66"/>
      <c r="J24" s="67"/>
    </row>
    <row r="25" spans="1:10" x14ac:dyDescent="0.25">
      <c r="A25" s="4"/>
      <c r="B25" s="17" t="s">
        <v>89</v>
      </c>
      <c r="C25" s="12"/>
      <c r="D25" s="12"/>
      <c r="E25" s="60"/>
      <c r="F25" s="61"/>
      <c r="G25" s="8"/>
      <c r="H25" s="8"/>
      <c r="I25" s="64"/>
      <c r="J25" s="65"/>
    </row>
    <row r="26" spans="1:10" x14ac:dyDescent="0.25">
      <c r="A26" s="4"/>
      <c r="B26" s="17" t="s">
        <v>90</v>
      </c>
      <c r="C26" s="12">
        <v>142.16965890116055</v>
      </c>
      <c r="D26" s="12">
        <v>533.72045035836197</v>
      </c>
      <c r="E26" s="60"/>
      <c r="F26" s="61"/>
      <c r="G26" s="8">
        <f>(AVERAGE(C26:C28)-AVERAGE(C17:C19))*$D$1</f>
        <v>-1326.0271068892087</v>
      </c>
      <c r="H26" s="8">
        <f>(AVERAGE(D26:D28)-AVERAGE(D17:D19))*$D$1</f>
        <v>18.064870199258202</v>
      </c>
      <c r="I26" s="64" t="e">
        <f>(AVERAGE(E26:E28)-AVERAGE(E17:E19))*$D$1</f>
        <v>#DIV/0!</v>
      </c>
      <c r="J26" s="65" t="e">
        <f>(AVERAGE(F26:F28)-AVERAGE(F17:F19))*$D$1</f>
        <v>#DIV/0!</v>
      </c>
    </row>
    <row r="27" spans="1:10" x14ac:dyDescent="0.25">
      <c r="A27" s="4"/>
      <c r="B27" s="17" t="s">
        <v>90</v>
      </c>
      <c r="C27" s="12"/>
      <c r="D27" s="12"/>
      <c r="E27" s="60"/>
      <c r="F27" s="61"/>
      <c r="I27" s="66"/>
      <c r="J27" s="67"/>
    </row>
    <row r="28" spans="1:10" x14ac:dyDescent="0.25">
      <c r="A28" s="4"/>
      <c r="B28" s="17" t="s">
        <v>90</v>
      </c>
      <c r="C28" s="14"/>
      <c r="D28" s="13"/>
      <c r="E28" s="62"/>
      <c r="F28" s="63"/>
      <c r="G28" s="9"/>
      <c r="H28" s="9"/>
      <c r="I28" s="68"/>
      <c r="J28" s="69"/>
    </row>
    <row r="29" spans="1:10" x14ac:dyDescent="0.25">
      <c r="A29" s="4"/>
      <c r="B29" s="4" t="s">
        <v>23</v>
      </c>
      <c r="C29" s="12">
        <v>209.2011192515977</v>
      </c>
      <c r="D29" s="12">
        <v>535.9752981810999</v>
      </c>
      <c r="E29" s="60"/>
      <c r="F29" s="61"/>
      <c r="G29" s="8"/>
      <c r="H29" s="8"/>
      <c r="I29" s="64"/>
      <c r="J29" s="65"/>
    </row>
    <row r="30" spans="1:10" x14ac:dyDescent="0.25">
      <c r="A30" s="11"/>
      <c r="B30" s="20" t="s">
        <v>23</v>
      </c>
      <c r="C30" s="12"/>
      <c r="D30" s="12"/>
      <c r="E30" s="60"/>
      <c r="F30" s="61"/>
      <c r="G30" s="8"/>
      <c r="H30" s="8"/>
      <c r="I30" s="64"/>
      <c r="J30" s="65"/>
    </row>
    <row r="31" spans="1:10" x14ac:dyDescent="0.25">
      <c r="A31" s="11"/>
      <c r="B31" s="20" t="s">
        <v>23</v>
      </c>
      <c r="C31" s="12"/>
      <c r="D31" s="12"/>
      <c r="E31" s="60"/>
      <c r="F31" s="61"/>
      <c r="G31" s="8"/>
      <c r="H31" s="8"/>
      <c r="I31" s="64"/>
      <c r="J31" s="65"/>
    </row>
    <row r="32" spans="1:10" x14ac:dyDescent="0.25">
      <c r="A32" s="11"/>
      <c r="B32" s="59" t="s">
        <v>91</v>
      </c>
      <c r="C32" s="12">
        <v>183.31813706661421</v>
      </c>
      <c r="D32" s="12">
        <v>535.40662006387288</v>
      </c>
      <c r="E32" s="60"/>
      <c r="F32" s="61"/>
      <c r="G32" s="8">
        <f>(AVERAGE(C32:C34)-AVERAGE(C29:C31))*$D$1</f>
        <v>-386.51920062908687</v>
      </c>
      <c r="H32" s="8">
        <f>(AVERAGE(D32:D34)-AVERAGE(D29:D31))*$D$1</f>
        <v>-8.4922598839235448</v>
      </c>
      <c r="I32" s="64" t="e">
        <f>(AVERAGE(E32:E34)-AVERAGE(E29:E31))*$D$1</f>
        <v>#DIV/0!</v>
      </c>
      <c r="J32" s="65" t="e">
        <f>(AVERAGE(F32:F34)-AVERAGE(F29:F31))*$D$1</f>
        <v>#DIV/0!</v>
      </c>
    </row>
    <row r="33" spans="1:13" x14ac:dyDescent="0.25">
      <c r="A33" s="11"/>
      <c r="B33" s="59" t="s">
        <v>91</v>
      </c>
      <c r="C33" s="12"/>
      <c r="D33" s="12"/>
      <c r="E33" s="60"/>
      <c r="F33" s="61"/>
      <c r="I33" s="66"/>
      <c r="J33" s="67"/>
    </row>
    <row r="34" spans="1:13" x14ac:dyDescent="0.25">
      <c r="A34" s="11"/>
      <c r="B34" s="59" t="s">
        <v>91</v>
      </c>
      <c r="C34" s="12"/>
      <c r="D34" s="12"/>
      <c r="E34" s="60"/>
      <c r="F34" s="61"/>
      <c r="G34" s="8"/>
      <c r="H34" s="8"/>
      <c r="I34" s="64"/>
      <c r="J34" s="65"/>
    </row>
    <row r="35" spans="1:13" x14ac:dyDescent="0.25">
      <c r="A35" s="11"/>
      <c r="B35" s="59" t="s">
        <v>92</v>
      </c>
      <c r="C35" s="12">
        <v>188.14738868435529</v>
      </c>
      <c r="D35" s="12">
        <v>536.03133731634227</v>
      </c>
      <c r="E35" s="60"/>
      <c r="F35" s="61"/>
      <c r="G35" s="8">
        <f>(AVERAGE(C35:C37)-AVERAGE(C29:C31))*$D$1</f>
        <v>-314.40237647082006</v>
      </c>
      <c r="H35" s="8">
        <f>(AVERAGE(D35:D37)-AVERAGE(D29:D31))*$D$1</f>
        <v>0.83685108628609084</v>
      </c>
      <c r="I35" s="64" t="e">
        <f>(AVERAGE(E35:E37)-AVERAGE(E29:E31))*$D$1</f>
        <v>#DIV/0!</v>
      </c>
      <c r="J35" s="65" t="e">
        <f>(AVERAGE(F35:F37)-AVERAGE(F29:F31))*$D$1</f>
        <v>#DIV/0!</v>
      </c>
    </row>
    <row r="36" spans="1:13" x14ac:dyDescent="0.25">
      <c r="A36" s="11"/>
      <c r="B36" s="59" t="s">
        <v>92</v>
      </c>
      <c r="C36" s="12"/>
      <c r="D36" s="12"/>
      <c r="E36" s="60"/>
      <c r="F36" s="61"/>
      <c r="I36" s="66"/>
      <c r="J36" s="67"/>
    </row>
    <row r="37" spans="1:13" x14ac:dyDescent="0.25">
      <c r="A37" s="11"/>
      <c r="B37" s="59" t="s">
        <v>92</v>
      </c>
      <c r="C37" s="12"/>
      <c r="D37" s="12"/>
      <c r="E37" s="60"/>
      <c r="F37" s="61"/>
      <c r="G37" s="8"/>
      <c r="H37" s="8"/>
      <c r="I37" s="64"/>
      <c r="J37" s="65"/>
    </row>
    <row r="38" spans="1:13" x14ac:dyDescent="0.25">
      <c r="A38" s="11"/>
      <c r="B38" s="59" t="s">
        <v>93</v>
      </c>
      <c r="C38" s="12">
        <v>137.29103854712045</v>
      </c>
      <c r="D38" s="12">
        <v>542.80796320581692</v>
      </c>
      <c r="E38" s="60"/>
      <c r="F38" s="61"/>
      <c r="G38" s="8">
        <f>(AVERAGE(C38:C40)-AVERAGE(C29:C31))*$D$1</f>
        <v>-1073.8572051868605</v>
      </c>
      <c r="H38" s="8">
        <f>(AVERAGE(D38:D40)-AVERAGE(D29:D31))*$D$1</f>
        <v>102.03446436910747</v>
      </c>
      <c r="I38" s="64" t="e">
        <f>(AVERAGE(E38:E40)-AVERAGE(E29:E31))*$D$1</f>
        <v>#DIV/0!</v>
      </c>
      <c r="J38" s="65" t="e">
        <f>(AVERAGE(F38:F40)-AVERAGE(F29:F31))*$D$1</f>
        <v>#DIV/0!</v>
      </c>
    </row>
    <row r="39" spans="1:13" x14ac:dyDescent="0.25">
      <c r="A39" s="71"/>
      <c r="B39" s="59" t="s">
        <v>93</v>
      </c>
      <c r="C39" s="12"/>
      <c r="D39" s="12"/>
      <c r="E39" s="60"/>
      <c r="F39" s="61"/>
      <c r="I39" s="66"/>
      <c r="J39" s="67"/>
    </row>
    <row r="40" spans="1:13" x14ac:dyDescent="0.25">
      <c r="A40" s="72"/>
      <c r="B40" s="59" t="s">
        <v>93</v>
      </c>
      <c r="C40" s="13"/>
      <c r="D40" s="13"/>
      <c r="E40" s="62"/>
      <c r="F40" s="63"/>
      <c r="G40" s="9"/>
      <c r="H40" s="9"/>
      <c r="I40" s="68"/>
      <c r="J40" s="69"/>
    </row>
    <row r="41" spans="1:13" x14ac:dyDescent="0.25">
      <c r="B41" s="10"/>
      <c r="C41" s="10"/>
      <c r="D41" s="10"/>
      <c r="E41" s="71" t="s">
        <v>53</v>
      </c>
      <c r="F41" s="10"/>
      <c r="G41" s="1"/>
      <c r="H41" s="1"/>
      <c r="I41" s="71" t="s">
        <v>53</v>
      </c>
    </row>
    <row r="42" spans="1:13" x14ac:dyDescent="0.25">
      <c r="A42" s="28"/>
      <c r="B42" s="29" t="s">
        <v>31</v>
      </c>
      <c r="C42" s="30" t="s">
        <v>32</v>
      </c>
      <c r="D42" s="28" t="s">
        <v>40</v>
      </c>
      <c r="E42" s="29" t="s">
        <v>33</v>
      </c>
      <c r="F42" s="30" t="s">
        <v>34</v>
      </c>
      <c r="G42" s="28" t="s">
        <v>41</v>
      </c>
      <c r="H42" s="31" t="s">
        <v>35</v>
      </c>
      <c r="I42" s="30" t="s">
        <v>36</v>
      </c>
      <c r="J42" s="28" t="s">
        <v>42</v>
      </c>
      <c r="K42" s="55" t="s">
        <v>46</v>
      </c>
      <c r="L42" s="55"/>
      <c r="M42" s="55"/>
    </row>
    <row r="43" spans="1:13" x14ac:dyDescent="0.25">
      <c r="A43" s="32" t="s">
        <v>11</v>
      </c>
      <c r="B43" s="33" t="e">
        <f>(AVERAGE(D8:D10)*0.00632+AVERAGE(E8:E10))/(AVERAGE(D8:D10)+AVERAGE(D8:D10)*0.00632+AVERAGE(E8:E10)+AVERAGE(D8:D10)*0.00316^2+AVERAGE(F8:F10))</f>
        <v>#DIV/0!</v>
      </c>
      <c r="C43" s="34" t="e">
        <f>(AVERAGE(D11:D13)*0.00632+AVERAGE(E11:E13))/(AVERAGE(D11:D13)+AVERAGE(D11:D13)*0.00632+AVERAGE(E11:E13)+AVERAGE(D11:D13)*0.00316^2+AVERAGE(F11:F13))</f>
        <v>#DIV/0!</v>
      </c>
      <c r="D43" s="32" t="e">
        <f>(AVERAGE(D14:D16)*0.00632+AVERAGE(E14:E16))/(AVERAGE(D14:D16)+AVERAGE(D14:D16)*0.00632+AVERAGE(E14:E16)+AVERAGE(D14:D16)*0.00316^2+AVERAGE(F14:F16))</f>
        <v>#DIV/0!</v>
      </c>
      <c r="E43" s="33" t="e">
        <f>(AVERAGE(D20:D22)*0.00632+AVERAGE(E20:E22))/(AVERAGE(D20:D22)+AVERAGE(D20:D22)*0.00632+AVERAGE(E20:E22)+AVERAGE(D20:D22)*0.00316^2+AVERAGE(F20:F22))</f>
        <v>#DIV/0!</v>
      </c>
      <c r="F43" s="34" t="e">
        <f>(AVERAGE(D23:D25)*0.00632+AVERAGE(E23:E25))/(AVERAGE(D23:D25)+AVERAGE(D23:D25)*0.00632+AVERAGE(E23:E25)+AVERAGE(D23:D25)*0.00316^2+AVERAGE(F23:F25))</f>
        <v>#DIV/0!</v>
      </c>
      <c r="G43" s="32" t="e">
        <f>(AVERAGE(D26:D28)*0.00632+AVERAGE(E26:E28))/(AVERAGE(D26:D28)+AVERAGE(D26:D28)*0.00632+AVERAGE(E26:E28)+AVERAGE(D26:D28)*0.00316^2+AVERAGE(F26:F28))</f>
        <v>#DIV/0!</v>
      </c>
      <c r="H43" s="35" t="e">
        <f>(AVERAGE(D32:D34)*0.00632+AVERAGE(E32:E34))/(AVERAGE(D32:D34)+AVERAGE(D32:D34)*0.00632+AVERAGE(E32:E34)+AVERAGE(D32:D34)*0.00316^2+AVERAGE(F32:F34))</f>
        <v>#DIV/0!</v>
      </c>
      <c r="I43" s="34" t="e">
        <f>(AVERAGE(D35:D37)*0.00632+AVERAGE(E35:E37))/(AVERAGE(D35:D37)+AVERAGE(D35:D37)*0.00632+AVERAGE(E35:E37)+AVERAGE(D35:D37)*0.00316^2+AVERAGE(F35:F37))</f>
        <v>#DIV/0!</v>
      </c>
      <c r="J43" s="36" t="e">
        <f>(AVERAGE(D38:D40)*0.00632+AVERAGE(E38:E40))/(AVERAGE(D38:D40)+AVERAGE(D38:D40)*0.00632+AVERAGE(E38:E40)+AVERAGE(D38:D40)*0.00316^2+AVERAGE(F38:F40))</f>
        <v>#DIV/0!</v>
      </c>
      <c r="K43" s="51"/>
    </row>
    <row r="44" spans="1:13" x14ac:dyDescent="0.25">
      <c r="A44" s="32" t="s">
        <v>12</v>
      </c>
      <c r="B44" s="33" t="e">
        <f>(AVERAGE(D8:D10)*0.00316^2+AVERAGE(F8:F10))/(AVERAGE(D8:D10)+AVERAGE(D8:D10)*0.00632+AVERAGE(E8:E10)+AVERAGE(D8:D10)*0.00316^2+AVERAGE(F8:F10))</f>
        <v>#DIV/0!</v>
      </c>
      <c r="C44" s="33" t="e">
        <f>(AVERAGE(D11:D13)*0.00316^2+AVERAGE(F11:F13))/(AVERAGE(D11:D13)+AVERAGE(D11:D13)*0.00632+AVERAGE(E11:E13)+AVERAGE(D11:D13)*0.00316^2+AVERAGE(F11:F13))</f>
        <v>#DIV/0!</v>
      </c>
      <c r="D44" s="32" t="e">
        <f>(AVERAGE(D14:D16)*0.00316^2+AVERAGE(F14:F16))/(AVERAGE(D14:D16)+AVERAGE(D14:D16)*0.00632+AVERAGE(E14:E16)+AVERAGE(D14:D16)*0.00316^2+AVERAGE(F14:F16))</f>
        <v>#DIV/0!</v>
      </c>
      <c r="E44" s="33" t="e">
        <f>(AVERAGE(D20:D22)*0.00316^2+AVERAGE(F20:F22))/(AVERAGE(D20:D22)+AVERAGE(D20:D22)*0.00632+AVERAGE(E20:E22)+AVERAGE(D20:D22)*0.00316^2+AVERAGE(F20:F22))</f>
        <v>#DIV/0!</v>
      </c>
      <c r="F44" s="33" t="e">
        <f>(AVERAGE(D23:D25)*0.00316^2+AVERAGE(F23:F25))/(AVERAGE(D23:D25)+AVERAGE(D23:D25)*0.00632+AVERAGE(E23:E25)+AVERAGE(D23:D25)*0.00316^2+AVERAGE(F23:F25))</f>
        <v>#DIV/0!</v>
      </c>
      <c r="G44" s="32" t="e">
        <f>(AVERAGE(D26:D28)*0.00316^2+AVERAGE(F26:F28))/(AVERAGE(D26:D28)+AVERAGE(D26:D28)*0.00632+AVERAGE(E26:E28)+AVERAGE(D26:D28)*0.00316^2+AVERAGE(F26:F28))</f>
        <v>#DIV/0!</v>
      </c>
      <c r="H44" s="35" t="e">
        <f>(AVERAGE(D32:D34)*0.00316^2+AVERAGE(F32:F34))/(AVERAGE(D32:D34)+AVERAGE(D32:D34)*0.00632+AVERAGE(E32:E34)+AVERAGE(D32:D34)*0.00316^2+AVERAGE(F32:F34))</f>
        <v>#DIV/0!</v>
      </c>
      <c r="I44" s="33" t="e">
        <f>(AVERAGE(D35:D37)*0.00316^2+AVERAGE(F35:F37))/(AVERAGE(D35:D37)+AVERAGE(D35:D37)*0.00632+AVERAGE(E35:E37)+AVERAGE(D35:D37)*0.00316^2+AVERAGE(F35:F37))</f>
        <v>#DIV/0!</v>
      </c>
      <c r="J44" s="37" t="e">
        <f>(AVERAGE(D38:D40)*0.00316^2+AVERAGE(F38:F40))/(AVERAGE(D38:D40)+AVERAGE(D38:D40)*0.00632+AVERAGE(E38:E40)+AVERAGE(D38:D40)*0.00316^2+AVERAGE(F38:F40))</f>
        <v>#DIV/0!</v>
      </c>
      <c r="K44" s="51"/>
    </row>
    <row r="45" spans="1:13" ht="14.5" x14ac:dyDescent="0.25">
      <c r="A45" s="32" t="s">
        <v>43</v>
      </c>
      <c r="B45" s="33" t="e">
        <f t="shared" ref="B45:I45" si="0">4*B44*(1-B43-B44)-B43^2</f>
        <v>#DIV/0!</v>
      </c>
      <c r="C45" s="33" t="e">
        <f t="shared" si="0"/>
        <v>#DIV/0!</v>
      </c>
      <c r="D45" s="32" t="e">
        <f t="shared" si="0"/>
        <v>#DIV/0!</v>
      </c>
      <c r="E45" s="33" t="e">
        <f t="shared" si="0"/>
        <v>#DIV/0!</v>
      </c>
      <c r="F45" s="33" t="e">
        <f t="shared" si="0"/>
        <v>#DIV/0!</v>
      </c>
      <c r="G45" s="32" t="e">
        <f t="shared" si="0"/>
        <v>#DIV/0!</v>
      </c>
      <c r="H45" s="35" t="e">
        <f t="shared" si="0"/>
        <v>#DIV/0!</v>
      </c>
      <c r="I45" s="33" t="e">
        <f t="shared" si="0"/>
        <v>#DIV/0!</v>
      </c>
      <c r="J45" s="37" t="e">
        <f>4*J44*(1-J43-J44)-JF43^2</f>
        <v>#DIV/0!</v>
      </c>
      <c r="K45" s="51"/>
    </row>
    <row r="46" spans="1:13" x14ac:dyDescent="0.25">
      <c r="A46" s="32" t="s">
        <v>13</v>
      </c>
      <c r="B46" s="33" t="e">
        <f>4*H8*B44+4*J8*(1-B43-B44)-2*I8*B43</f>
        <v>#DIV/0!</v>
      </c>
      <c r="C46" s="33" t="e">
        <f>4*H11*C44+4*J11*(1-C43-C44)-2*I11*C43</f>
        <v>#DIV/0!</v>
      </c>
      <c r="D46" s="32" t="e">
        <f>4*H14*D44+4*J14*(1-D43-D44)-2*I14*D43</f>
        <v>#DIV/0!</v>
      </c>
      <c r="E46" s="33" t="e">
        <f>4*H20*E44+4*J20*(1-E43-E44)-2*I20*E43</f>
        <v>#DIV/0!</v>
      </c>
      <c r="F46" s="33" t="e">
        <f>4*H23*F44+4*J23*(1-F43-F44)-2*I23*F43</f>
        <v>#DIV/0!</v>
      </c>
      <c r="G46" s="32" t="e">
        <f>4*H26*G44+4*J26*(1-G43-G44)-2*I26*G43</f>
        <v>#DIV/0!</v>
      </c>
      <c r="H46" s="35" t="e">
        <f>4*H32*H44+4*J32*(1-H43-H44)-2*I32*H43</f>
        <v>#DIV/0!</v>
      </c>
      <c r="I46" s="33" t="e">
        <f>4*H35*I44+4*J35*(1-I43-I44)-2*I35*I43</f>
        <v>#DIV/0!</v>
      </c>
      <c r="J46" s="37" t="e">
        <f>4*H38*J44+4*J38*(1-J43-J44)-2*I38*J43</f>
        <v>#DIV/0!</v>
      </c>
      <c r="K46" s="51"/>
    </row>
    <row r="47" spans="1:13" x14ac:dyDescent="0.25">
      <c r="A47" s="32" t="s">
        <v>14</v>
      </c>
      <c r="B47" s="33" t="e">
        <f>4*H8*J8-I8^2</f>
        <v>#DIV/0!</v>
      </c>
      <c r="C47" s="33" t="e">
        <f>4*H11*J11-I11^2</f>
        <v>#DIV/0!</v>
      </c>
      <c r="D47" s="32" t="e">
        <f>4*H14*J14-I14^2</f>
        <v>#DIV/0!</v>
      </c>
      <c r="E47" s="33" t="e">
        <f>4*H20*J20-I20^2</f>
        <v>#DIV/0!</v>
      </c>
      <c r="F47" s="33" t="e">
        <f>4*H23*J23-I23^2</f>
        <v>#DIV/0!</v>
      </c>
      <c r="G47" s="32" t="e">
        <f>4*H26*J26-I26^2</f>
        <v>#DIV/0!</v>
      </c>
      <c r="H47" s="35" t="e">
        <f>4*H32*J32-I32^2</f>
        <v>#DIV/0!</v>
      </c>
      <c r="I47" s="33" t="e">
        <f>4*H35*J35-I35^2</f>
        <v>#DIV/0!</v>
      </c>
      <c r="J47" s="37" t="e">
        <f>4*H38*J38-I38^2</f>
        <v>#DIV/0!</v>
      </c>
      <c r="K47" s="51"/>
    </row>
    <row r="48" spans="1:13" x14ac:dyDescent="0.25">
      <c r="A48" s="32" t="s">
        <v>15</v>
      </c>
      <c r="B48" s="33" t="e">
        <f t="shared" ref="B48:J48" si="1">(-B46+SQRT(B46^2-4*B45*B47))/(2*B45)</f>
        <v>#DIV/0!</v>
      </c>
      <c r="C48" s="33" t="e">
        <f t="shared" si="1"/>
        <v>#DIV/0!</v>
      </c>
      <c r="D48" s="32" t="e">
        <f t="shared" si="1"/>
        <v>#DIV/0!</v>
      </c>
      <c r="E48" s="33" t="e">
        <f t="shared" si="1"/>
        <v>#DIV/0!</v>
      </c>
      <c r="F48" s="33" t="e">
        <f t="shared" si="1"/>
        <v>#DIV/0!</v>
      </c>
      <c r="G48" s="32" t="e">
        <f t="shared" si="1"/>
        <v>#DIV/0!</v>
      </c>
      <c r="H48" s="35" t="e">
        <f t="shared" si="1"/>
        <v>#DIV/0!</v>
      </c>
      <c r="I48" s="33" t="e">
        <f t="shared" si="1"/>
        <v>#DIV/0!</v>
      </c>
      <c r="J48" s="37" t="e">
        <f t="shared" si="1"/>
        <v>#DIV/0!</v>
      </c>
      <c r="K48" s="51"/>
    </row>
    <row r="49" spans="1:11" ht="15.5" x14ac:dyDescent="0.4">
      <c r="A49" s="32" t="s">
        <v>44</v>
      </c>
      <c r="B49" s="38" t="e">
        <f>SUM(H8:J8)</f>
        <v>#DIV/0!</v>
      </c>
      <c r="C49" s="38" t="e">
        <f>SUM(H11:J11)</f>
        <v>#DIV/0!</v>
      </c>
      <c r="D49" s="39" t="e">
        <f>SUM(H14:J14)</f>
        <v>#DIV/0!</v>
      </c>
      <c r="E49" s="38" t="e">
        <f>SUM(H20:J20)</f>
        <v>#DIV/0!</v>
      </c>
      <c r="F49" s="38" t="e">
        <f>SUM(H23:J23)</f>
        <v>#DIV/0!</v>
      </c>
      <c r="G49" s="39" t="e">
        <f>SUM(H26:J26)</f>
        <v>#DIV/0!</v>
      </c>
      <c r="H49" s="40" t="e">
        <f>SUM(H32:J32)</f>
        <v>#DIV/0!</v>
      </c>
      <c r="I49" s="38" t="e">
        <f>SUM(H35:J35)</f>
        <v>#DIV/0!</v>
      </c>
      <c r="J49" s="41" t="e">
        <f>SUM(H38:J38)</f>
        <v>#DIV/0!</v>
      </c>
      <c r="K49" s="51"/>
    </row>
    <row r="50" spans="1:11" x14ac:dyDescent="0.25">
      <c r="A50" s="32" t="s">
        <v>16</v>
      </c>
      <c r="B50" s="38" t="e">
        <f t="shared" ref="B50:J50" si="2">SUM(B49)</f>
        <v>#DIV/0!</v>
      </c>
      <c r="C50" s="38" t="e">
        <f t="shared" si="2"/>
        <v>#DIV/0!</v>
      </c>
      <c r="D50" s="38" t="e">
        <f t="shared" si="2"/>
        <v>#DIV/0!</v>
      </c>
      <c r="E50" s="38" t="e">
        <f t="shared" si="2"/>
        <v>#DIV/0!</v>
      </c>
      <c r="F50" s="38" t="e">
        <f t="shared" si="2"/>
        <v>#DIV/0!</v>
      </c>
      <c r="G50" s="39" t="e">
        <f t="shared" si="2"/>
        <v>#DIV/0!</v>
      </c>
      <c r="H50" s="40" t="e">
        <f t="shared" si="2"/>
        <v>#DIV/0!</v>
      </c>
      <c r="I50" s="38" t="e">
        <f t="shared" si="2"/>
        <v>#DIV/0!</v>
      </c>
      <c r="J50" s="42" t="e">
        <f t="shared" si="2"/>
        <v>#DIV/0!</v>
      </c>
      <c r="K50" s="51"/>
    </row>
    <row r="51" spans="1:11" x14ac:dyDescent="0.25">
      <c r="A51" s="32" t="s">
        <v>17</v>
      </c>
      <c r="B51" s="43" t="e">
        <f>(I8/2+J8)</f>
        <v>#DIV/0!</v>
      </c>
      <c r="C51" s="43" t="e">
        <f>(I11/2+J11)</f>
        <v>#DIV/0!</v>
      </c>
      <c r="D51" s="44" t="e">
        <f>(I14/2+J14)</f>
        <v>#DIV/0!</v>
      </c>
      <c r="E51" s="43" t="e">
        <f>(I20/2+J20)</f>
        <v>#DIV/0!</v>
      </c>
      <c r="F51" s="43" t="e">
        <f>(I23/2+J23)</f>
        <v>#DIV/0!</v>
      </c>
      <c r="G51" s="44" t="e">
        <f>(I26/2+J26)</f>
        <v>#DIV/0!</v>
      </c>
      <c r="H51" s="45" t="e">
        <f>(I32/2+J32)</f>
        <v>#DIV/0!</v>
      </c>
      <c r="I51" s="43" t="e">
        <f>(I35/2+J35)</f>
        <v>#DIV/0!</v>
      </c>
      <c r="J51" s="37" t="e">
        <f>(I38/2+J38)</f>
        <v>#DIV/0!</v>
      </c>
      <c r="K51" s="51"/>
    </row>
    <row r="52" spans="1:11" x14ac:dyDescent="0.25">
      <c r="A52" s="32" t="s">
        <v>18</v>
      </c>
      <c r="B52" s="43" t="e">
        <f t="shared" ref="B52" si="3">B50-B51</f>
        <v>#DIV/0!</v>
      </c>
      <c r="C52" s="43" t="e">
        <f t="shared" ref="C52:J52" si="4">C50-C51</f>
        <v>#DIV/0!</v>
      </c>
      <c r="D52" s="44" t="e">
        <f t="shared" si="4"/>
        <v>#DIV/0!</v>
      </c>
      <c r="E52" s="43" t="e">
        <f t="shared" si="4"/>
        <v>#DIV/0!</v>
      </c>
      <c r="F52" s="43" t="e">
        <f t="shared" si="4"/>
        <v>#DIV/0!</v>
      </c>
      <c r="G52" s="44" t="e">
        <f t="shared" si="4"/>
        <v>#DIV/0!</v>
      </c>
      <c r="H52" s="45" t="e">
        <f t="shared" si="4"/>
        <v>#DIV/0!</v>
      </c>
      <c r="I52" s="43" t="e">
        <f t="shared" si="4"/>
        <v>#DIV/0!</v>
      </c>
      <c r="J52" s="42" t="e">
        <f t="shared" si="4"/>
        <v>#DIV/0!</v>
      </c>
      <c r="K52" s="51"/>
    </row>
    <row r="53" spans="1:11" x14ac:dyDescent="0.25">
      <c r="A53" s="46" t="s">
        <v>24</v>
      </c>
      <c r="B53" s="43" t="e">
        <f>I8/J8</f>
        <v>#DIV/0!</v>
      </c>
      <c r="C53" s="43" t="e">
        <f>I11/J11</f>
        <v>#DIV/0!</v>
      </c>
      <c r="D53" s="44" t="e">
        <f>I14/J14</f>
        <v>#DIV/0!</v>
      </c>
      <c r="E53" s="43" t="e">
        <f>I20/J20</f>
        <v>#DIV/0!</v>
      </c>
      <c r="F53" s="43" t="e">
        <f>I23/J23</f>
        <v>#DIV/0!</v>
      </c>
      <c r="G53" s="44" t="e">
        <f>I26/J26</f>
        <v>#DIV/0!</v>
      </c>
      <c r="H53" s="45" t="e">
        <f>I32/J32</f>
        <v>#DIV/0!</v>
      </c>
      <c r="I53" s="43" t="e">
        <f>I35/J35</f>
        <v>#DIV/0!</v>
      </c>
      <c r="J53" s="37" t="e">
        <f>I38/J38</f>
        <v>#DIV/0!</v>
      </c>
      <c r="K53" s="51"/>
    </row>
    <row r="54" spans="1:11" x14ac:dyDescent="0.25">
      <c r="A54" s="47">
        <v>0.63472222222222219</v>
      </c>
      <c r="B54" s="29" t="e">
        <f t="shared" ref="B54:J54" si="5">B51/B52</f>
        <v>#DIV/0!</v>
      </c>
      <c r="C54" s="29" t="e">
        <f t="shared" si="5"/>
        <v>#DIV/0!</v>
      </c>
      <c r="D54" s="48" t="e">
        <f t="shared" si="5"/>
        <v>#DIV/0!</v>
      </c>
      <c r="E54" s="29" t="e">
        <f t="shared" si="5"/>
        <v>#DIV/0!</v>
      </c>
      <c r="F54" s="29" t="e">
        <f t="shared" si="5"/>
        <v>#DIV/0!</v>
      </c>
      <c r="G54" s="48" t="e">
        <f t="shared" si="5"/>
        <v>#DIV/0!</v>
      </c>
      <c r="H54" s="49" t="e">
        <f t="shared" si="5"/>
        <v>#DIV/0!</v>
      </c>
      <c r="I54" s="29" t="e">
        <f t="shared" si="5"/>
        <v>#DIV/0!</v>
      </c>
      <c r="J54" s="50" t="e">
        <f t="shared" si="5"/>
        <v>#DIV/0!</v>
      </c>
      <c r="K54" s="51"/>
    </row>
    <row r="55" spans="1:11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x14ac:dyDescent="0.25">
      <c r="A56" s="33"/>
      <c r="B56" s="33" t="s">
        <v>7</v>
      </c>
      <c r="C56" s="32" t="s">
        <v>10</v>
      </c>
      <c r="D56" s="33" t="s">
        <v>8</v>
      </c>
      <c r="E56" s="32" t="s">
        <v>10</v>
      </c>
      <c r="F56" s="33" t="s">
        <v>9</v>
      </c>
      <c r="G56" s="32" t="s">
        <v>10</v>
      </c>
      <c r="H56" s="33" t="s">
        <v>20</v>
      </c>
      <c r="I56" s="51"/>
      <c r="J56" s="51"/>
      <c r="K56" s="51"/>
    </row>
    <row r="57" spans="1:11" x14ac:dyDescent="0.25">
      <c r="A57" s="33" t="s">
        <v>19</v>
      </c>
      <c r="B57" s="38" t="e">
        <f>AVERAGE(B50:D50)</f>
        <v>#DIV/0!</v>
      </c>
      <c r="C57" s="39" t="e">
        <f>STDEV(B50:D50)/SQRT(3)</f>
        <v>#DIV/0!</v>
      </c>
      <c r="D57" s="38" t="e">
        <f>AVERAGE(E50:G50)</f>
        <v>#DIV/0!</v>
      </c>
      <c r="E57" s="39" t="e">
        <f>STDEV(E50:G50)/SQRT(3)</f>
        <v>#DIV/0!</v>
      </c>
      <c r="F57" s="38" t="e">
        <f>AVERAGE(H50:J50)</f>
        <v>#DIV/0!</v>
      </c>
      <c r="G57" s="39" t="e">
        <f>STDEV(H50:J50)/SQRT(3)</f>
        <v>#DIV/0!</v>
      </c>
      <c r="H57" s="38" t="e">
        <f>AVERAGE(B50:J50)</f>
        <v>#DIV/0!</v>
      </c>
      <c r="I57" s="38" t="e">
        <f>STDEV(B50:J50)/SQRT(9)</f>
        <v>#DIV/0!</v>
      </c>
      <c r="J57" s="51"/>
      <c r="K57" s="51"/>
    </row>
    <row r="58" spans="1:11" x14ac:dyDescent="0.25">
      <c r="A58" s="52">
        <v>0.63472222222222219</v>
      </c>
      <c r="B58" s="38" t="e">
        <f>AVERAGE(B54:D54)</f>
        <v>#DIV/0!</v>
      </c>
      <c r="C58" s="39" t="e">
        <f>STDEV(B54:D54)/SQRT(3)</f>
        <v>#DIV/0!</v>
      </c>
      <c r="D58" s="38" t="e">
        <f>AVERAGE(E54:G54)</f>
        <v>#DIV/0!</v>
      </c>
      <c r="E58" s="39" t="e">
        <f>STDEV(E54:G54)/SQRT(3)</f>
        <v>#DIV/0!</v>
      </c>
      <c r="F58" s="38" t="e">
        <f>AVERAGE(H54:J54)</f>
        <v>#DIV/0!</v>
      </c>
      <c r="G58" s="39" t="e">
        <f>STDEV(H54:J54)/SQRT(3)</f>
        <v>#DIV/0!</v>
      </c>
      <c r="H58" s="38" t="e">
        <f>AVERAGE(B54:J54)</f>
        <v>#DIV/0!</v>
      </c>
      <c r="I58" s="38" t="e">
        <f>STDEV(B54:J54)/SQRT(9)</f>
        <v>#DIV/0!</v>
      </c>
      <c r="J58" s="51"/>
      <c r="K58" s="51"/>
    </row>
    <row r="59" spans="1:11" x14ac:dyDescent="0.25">
      <c r="A59" s="33" t="s">
        <v>15</v>
      </c>
      <c r="B59" s="38" t="e">
        <f>AVERAGE(B48:D48)</f>
        <v>#DIV/0!</v>
      </c>
      <c r="C59" s="39" t="e">
        <f>STDEV(B48:D48)/SQRT(3)</f>
        <v>#DIV/0!</v>
      </c>
      <c r="D59" s="38" t="e">
        <f>AVERAGE(E48:G48)</f>
        <v>#DIV/0!</v>
      </c>
      <c r="E59" s="39" t="e">
        <f>STDEV(E48:G48)/SQRT(3)</f>
        <v>#DIV/0!</v>
      </c>
      <c r="F59" s="38" t="e">
        <f>AVERAGE(H48:J48)</f>
        <v>#DIV/0!</v>
      </c>
      <c r="G59" s="39" t="e">
        <f>STDEV(H48:J48)/SQRT(3)</f>
        <v>#DIV/0!</v>
      </c>
      <c r="H59" s="38" t="e">
        <f>AVERAGE(B48:J48)</f>
        <v>#DIV/0!</v>
      </c>
      <c r="I59" s="38" t="e">
        <f>STDEV(B48:J48)/SQRT(9)</f>
        <v>#DIV/0!</v>
      </c>
      <c r="J59" s="51"/>
      <c r="K59" s="51"/>
    </row>
    <row r="60" spans="1:11" x14ac:dyDescent="0.25">
      <c r="A60" s="53" t="s">
        <v>24</v>
      </c>
      <c r="B60" s="38" t="e">
        <f>AVERAGE(B53:D53)</f>
        <v>#DIV/0!</v>
      </c>
      <c r="C60" s="39" t="e">
        <f>STDEV(B53:D53)/SQRT(3)</f>
        <v>#DIV/0!</v>
      </c>
      <c r="D60" s="38" t="e">
        <f>AVERAGE(E53:G53)</f>
        <v>#DIV/0!</v>
      </c>
      <c r="E60" s="39" t="e">
        <f>STDEV(E53:G53)/SQRT(3)</f>
        <v>#DIV/0!</v>
      </c>
      <c r="F60" s="38" t="e">
        <f>AVERAGE(H53:J53)</f>
        <v>#DIV/0!</v>
      </c>
      <c r="G60" s="39" t="e">
        <f>STDEV(H53:J53)/SQRT(3)</f>
        <v>#DIV/0!</v>
      </c>
      <c r="H60" s="38" t="e">
        <f>AVERAGE(B53:J53)</f>
        <v>#DIV/0!</v>
      </c>
      <c r="I60" s="38" t="e">
        <f>STDEV(B53:J53)/SQRT(9)</f>
        <v>#DIV/0!</v>
      </c>
      <c r="J60" s="51"/>
      <c r="K60" s="51"/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MAGM-grasses</vt:lpstr>
      <vt:lpstr>MAGM-SAV</vt:lpstr>
      <vt:lpstr>MAGM-hardwoods</vt:lpstr>
      <vt:lpstr>MAGM-typha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McCarthy</dc:creator>
  <cp:lastModifiedBy>Mike Back</cp:lastModifiedBy>
  <cp:lastPrinted>2006-10-13T20:12:07Z</cp:lastPrinted>
  <dcterms:created xsi:type="dcterms:W3CDTF">2003-07-17T18:17:19Z</dcterms:created>
  <dcterms:modified xsi:type="dcterms:W3CDTF">2023-03-27T17:21:54Z</dcterms:modified>
</cp:coreProperties>
</file>