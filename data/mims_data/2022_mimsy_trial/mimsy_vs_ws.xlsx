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b\Documents\Kinsman-Costello Lab\H2Ohio\Soil Scale Measurements\Intact Core Incubations\20220712_MAGM\Gas data\"/>
    </mc:Choice>
  </mc:AlternateContent>
  <xr:revisionPtr revIDLastSave="0" documentId="8_{ECE8CBA1-51A0-45A2-B535-1C30E9C223FB}" xr6:coauthVersionLast="47" xr6:coauthVersionMax="47" xr10:uidLastSave="{00000000-0000-0000-0000-000000000000}"/>
  <bookViews>
    <workbookView xWindow="-110" yWindow="-110" windowWidth="19420" windowHeight="10420" activeTab="1" xr2:uid="{273986D7-1DFF-4685-B76F-E88A0E5D01F9}"/>
  </bookViews>
  <sheets>
    <sheet name="mimsy vs ws gas conc" sheetId="1" r:id="rId1"/>
    <sheet name="mimsy_flu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2" l="1"/>
  <c r="F2" i="2"/>
  <c r="D143" i="2"/>
  <c r="D137" i="2"/>
  <c r="E83" i="2"/>
  <c r="D83" i="2"/>
  <c r="D86" i="2"/>
  <c r="E35" i="2"/>
  <c r="D35" i="2"/>
  <c r="D8" i="2"/>
  <c r="E8" i="2"/>
  <c r="D11" i="2"/>
  <c r="E11" i="2"/>
  <c r="D14" i="2"/>
  <c r="E14" i="2"/>
  <c r="D17" i="2"/>
  <c r="E17" i="2"/>
  <c r="D20" i="2"/>
  <c r="E20" i="2"/>
  <c r="D23" i="2"/>
  <c r="E23" i="2"/>
  <c r="D26" i="2"/>
  <c r="E26" i="2"/>
  <c r="D29" i="2"/>
  <c r="E29" i="2"/>
  <c r="D32" i="2"/>
  <c r="E32" i="2"/>
  <c r="D38" i="2"/>
  <c r="E38" i="2"/>
  <c r="D41" i="2"/>
  <c r="E41" i="2"/>
  <c r="D44" i="2"/>
  <c r="E44" i="2"/>
  <c r="D47" i="2"/>
  <c r="E47" i="2"/>
  <c r="D50" i="2"/>
  <c r="E50" i="2"/>
  <c r="D53" i="2"/>
  <c r="E53" i="2"/>
  <c r="D56" i="2"/>
  <c r="E56" i="2"/>
  <c r="D59" i="2"/>
  <c r="E59" i="2"/>
  <c r="D62" i="2"/>
  <c r="E62" i="2"/>
  <c r="D65" i="2"/>
  <c r="E65" i="2"/>
  <c r="D68" i="2"/>
  <c r="E68" i="2"/>
  <c r="D71" i="2"/>
  <c r="E71" i="2"/>
  <c r="D74" i="2"/>
  <c r="E74" i="2"/>
  <c r="D77" i="2"/>
  <c r="E77" i="2"/>
  <c r="D80" i="2"/>
  <c r="E80" i="2"/>
  <c r="E86" i="2"/>
  <c r="D89" i="2"/>
  <c r="E89" i="2"/>
  <c r="D92" i="2"/>
  <c r="E92" i="2"/>
  <c r="D95" i="2"/>
  <c r="E95" i="2"/>
  <c r="D98" i="2"/>
  <c r="E98" i="2"/>
  <c r="D101" i="2"/>
  <c r="E101" i="2"/>
  <c r="D104" i="2"/>
  <c r="E104" i="2"/>
  <c r="D107" i="2"/>
  <c r="E107" i="2"/>
  <c r="D110" i="2"/>
  <c r="E110" i="2"/>
  <c r="D113" i="2"/>
  <c r="E113" i="2"/>
  <c r="D116" i="2"/>
  <c r="E116" i="2"/>
  <c r="D119" i="2"/>
  <c r="E119" i="2"/>
  <c r="D122" i="2"/>
  <c r="E122" i="2"/>
  <c r="D125" i="2"/>
  <c r="E125" i="2"/>
  <c r="D128" i="2"/>
  <c r="E128" i="2"/>
  <c r="D131" i="2"/>
  <c r="E131" i="2"/>
  <c r="D134" i="2"/>
  <c r="E134" i="2"/>
  <c r="E137" i="2"/>
  <c r="D140" i="2"/>
  <c r="E140" i="2"/>
  <c r="E143" i="2"/>
  <c r="D5" i="2"/>
  <c r="E5" i="2"/>
  <c r="E2" i="2"/>
  <c r="D2" i="2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G2" i="1"/>
  <c r="F2" i="1"/>
</calcChain>
</file>

<file path=xl/sharedStrings.xml><?xml version="1.0" encoding="utf-8"?>
<sst xmlns="http://schemas.openxmlformats.org/spreadsheetml/2006/main" count="301" uniqueCount="154">
  <si>
    <t>sample</t>
  </si>
  <si>
    <t>mimsyN2</t>
  </si>
  <si>
    <t>mimsyO2</t>
  </si>
  <si>
    <t>wsN2</t>
  </si>
  <si>
    <t>wsO2</t>
  </si>
  <si>
    <t>grassesIN_T0_1</t>
  </si>
  <si>
    <t>grassesIN_T0_2</t>
  </si>
  <si>
    <t>grassesIN_T0_3</t>
  </si>
  <si>
    <t>1_T0_1</t>
  </si>
  <si>
    <t>1_T0_2</t>
  </si>
  <si>
    <t>1_T0_3</t>
  </si>
  <si>
    <t>2_T0_1</t>
  </si>
  <si>
    <t>2_T0_2</t>
  </si>
  <si>
    <t>2_T0_3</t>
  </si>
  <si>
    <t>3_T0_1</t>
  </si>
  <si>
    <t>3_T0_2</t>
  </si>
  <si>
    <t>3_T0_3</t>
  </si>
  <si>
    <t>openwaterIN_T0_1</t>
  </si>
  <si>
    <t>openwaterIN_T0_2</t>
  </si>
  <si>
    <t>openwaterIN_T0_3</t>
  </si>
  <si>
    <t>4_T0_1</t>
  </si>
  <si>
    <t>4_T0_2</t>
  </si>
  <si>
    <t>4_T0_3</t>
  </si>
  <si>
    <t>5_T0_1</t>
  </si>
  <si>
    <t>5_T0_2</t>
  </si>
  <si>
    <t>5_T0_3</t>
  </si>
  <si>
    <t>6_T0_1</t>
  </si>
  <si>
    <t>6_T0_2</t>
  </si>
  <si>
    <t>6_T0_3</t>
  </si>
  <si>
    <t>hardwoodsIN_T0_1</t>
  </si>
  <si>
    <t>hardwoodsIN_T0_2</t>
  </si>
  <si>
    <t>hardwoodsIN_T0_3</t>
  </si>
  <si>
    <t>7_T0_1</t>
  </si>
  <si>
    <t>7_T0_2</t>
  </si>
  <si>
    <t>7_T0_3</t>
  </si>
  <si>
    <t>8_T0_1</t>
  </si>
  <si>
    <t>8_T0_2</t>
  </si>
  <si>
    <t>8_T0_3</t>
  </si>
  <si>
    <t>9_T0_1</t>
  </si>
  <si>
    <t>9_T0_2</t>
  </si>
  <si>
    <t>9_T0_3</t>
  </si>
  <si>
    <t>typhaIN_T0_1</t>
  </si>
  <si>
    <t>typhaIN_T0_2</t>
  </si>
  <si>
    <t>typhaIN_T0_3</t>
  </si>
  <si>
    <t>10_T0_1</t>
  </si>
  <si>
    <t>10_T0_2</t>
  </si>
  <si>
    <t>10_T0_3</t>
  </si>
  <si>
    <t>11_T0_1</t>
  </si>
  <si>
    <t>11_T0_2</t>
  </si>
  <si>
    <t>11_T0_3</t>
  </si>
  <si>
    <t>12_T0_1</t>
  </si>
  <si>
    <t>12_T0_2</t>
  </si>
  <si>
    <t>12_T0_3</t>
  </si>
  <si>
    <t>grassesIN_T1_1</t>
  </si>
  <si>
    <t>grassesIN_T1_2</t>
  </si>
  <si>
    <t>grassesIN_T1_3</t>
  </si>
  <si>
    <t>1_T1_1</t>
  </si>
  <si>
    <t>1_T1_2</t>
  </si>
  <si>
    <t>1_T1_3</t>
  </si>
  <si>
    <t>2_T1_1</t>
  </si>
  <si>
    <t>2_T1_2</t>
  </si>
  <si>
    <t>2_T1_3</t>
  </si>
  <si>
    <t>3_T1_1</t>
  </si>
  <si>
    <t>3_T1_2</t>
  </si>
  <si>
    <t>3_T1_3</t>
  </si>
  <si>
    <t>openwaterIN_T1_1</t>
  </si>
  <si>
    <t>openwaterIN_T1_2</t>
  </si>
  <si>
    <t>openwaterIN_T1_3</t>
  </si>
  <si>
    <t>4_T1_1</t>
  </si>
  <si>
    <t>4_T1_2</t>
  </si>
  <si>
    <t>4_T1_3</t>
  </si>
  <si>
    <t>5_T1_1</t>
  </si>
  <si>
    <t>5_T1_2</t>
  </si>
  <si>
    <t>5_T1_3</t>
  </si>
  <si>
    <t>6_T1_1</t>
  </si>
  <si>
    <t>6_T1_2</t>
  </si>
  <si>
    <t>6_T1_3</t>
  </si>
  <si>
    <t>hardwoodsIN_T1_1</t>
  </si>
  <si>
    <t>hardwoodsIN_T1_2</t>
  </si>
  <si>
    <t>hardwoodsIN_T1_3</t>
  </si>
  <si>
    <t>7_T1_1</t>
  </si>
  <si>
    <t>7_T1_2</t>
  </si>
  <si>
    <t>7_T1_3</t>
  </si>
  <si>
    <t>8_T1_1</t>
  </si>
  <si>
    <t>8_T1_2</t>
  </si>
  <si>
    <t>8_T1_3</t>
  </si>
  <si>
    <t>9_T1_1</t>
  </si>
  <si>
    <t>9_T1_2</t>
  </si>
  <si>
    <t>9_T1_3</t>
  </si>
  <si>
    <t>typhaIN_T1_1</t>
  </si>
  <si>
    <t>typhaIN_T1_2</t>
  </si>
  <si>
    <t>typhaIN_T1_3</t>
  </si>
  <si>
    <t>10_T1_1</t>
  </si>
  <si>
    <t>10_T1_2</t>
  </si>
  <si>
    <t>10_T1_3</t>
  </si>
  <si>
    <t>11_T1_1</t>
  </si>
  <si>
    <t>11_T1_2</t>
  </si>
  <si>
    <t>11_T1_3</t>
  </si>
  <si>
    <t>12_T1_1</t>
  </si>
  <si>
    <t>12_T1_2</t>
  </si>
  <si>
    <t>12_T1_3</t>
  </si>
  <si>
    <t>grassesIN_T2_1</t>
  </si>
  <si>
    <t>grassesIN_T2_2</t>
  </si>
  <si>
    <t>grassesIN_T2_3</t>
  </si>
  <si>
    <t>1_T2_1</t>
  </si>
  <si>
    <t>1_T2_2</t>
  </si>
  <si>
    <t>1_T2_3</t>
  </si>
  <si>
    <t>2_T2_1</t>
  </si>
  <si>
    <t>2_T2_2</t>
  </si>
  <si>
    <t>2_T2_3</t>
  </si>
  <si>
    <t>3_T2_1</t>
  </si>
  <si>
    <t>3_T2_2</t>
  </si>
  <si>
    <t>3_T2_3</t>
  </si>
  <si>
    <t>openwaterIN_T2_1</t>
  </si>
  <si>
    <t>openwaterIN_T2_2</t>
  </si>
  <si>
    <t>openwaterIN_T2_3</t>
  </si>
  <si>
    <t>4_T2_1</t>
  </si>
  <si>
    <t>4_T2_2</t>
  </si>
  <si>
    <t>4_T2_3</t>
  </si>
  <si>
    <t>5_T2_1</t>
  </si>
  <si>
    <t>5_T2_2</t>
  </si>
  <si>
    <t>5_T2_3</t>
  </si>
  <si>
    <t>6_T2_1</t>
  </si>
  <si>
    <t>6_T2_2</t>
  </si>
  <si>
    <t>6_T2_3</t>
  </si>
  <si>
    <t>hardwoodsIN_T2_1</t>
  </si>
  <si>
    <t>hardwoodsIN_T2_2</t>
  </si>
  <si>
    <t>hardwoodsIN_T2_3</t>
  </si>
  <si>
    <t>7_T2_1</t>
  </si>
  <si>
    <t>7_T2_2</t>
  </si>
  <si>
    <t>7_T2_3</t>
  </si>
  <si>
    <t>8_T2_1</t>
  </si>
  <si>
    <t>8_T2_2</t>
  </si>
  <si>
    <t>8_T2_3</t>
  </si>
  <si>
    <t>9_T2_1</t>
  </si>
  <si>
    <t>9_T2_2</t>
  </si>
  <si>
    <t>9_T2_3</t>
  </si>
  <si>
    <t>typhaIN_T2_1</t>
  </si>
  <si>
    <t>typhaIN_T2_2</t>
  </si>
  <si>
    <t>typhaIN_T2_3</t>
  </si>
  <si>
    <t>10_T2_1</t>
  </si>
  <si>
    <t>10_T2_2</t>
  </si>
  <si>
    <t>10_T2_3</t>
  </si>
  <si>
    <t>11_T2_1</t>
  </si>
  <si>
    <t>11_T2_2</t>
  </si>
  <si>
    <t>11_T2_3</t>
  </si>
  <si>
    <t>12_T2_1</t>
  </si>
  <si>
    <t>12_T2_2</t>
  </si>
  <si>
    <t>12_T2_3</t>
  </si>
  <si>
    <t>ws-mimsyN2</t>
  </si>
  <si>
    <t>ws-mimsyO2</t>
  </si>
  <si>
    <t>all in uMol</t>
  </si>
  <si>
    <t>avg N2</t>
  </si>
  <si>
    <t>avg 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</si>
</sst>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02A1-3CAC-4E47-B5AC-A98C1B37EBD5}">
  <dimension ref="A1:H145"/>
  <sheetViews>
    <sheetView workbookViewId="0">
      <selection activeCell="H1" sqref="H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149</v>
      </c>
      <c r="G1" t="s">
        <v>150</v>
      </c>
      <c r="H1" t="s">
        <v>151</v>
      </c>
    </row>
    <row r="2" spans="1:8" x14ac:dyDescent="0.35">
      <c r="A2" t="s">
        <v>5</v>
      </c>
      <c r="B2">
        <v>510.38925371006002</v>
      </c>
      <c r="C2">
        <v>225.422875848584</v>
      </c>
      <c r="D2">
        <v>534.65124777247672</v>
      </c>
      <c r="E2">
        <v>230.80591551104771</v>
      </c>
      <c r="F2">
        <f>D2-B2</f>
        <v>24.261994062416704</v>
      </c>
      <c r="G2">
        <f>E2-C2</f>
        <v>5.383039662463716</v>
      </c>
    </row>
    <row r="3" spans="1:8" x14ac:dyDescent="0.35">
      <c r="A3" t="s">
        <v>6</v>
      </c>
      <c r="B3">
        <v>510.13554090015998</v>
      </c>
      <c r="C3">
        <v>225.06462350748299</v>
      </c>
      <c r="D3">
        <v>534.53680691650027</v>
      </c>
      <c r="E3">
        <v>230.4296134992814</v>
      </c>
      <c r="F3">
        <f t="shared" ref="F3:F66" si="0">D3-B3</f>
        <v>24.401266016340287</v>
      </c>
      <c r="G3">
        <f t="shared" ref="G3:G66" si="1">E3-C3</f>
        <v>5.3649899917984101</v>
      </c>
    </row>
    <row r="4" spans="1:8" x14ac:dyDescent="0.35">
      <c r="A4" t="s">
        <v>7</v>
      </c>
      <c r="B4">
        <v>510.14490113702499</v>
      </c>
      <c r="C4">
        <v>225.04858091113999</v>
      </c>
      <c r="D4">
        <v>534.54432611597576</v>
      </c>
      <c r="E4">
        <v>230.40511021045592</v>
      </c>
      <c r="F4">
        <f t="shared" si="0"/>
        <v>24.399424978950776</v>
      </c>
      <c r="G4">
        <f t="shared" si="1"/>
        <v>5.3565292993159233</v>
      </c>
    </row>
    <row r="5" spans="1:8" x14ac:dyDescent="0.35">
      <c r="A5" t="s">
        <v>8</v>
      </c>
      <c r="B5">
        <v>510.95701066662298</v>
      </c>
      <c r="C5">
        <v>170.814624909678</v>
      </c>
      <c r="D5">
        <v>535.00168900611413</v>
      </c>
      <c r="E5">
        <v>174.31499393720702</v>
      </c>
      <c r="F5">
        <f t="shared" si="0"/>
        <v>24.044678339491156</v>
      </c>
      <c r="G5">
        <f t="shared" si="1"/>
        <v>3.5003690275290182</v>
      </c>
    </row>
    <row r="6" spans="1:8" x14ac:dyDescent="0.35">
      <c r="A6" t="s">
        <v>9</v>
      </c>
      <c r="B6">
        <v>510.87731237042198</v>
      </c>
      <c r="C6">
        <v>170.45175905530201</v>
      </c>
      <c r="D6">
        <v>534.96703190174287</v>
      </c>
      <c r="E6">
        <v>173.93702544119893</v>
      </c>
      <c r="F6">
        <f t="shared" si="0"/>
        <v>24.089719531320895</v>
      </c>
      <c r="G6">
        <f t="shared" si="1"/>
        <v>3.4852663858969208</v>
      </c>
    </row>
    <row r="7" spans="1:8" x14ac:dyDescent="0.35">
      <c r="A7" t="s">
        <v>10</v>
      </c>
      <c r="B7">
        <v>510.77470904798997</v>
      </c>
      <c r="C7">
        <v>170.22145163393199</v>
      </c>
      <c r="D7">
        <v>534.92092753725206</v>
      </c>
      <c r="E7">
        <v>173.69726264735229</v>
      </c>
      <c r="F7">
        <f t="shared" si="0"/>
        <v>24.146218489262083</v>
      </c>
      <c r="G7">
        <f t="shared" si="1"/>
        <v>3.475811013420298</v>
      </c>
    </row>
    <row r="8" spans="1:8" x14ac:dyDescent="0.35">
      <c r="A8" t="s">
        <v>11</v>
      </c>
      <c r="B8">
        <v>509.17395916142698</v>
      </c>
      <c r="C8">
        <v>214.69036958486299</v>
      </c>
      <c r="D8">
        <v>534.2833148687813</v>
      </c>
      <c r="E8">
        <v>219.28456349826834</v>
      </c>
      <c r="F8">
        <f t="shared" si="0"/>
        <v>25.109355707354325</v>
      </c>
      <c r="G8">
        <f t="shared" si="1"/>
        <v>4.5941939134053484</v>
      </c>
    </row>
    <row r="9" spans="1:8" x14ac:dyDescent="0.35">
      <c r="A9" t="s">
        <v>12</v>
      </c>
      <c r="B9">
        <v>509.33301556841599</v>
      </c>
      <c r="C9">
        <v>214.92709421984699</v>
      </c>
      <c r="D9">
        <v>534.36013382700344</v>
      </c>
      <c r="E9">
        <v>219.52068527875494</v>
      </c>
      <c r="F9">
        <f t="shared" si="0"/>
        <v>25.02711825858745</v>
      </c>
      <c r="G9">
        <f t="shared" si="1"/>
        <v>4.5935910589079469</v>
      </c>
    </row>
    <row r="10" spans="1:8" x14ac:dyDescent="0.35">
      <c r="A10" t="s">
        <v>13</v>
      </c>
      <c r="B10">
        <v>509.34151605051801</v>
      </c>
      <c r="C10">
        <v>215.18773141248201</v>
      </c>
      <c r="D10">
        <v>534.36741890923861</v>
      </c>
      <c r="E10">
        <v>219.78156569968189</v>
      </c>
      <c r="F10">
        <f t="shared" si="0"/>
        <v>25.025902858720599</v>
      </c>
      <c r="G10">
        <f t="shared" si="1"/>
        <v>4.5938342871998827</v>
      </c>
    </row>
    <row r="11" spans="1:8" x14ac:dyDescent="0.35">
      <c r="A11" t="s">
        <v>14</v>
      </c>
      <c r="B11">
        <v>509.12549506991297</v>
      </c>
      <c r="C11">
        <v>232.64683960800301</v>
      </c>
      <c r="D11">
        <v>534.30893276938582</v>
      </c>
      <c r="E11">
        <v>237.56786870843001</v>
      </c>
      <c r="F11">
        <f t="shared" si="0"/>
        <v>25.183437699472847</v>
      </c>
      <c r="G11">
        <f t="shared" si="1"/>
        <v>4.9210291004270061</v>
      </c>
    </row>
    <row r="12" spans="1:8" x14ac:dyDescent="0.35">
      <c r="A12" t="s">
        <v>15</v>
      </c>
      <c r="B12">
        <v>509.04856825301101</v>
      </c>
      <c r="C12">
        <v>232.56899437845999</v>
      </c>
      <c r="D12">
        <v>534.2727548343081</v>
      </c>
      <c r="E12">
        <v>237.48897330850119</v>
      </c>
      <c r="F12">
        <f t="shared" si="0"/>
        <v>25.22418658129709</v>
      </c>
      <c r="G12">
        <f t="shared" si="1"/>
        <v>4.9199789300411965</v>
      </c>
    </row>
    <row r="13" spans="1:8" x14ac:dyDescent="0.35">
      <c r="A13" t="s">
        <v>16</v>
      </c>
      <c r="B13">
        <v>508.97054096800701</v>
      </c>
      <c r="C13">
        <v>232.618296007612</v>
      </c>
      <c r="D13">
        <v>534.23618444792316</v>
      </c>
      <c r="E13">
        <v>237.53980257628251</v>
      </c>
      <c r="F13">
        <f t="shared" si="0"/>
        <v>25.26564347991615</v>
      </c>
      <c r="G13">
        <f t="shared" si="1"/>
        <v>4.9215065686705088</v>
      </c>
    </row>
    <row r="14" spans="1:8" x14ac:dyDescent="0.35">
      <c r="A14" t="s">
        <v>17</v>
      </c>
      <c r="B14">
        <v>510.02462951048801</v>
      </c>
      <c r="C14">
        <v>224.724246531777</v>
      </c>
      <c r="D14">
        <v>534.69722638967119</v>
      </c>
      <c r="E14">
        <v>229.46637356110563</v>
      </c>
      <c r="F14">
        <f t="shared" si="0"/>
        <v>24.672596879183175</v>
      </c>
      <c r="G14">
        <f t="shared" si="1"/>
        <v>4.7421270293286284</v>
      </c>
    </row>
    <row r="15" spans="1:8" x14ac:dyDescent="0.35">
      <c r="A15" t="s">
        <v>18</v>
      </c>
      <c r="B15">
        <v>510.33628674553501</v>
      </c>
      <c r="C15">
        <v>224.89471754913799</v>
      </c>
      <c r="D15">
        <v>534.84058983664079</v>
      </c>
      <c r="E15">
        <v>229.64296147704542</v>
      </c>
      <c r="F15">
        <f t="shared" si="0"/>
        <v>24.504303091105783</v>
      </c>
      <c r="G15">
        <f t="shared" si="1"/>
        <v>4.7482439279074242</v>
      </c>
    </row>
    <row r="16" spans="1:8" x14ac:dyDescent="0.35">
      <c r="A16" t="s">
        <v>19</v>
      </c>
      <c r="B16">
        <v>510.33818232891701</v>
      </c>
      <c r="C16">
        <v>224.83799930794399</v>
      </c>
      <c r="D16">
        <v>534.84031526591991</v>
      </c>
      <c r="E16">
        <v>229.58602739175143</v>
      </c>
      <c r="F16">
        <f t="shared" si="0"/>
        <v>24.502132937002898</v>
      </c>
      <c r="G16">
        <f t="shared" si="1"/>
        <v>4.7480280838074407</v>
      </c>
    </row>
    <row r="17" spans="1:7" x14ac:dyDescent="0.35">
      <c r="A17" t="s">
        <v>20</v>
      </c>
      <c r="B17">
        <v>510.04774185249101</v>
      </c>
      <c r="C17">
        <v>190.280398516183</v>
      </c>
      <c r="D17">
        <v>534.68632359213393</v>
      </c>
      <c r="E17">
        <v>194.10981100529617</v>
      </c>
      <c r="F17">
        <f t="shared" si="0"/>
        <v>24.638581739642916</v>
      </c>
      <c r="G17">
        <f t="shared" si="1"/>
        <v>3.8294124891131673</v>
      </c>
    </row>
    <row r="18" spans="1:7" x14ac:dyDescent="0.35">
      <c r="A18" t="s">
        <v>21</v>
      </c>
      <c r="B18">
        <v>509.98890856684801</v>
      </c>
      <c r="C18">
        <v>190.05091772981001</v>
      </c>
      <c r="D18">
        <v>534.65846132103229</v>
      </c>
      <c r="E18">
        <v>193.87463942404409</v>
      </c>
      <c r="F18">
        <f t="shared" si="0"/>
        <v>24.669552754184281</v>
      </c>
      <c r="G18">
        <f t="shared" si="1"/>
        <v>3.8237216942340808</v>
      </c>
    </row>
    <row r="19" spans="1:7" x14ac:dyDescent="0.35">
      <c r="A19" t="s">
        <v>22</v>
      </c>
      <c r="B19">
        <v>510.155020699077</v>
      </c>
      <c r="C19">
        <v>189.86507439472399</v>
      </c>
      <c r="D19">
        <v>534.73465223304584</v>
      </c>
      <c r="E19">
        <v>193.68499049797876</v>
      </c>
      <c r="F19">
        <f t="shared" si="0"/>
        <v>24.579631533968836</v>
      </c>
      <c r="G19">
        <f t="shared" si="1"/>
        <v>3.8199161032547693</v>
      </c>
    </row>
    <row r="20" spans="1:7" x14ac:dyDescent="0.35">
      <c r="A20" t="s">
        <v>23</v>
      </c>
      <c r="B20">
        <v>510.44869569330598</v>
      </c>
      <c r="C20">
        <v>192.87751063012701</v>
      </c>
      <c r="D20">
        <v>534.7183845493837</v>
      </c>
      <c r="E20">
        <v>196.60853815191678</v>
      </c>
      <c r="F20">
        <f t="shared" si="0"/>
        <v>24.269688856077721</v>
      </c>
      <c r="G20">
        <f t="shared" si="1"/>
        <v>3.7310275217897697</v>
      </c>
    </row>
    <row r="21" spans="1:7" x14ac:dyDescent="0.35">
      <c r="A21" t="s">
        <v>24</v>
      </c>
      <c r="B21">
        <v>510.70508610787601</v>
      </c>
      <c r="C21">
        <v>192.636048861836</v>
      </c>
      <c r="D21">
        <v>534.83509370492493</v>
      </c>
      <c r="E21">
        <v>196.35794908341282</v>
      </c>
      <c r="F21">
        <f t="shared" si="0"/>
        <v>24.130007597048916</v>
      </c>
      <c r="G21">
        <f t="shared" si="1"/>
        <v>3.7219002215768171</v>
      </c>
    </row>
    <row r="22" spans="1:7" x14ac:dyDescent="0.35">
      <c r="A22" t="s">
        <v>25</v>
      </c>
      <c r="B22">
        <v>510.72044589430402</v>
      </c>
      <c r="C22">
        <v>192.36091313617101</v>
      </c>
      <c r="D22">
        <v>534.84081733327332</v>
      </c>
      <c r="E22">
        <v>196.07341490825144</v>
      </c>
      <c r="F22">
        <f t="shared" si="0"/>
        <v>24.1203714389693</v>
      </c>
      <c r="G22">
        <f t="shared" si="1"/>
        <v>3.7125017720804294</v>
      </c>
    </row>
    <row r="23" spans="1:7" x14ac:dyDescent="0.35">
      <c r="A23" t="s">
        <v>26</v>
      </c>
      <c r="B23">
        <v>510.54558906282801</v>
      </c>
      <c r="C23">
        <v>194.872201184012</v>
      </c>
      <c r="D23">
        <v>534.70752522828423</v>
      </c>
      <c r="E23">
        <v>198.55846058328365</v>
      </c>
      <c r="F23">
        <f t="shared" si="0"/>
        <v>24.161936165456211</v>
      </c>
      <c r="G23">
        <f t="shared" si="1"/>
        <v>3.6862593992716484</v>
      </c>
    </row>
    <row r="24" spans="1:7" x14ac:dyDescent="0.35">
      <c r="A24" t="s">
        <v>27</v>
      </c>
      <c r="B24">
        <v>510.359500875685</v>
      </c>
      <c r="C24">
        <v>194.865274794367</v>
      </c>
      <c r="D24">
        <v>534.61796987200319</v>
      </c>
      <c r="E24">
        <v>198.54518699293615</v>
      </c>
      <c r="F24">
        <f t="shared" si="0"/>
        <v>24.258468996318186</v>
      </c>
      <c r="G24">
        <f t="shared" si="1"/>
        <v>3.6799121985691556</v>
      </c>
    </row>
    <row r="25" spans="1:7" x14ac:dyDescent="0.35">
      <c r="A25" t="s">
        <v>28</v>
      </c>
      <c r="B25">
        <v>510.27757708171902</v>
      </c>
      <c r="C25">
        <v>194.86970592939201</v>
      </c>
      <c r="D25">
        <v>534.57818048637728</v>
      </c>
      <c r="E25">
        <v>198.54633896095294</v>
      </c>
      <c r="F25">
        <f t="shared" si="0"/>
        <v>24.300603404658261</v>
      </c>
      <c r="G25">
        <f t="shared" si="1"/>
        <v>3.6766330315609252</v>
      </c>
    </row>
    <row r="26" spans="1:7" x14ac:dyDescent="0.35">
      <c r="A26" t="s">
        <v>29</v>
      </c>
      <c r="B26">
        <v>510.61617903187698</v>
      </c>
      <c r="C26">
        <v>251.402111970059</v>
      </c>
      <c r="D26">
        <v>534.6875744615395</v>
      </c>
      <c r="E26">
        <v>256.37039204036569</v>
      </c>
      <c r="F26">
        <f t="shared" si="0"/>
        <v>24.071395429662516</v>
      </c>
      <c r="G26">
        <f t="shared" si="1"/>
        <v>4.9682800703066903</v>
      </c>
    </row>
    <row r="27" spans="1:7" x14ac:dyDescent="0.35">
      <c r="A27" t="s">
        <v>30</v>
      </c>
      <c r="B27">
        <v>510.51079766654698</v>
      </c>
      <c r="C27">
        <v>251.63092092444501</v>
      </c>
      <c r="D27">
        <v>534.63792935421543</v>
      </c>
      <c r="E27">
        <v>256.60262434083853</v>
      </c>
      <c r="F27">
        <f t="shared" si="0"/>
        <v>24.127131687668452</v>
      </c>
      <c r="G27">
        <f t="shared" si="1"/>
        <v>4.9717034163935239</v>
      </c>
    </row>
    <row r="28" spans="1:7" x14ac:dyDescent="0.35">
      <c r="A28" t="s">
        <v>31</v>
      </c>
      <c r="B28">
        <v>510.14156516334998</v>
      </c>
      <c r="C28">
        <v>251.900678369681</v>
      </c>
      <c r="D28">
        <v>534.46578350123139</v>
      </c>
      <c r="E28">
        <v>256.87506415707617</v>
      </c>
      <c r="F28">
        <f t="shared" si="0"/>
        <v>24.324218337881405</v>
      </c>
      <c r="G28">
        <f t="shared" si="1"/>
        <v>4.974385787395164</v>
      </c>
    </row>
    <row r="29" spans="1:7" x14ac:dyDescent="0.35">
      <c r="A29" t="s">
        <v>32</v>
      </c>
      <c r="B29">
        <v>516.34347355320995</v>
      </c>
      <c r="C29">
        <v>223.54595677527001</v>
      </c>
      <c r="D29">
        <v>537.16015017346353</v>
      </c>
      <c r="E29">
        <v>227.67535414815501</v>
      </c>
      <c r="F29">
        <f t="shared" si="0"/>
        <v>20.816676620253588</v>
      </c>
      <c r="G29">
        <f t="shared" si="1"/>
        <v>4.1293973728849949</v>
      </c>
    </row>
    <row r="30" spans="1:7" x14ac:dyDescent="0.35">
      <c r="A30" t="s">
        <v>33</v>
      </c>
      <c r="B30">
        <v>516.29086925011302</v>
      </c>
      <c r="C30">
        <v>223.20708539460301</v>
      </c>
      <c r="D30">
        <v>537.13188110030978</v>
      </c>
      <c r="E30">
        <v>227.32643454562955</v>
      </c>
      <c r="F30">
        <f t="shared" si="0"/>
        <v>20.841011850196764</v>
      </c>
      <c r="G30">
        <f t="shared" si="1"/>
        <v>4.1193491510265403</v>
      </c>
    </row>
    <row r="31" spans="1:7" x14ac:dyDescent="0.35">
      <c r="A31" t="s">
        <v>34</v>
      </c>
      <c r="B31">
        <v>516.20181259384401</v>
      </c>
      <c r="C31">
        <v>223.04201366745701</v>
      </c>
      <c r="D31">
        <v>537.08900969336196</v>
      </c>
      <c r="E31">
        <v>227.15654769674902</v>
      </c>
      <c r="F31">
        <f t="shared" si="0"/>
        <v>20.887197099517948</v>
      </c>
      <c r="G31">
        <f t="shared" si="1"/>
        <v>4.1145340292920025</v>
      </c>
    </row>
    <row r="32" spans="1:7" x14ac:dyDescent="0.35">
      <c r="A32" t="s">
        <v>35</v>
      </c>
      <c r="B32">
        <v>508.83811462404998</v>
      </c>
      <c r="C32">
        <v>205.93465805743699</v>
      </c>
      <c r="D32">
        <v>533.64497957827552</v>
      </c>
      <c r="E32">
        <v>209.63684298644705</v>
      </c>
      <c r="F32">
        <f t="shared" si="0"/>
        <v>24.806864954225546</v>
      </c>
      <c r="G32">
        <f t="shared" si="1"/>
        <v>3.702184929010059</v>
      </c>
    </row>
    <row r="33" spans="1:7" x14ac:dyDescent="0.35">
      <c r="A33" t="s">
        <v>36</v>
      </c>
      <c r="B33">
        <v>509.06263601369898</v>
      </c>
      <c r="C33">
        <v>205.627116364198</v>
      </c>
      <c r="D33">
        <v>533.74544948735149</v>
      </c>
      <c r="E33">
        <v>209.32091003079213</v>
      </c>
      <c r="F33">
        <f t="shared" si="0"/>
        <v>24.682813473652516</v>
      </c>
      <c r="G33">
        <f t="shared" si="1"/>
        <v>3.6937936665941322</v>
      </c>
    </row>
    <row r="34" spans="1:7" x14ac:dyDescent="0.35">
      <c r="A34" t="s">
        <v>37</v>
      </c>
      <c r="B34">
        <v>509.18624045319802</v>
      </c>
      <c r="C34">
        <v>205.57816937642599</v>
      </c>
      <c r="D34">
        <v>533.80024617131971</v>
      </c>
      <c r="E34">
        <v>209.26982988161726</v>
      </c>
      <c r="F34">
        <f t="shared" si="0"/>
        <v>24.614005718121689</v>
      </c>
      <c r="G34">
        <f t="shared" si="1"/>
        <v>3.6916605051912654</v>
      </c>
    </row>
    <row r="35" spans="1:7" x14ac:dyDescent="0.35">
      <c r="A35" t="s">
        <v>38</v>
      </c>
      <c r="B35">
        <v>507.66951036012898</v>
      </c>
      <c r="C35">
        <v>201.92054425886499</v>
      </c>
      <c r="D35">
        <v>533.06496770430147</v>
      </c>
      <c r="E35">
        <v>205.51400362179712</v>
      </c>
      <c r="F35">
        <f t="shared" si="0"/>
        <v>25.395457344172485</v>
      </c>
      <c r="G35">
        <f t="shared" si="1"/>
        <v>3.5934593629321228</v>
      </c>
    </row>
    <row r="36" spans="1:7" x14ac:dyDescent="0.35">
      <c r="A36" t="s">
        <v>39</v>
      </c>
      <c r="B36">
        <v>507.957778125282</v>
      </c>
      <c r="C36">
        <v>201.95528762983199</v>
      </c>
      <c r="D36">
        <v>533.19512592626108</v>
      </c>
      <c r="E36">
        <v>205.54834091277297</v>
      </c>
      <c r="F36">
        <f t="shared" si="0"/>
        <v>25.23734780097908</v>
      </c>
      <c r="G36">
        <f t="shared" si="1"/>
        <v>3.5930532829409856</v>
      </c>
    </row>
    <row r="37" spans="1:7" x14ac:dyDescent="0.35">
      <c r="A37" t="s">
        <v>40</v>
      </c>
      <c r="B37">
        <v>507.95502083539401</v>
      </c>
      <c r="C37">
        <v>201.69539551002001</v>
      </c>
      <c r="D37">
        <v>533.18977574199255</v>
      </c>
      <c r="E37">
        <v>205.28074204528187</v>
      </c>
      <c r="F37">
        <f t="shared" si="0"/>
        <v>25.234754906598539</v>
      </c>
      <c r="G37">
        <f t="shared" si="1"/>
        <v>3.5853465352618628</v>
      </c>
    </row>
    <row r="38" spans="1:7" x14ac:dyDescent="0.35">
      <c r="A38" t="s">
        <v>41</v>
      </c>
      <c r="B38">
        <v>509.06812771323598</v>
      </c>
      <c r="C38">
        <v>214.01768787829101</v>
      </c>
      <c r="D38">
        <v>533.76100290775275</v>
      </c>
      <c r="E38">
        <v>218.4006925338239</v>
      </c>
      <c r="F38">
        <f t="shared" si="0"/>
        <v>24.692875194516773</v>
      </c>
      <c r="G38">
        <f t="shared" si="1"/>
        <v>4.3830046555328863</v>
      </c>
    </row>
    <row r="39" spans="1:7" x14ac:dyDescent="0.35">
      <c r="A39" t="s">
        <v>42</v>
      </c>
      <c r="B39">
        <v>509.07222533157102</v>
      </c>
      <c r="C39">
        <v>213.886858541165</v>
      </c>
      <c r="D39">
        <v>533.76436575291939</v>
      </c>
      <c r="E39">
        <v>218.27515645203755</v>
      </c>
      <c r="F39">
        <f t="shared" si="0"/>
        <v>24.69214042134837</v>
      </c>
      <c r="G39">
        <f t="shared" si="1"/>
        <v>4.3882979108725522</v>
      </c>
    </row>
    <row r="40" spans="1:7" x14ac:dyDescent="0.35">
      <c r="A40" t="s">
        <v>43</v>
      </c>
      <c r="B40">
        <v>509.05341686187501</v>
      </c>
      <c r="C40">
        <v>213.69269341844699</v>
      </c>
      <c r="D40">
        <v>533.75823619131063</v>
      </c>
      <c r="E40">
        <v>218.08947842441901</v>
      </c>
      <c r="F40">
        <f t="shared" si="0"/>
        <v>24.704819329435622</v>
      </c>
      <c r="G40">
        <f t="shared" si="1"/>
        <v>4.3967850059720206</v>
      </c>
    </row>
    <row r="41" spans="1:7" x14ac:dyDescent="0.35">
      <c r="A41" t="s">
        <v>44</v>
      </c>
      <c r="B41">
        <v>514.50931279699603</v>
      </c>
      <c r="C41">
        <v>177.875763050713</v>
      </c>
      <c r="D41">
        <v>536.31458090787896</v>
      </c>
      <c r="E41">
        <v>181.59125015031481</v>
      </c>
      <c r="F41">
        <f t="shared" si="0"/>
        <v>21.805268110882935</v>
      </c>
      <c r="G41">
        <f t="shared" si="1"/>
        <v>3.7154870996018019</v>
      </c>
    </row>
    <row r="42" spans="1:7" x14ac:dyDescent="0.35">
      <c r="A42" t="s">
        <v>45</v>
      </c>
      <c r="B42">
        <v>514.24417546548204</v>
      </c>
      <c r="C42">
        <v>177.73377740513001</v>
      </c>
      <c r="D42">
        <v>536.19308515050602</v>
      </c>
      <c r="E42">
        <v>181.44985766398241</v>
      </c>
      <c r="F42">
        <f t="shared" si="0"/>
        <v>21.948909685023978</v>
      </c>
      <c r="G42">
        <f t="shared" si="1"/>
        <v>3.7160802588524007</v>
      </c>
    </row>
    <row r="43" spans="1:7" x14ac:dyDescent="0.35">
      <c r="A43" t="s">
        <v>46</v>
      </c>
      <c r="B43">
        <v>514.33128600856605</v>
      </c>
      <c r="C43">
        <v>177.50278448678</v>
      </c>
      <c r="D43">
        <v>536.23461237924289</v>
      </c>
      <c r="E43">
        <v>181.21964561852087</v>
      </c>
      <c r="F43">
        <f t="shared" si="0"/>
        <v>21.903326370676837</v>
      </c>
      <c r="G43">
        <f t="shared" si="1"/>
        <v>3.7168611317408704</v>
      </c>
    </row>
    <row r="44" spans="1:7" x14ac:dyDescent="0.35">
      <c r="A44" t="s">
        <v>47</v>
      </c>
      <c r="B44">
        <v>513.13890294606995</v>
      </c>
      <c r="C44">
        <v>171.909827276691</v>
      </c>
      <c r="D44">
        <v>535.7102404384699</v>
      </c>
      <c r="E44">
        <v>175.60417317095263</v>
      </c>
      <c r="F44">
        <f t="shared" si="0"/>
        <v>22.571337492399948</v>
      </c>
      <c r="G44">
        <f t="shared" si="1"/>
        <v>3.6943458942616303</v>
      </c>
    </row>
    <row r="45" spans="1:7" x14ac:dyDescent="0.35">
      <c r="A45" t="s">
        <v>48</v>
      </c>
      <c r="B45">
        <v>513.04007650734297</v>
      </c>
      <c r="C45">
        <v>171.806189112585</v>
      </c>
      <c r="D45">
        <v>535.66516347349307</v>
      </c>
      <c r="E45">
        <v>175.50029936561177</v>
      </c>
      <c r="F45">
        <f t="shared" si="0"/>
        <v>22.625086966150093</v>
      </c>
      <c r="G45">
        <f t="shared" si="1"/>
        <v>3.6941102530267642</v>
      </c>
    </row>
    <row r="46" spans="1:7" x14ac:dyDescent="0.35">
      <c r="A46" t="s">
        <v>49</v>
      </c>
      <c r="B46">
        <v>513.20047873970896</v>
      </c>
      <c r="C46">
        <v>171.724468660979</v>
      </c>
      <c r="D46">
        <v>535.74026205850464</v>
      </c>
      <c r="E46">
        <v>175.42132296471112</v>
      </c>
      <c r="F46">
        <f t="shared" si="0"/>
        <v>22.539783318795685</v>
      </c>
      <c r="G46">
        <f t="shared" si="1"/>
        <v>3.696854303732124</v>
      </c>
    </row>
    <row r="47" spans="1:7" x14ac:dyDescent="0.35">
      <c r="A47" t="s">
        <v>50</v>
      </c>
      <c r="B47">
        <v>510.52207487372198</v>
      </c>
      <c r="C47">
        <v>118.503175159756</v>
      </c>
      <c r="D47">
        <v>534.27293183309769</v>
      </c>
      <c r="E47">
        <v>120.59727480112784</v>
      </c>
      <c r="F47">
        <f t="shared" si="0"/>
        <v>23.75085695937571</v>
      </c>
      <c r="G47">
        <f t="shared" si="1"/>
        <v>2.0940996413718409</v>
      </c>
    </row>
    <row r="48" spans="1:7" x14ac:dyDescent="0.35">
      <c r="A48" t="s">
        <v>51</v>
      </c>
      <c r="B48">
        <v>510.751637937537</v>
      </c>
      <c r="C48">
        <v>118.16382114764799</v>
      </c>
      <c r="D48">
        <v>534.37490145982724</v>
      </c>
      <c r="E48">
        <v>120.24478355601093</v>
      </c>
      <c r="F48">
        <f t="shared" si="0"/>
        <v>23.623263522290245</v>
      </c>
      <c r="G48">
        <f t="shared" si="1"/>
        <v>2.0809624083629359</v>
      </c>
    </row>
    <row r="49" spans="1:7" x14ac:dyDescent="0.35">
      <c r="A49" t="s">
        <v>52</v>
      </c>
      <c r="B49">
        <v>511.03435581349498</v>
      </c>
      <c r="C49">
        <v>117.622885966064</v>
      </c>
      <c r="D49">
        <v>534.49648162891549</v>
      </c>
      <c r="E49">
        <v>119.67874424005888</v>
      </c>
      <c r="F49">
        <f t="shared" si="0"/>
        <v>23.462125815420507</v>
      </c>
      <c r="G49">
        <f t="shared" si="1"/>
        <v>2.0558582739948719</v>
      </c>
    </row>
    <row r="50" spans="1:7" x14ac:dyDescent="0.35">
      <c r="A50" t="s">
        <v>53</v>
      </c>
      <c r="B50">
        <v>503.605941000462</v>
      </c>
      <c r="C50">
        <v>229.78587827018899</v>
      </c>
      <c r="D50">
        <v>530.93314708731248</v>
      </c>
      <c r="E50">
        <v>233.79083651489094</v>
      </c>
      <c r="F50">
        <f t="shared" si="0"/>
        <v>27.327206086850481</v>
      </c>
      <c r="G50">
        <f t="shared" si="1"/>
        <v>4.0049582447019532</v>
      </c>
    </row>
    <row r="51" spans="1:7" x14ac:dyDescent="0.35">
      <c r="A51" t="s">
        <v>54</v>
      </c>
      <c r="B51">
        <v>503.76662966078902</v>
      </c>
      <c r="C51">
        <v>229.90487543116501</v>
      </c>
      <c r="D51">
        <v>531.00595082666132</v>
      </c>
      <c r="E51">
        <v>233.90797852976826</v>
      </c>
      <c r="F51">
        <f t="shared" si="0"/>
        <v>27.239321165872298</v>
      </c>
      <c r="G51">
        <f t="shared" si="1"/>
        <v>4.0031030986032476</v>
      </c>
    </row>
    <row r="52" spans="1:7" x14ac:dyDescent="0.35">
      <c r="A52" t="s">
        <v>55</v>
      </c>
      <c r="B52">
        <v>503.04754471813101</v>
      </c>
      <c r="C52">
        <v>229.787675711492</v>
      </c>
      <c r="D52">
        <v>530.67094541823167</v>
      </c>
      <c r="E52">
        <v>233.77607926428061</v>
      </c>
      <c r="F52">
        <f t="shared" si="0"/>
        <v>27.62340070010066</v>
      </c>
      <c r="G52">
        <f t="shared" si="1"/>
        <v>3.9884035527886113</v>
      </c>
    </row>
    <row r="53" spans="1:7" x14ac:dyDescent="0.35">
      <c r="A53" t="s">
        <v>56</v>
      </c>
      <c r="B53">
        <v>498.93669139651399</v>
      </c>
      <c r="C53">
        <v>140.59223771852601</v>
      </c>
      <c r="D53">
        <v>528.64674418275945</v>
      </c>
      <c r="E53">
        <v>142.62055856926364</v>
      </c>
      <c r="F53">
        <f t="shared" si="0"/>
        <v>29.710052786245456</v>
      </c>
      <c r="G53">
        <f t="shared" si="1"/>
        <v>2.0283208507376287</v>
      </c>
    </row>
    <row r="54" spans="1:7" x14ac:dyDescent="0.35">
      <c r="A54" t="s">
        <v>57</v>
      </c>
      <c r="B54">
        <v>498.59895451355197</v>
      </c>
      <c r="C54">
        <v>140.36920547147699</v>
      </c>
      <c r="D54">
        <v>528.48930043475536</v>
      </c>
      <c r="E54">
        <v>142.39018584010225</v>
      </c>
      <c r="F54">
        <f t="shared" si="0"/>
        <v>29.890345921203391</v>
      </c>
      <c r="G54">
        <f t="shared" si="1"/>
        <v>2.0209803686252599</v>
      </c>
    </row>
    <row r="55" spans="1:7" x14ac:dyDescent="0.35">
      <c r="A55" t="s">
        <v>58</v>
      </c>
      <c r="B55">
        <v>498.91760423012897</v>
      </c>
      <c r="C55">
        <v>140.31409820614999</v>
      </c>
      <c r="D55">
        <v>528.63300813610317</v>
      </c>
      <c r="E55">
        <v>142.32826617853146</v>
      </c>
      <c r="F55">
        <f t="shared" si="0"/>
        <v>29.715403905974199</v>
      </c>
      <c r="G55">
        <f t="shared" si="1"/>
        <v>2.0141679723814718</v>
      </c>
    </row>
    <row r="56" spans="1:7" x14ac:dyDescent="0.35">
      <c r="A56" t="s">
        <v>59</v>
      </c>
      <c r="B56">
        <v>503.12008351808203</v>
      </c>
      <c r="C56">
        <v>189.151584451145</v>
      </c>
      <c r="D56">
        <v>530.51201832392894</v>
      </c>
      <c r="E56">
        <v>193.26300587555076</v>
      </c>
      <c r="F56">
        <f t="shared" si="0"/>
        <v>27.391934805846915</v>
      </c>
      <c r="G56">
        <f t="shared" si="1"/>
        <v>4.1114214244057621</v>
      </c>
    </row>
    <row r="57" spans="1:7" x14ac:dyDescent="0.35">
      <c r="A57" t="s">
        <v>60</v>
      </c>
      <c r="B57">
        <v>503.10791548233601</v>
      </c>
      <c r="C57">
        <v>188.943485027235</v>
      </c>
      <c r="D57">
        <v>530.5067759076627</v>
      </c>
      <c r="E57">
        <v>193.06011570285273</v>
      </c>
      <c r="F57">
        <f t="shared" si="0"/>
        <v>27.398860425326689</v>
      </c>
      <c r="G57">
        <f t="shared" si="1"/>
        <v>4.1166306756177278</v>
      </c>
    </row>
    <row r="58" spans="1:7" x14ac:dyDescent="0.35">
      <c r="A58" t="s">
        <v>61</v>
      </c>
      <c r="B58">
        <v>503.244379064827</v>
      </c>
      <c r="C58">
        <v>188.75130092598499</v>
      </c>
      <c r="D58">
        <v>530.56980548365493</v>
      </c>
      <c r="E58">
        <v>192.87147773305492</v>
      </c>
      <c r="F58">
        <f t="shared" si="0"/>
        <v>27.325426418827931</v>
      </c>
      <c r="G58">
        <f t="shared" si="1"/>
        <v>4.1201768070699245</v>
      </c>
    </row>
    <row r="59" spans="1:7" x14ac:dyDescent="0.35">
      <c r="A59" t="s">
        <v>62</v>
      </c>
      <c r="B59">
        <v>509.10351019418198</v>
      </c>
      <c r="C59">
        <v>209.53099418035899</v>
      </c>
      <c r="D59">
        <v>533.28192150740847</v>
      </c>
      <c r="E59">
        <v>214.5877673580064</v>
      </c>
      <c r="F59">
        <f t="shared" si="0"/>
        <v>24.178411313226491</v>
      </c>
      <c r="G59">
        <f t="shared" si="1"/>
        <v>5.0567731776474147</v>
      </c>
    </row>
    <row r="60" spans="1:7" x14ac:dyDescent="0.35">
      <c r="A60" t="s">
        <v>63</v>
      </c>
      <c r="B60">
        <v>509.090189778107</v>
      </c>
      <c r="C60">
        <v>209.48185236473699</v>
      </c>
      <c r="D60">
        <v>533.27615726854276</v>
      </c>
      <c r="E60">
        <v>214.55046535516325</v>
      </c>
      <c r="F60">
        <f t="shared" si="0"/>
        <v>24.185967490435758</v>
      </c>
      <c r="G60">
        <f t="shared" si="1"/>
        <v>5.06861299042626</v>
      </c>
    </row>
    <row r="61" spans="1:7" x14ac:dyDescent="0.35">
      <c r="A61" t="s">
        <v>64</v>
      </c>
      <c r="B61">
        <v>508.80285675499601</v>
      </c>
      <c r="C61">
        <v>209.473875940748</v>
      </c>
      <c r="D61">
        <v>533.14419788940347</v>
      </c>
      <c r="E61">
        <v>214.5509992070325</v>
      </c>
      <c r="F61">
        <f t="shared" si="0"/>
        <v>24.341341134407458</v>
      </c>
      <c r="G61">
        <f t="shared" si="1"/>
        <v>5.0771232662845023</v>
      </c>
    </row>
    <row r="62" spans="1:7" x14ac:dyDescent="0.35">
      <c r="A62" t="s">
        <v>65</v>
      </c>
      <c r="B62">
        <v>508.36252479807899</v>
      </c>
      <c r="C62">
        <v>231.16863469177</v>
      </c>
      <c r="D62">
        <v>532.96183447547025</v>
      </c>
      <c r="E62">
        <v>237.45808595739567</v>
      </c>
      <c r="F62">
        <f t="shared" si="0"/>
        <v>24.599309677391261</v>
      </c>
      <c r="G62">
        <f t="shared" si="1"/>
        <v>6.2894512656256722</v>
      </c>
    </row>
    <row r="63" spans="1:7" x14ac:dyDescent="0.35">
      <c r="A63" t="s">
        <v>66</v>
      </c>
      <c r="B63">
        <v>508.42814798780898</v>
      </c>
      <c r="C63">
        <v>231.29849934884601</v>
      </c>
      <c r="D63">
        <v>532.99257781460449</v>
      </c>
      <c r="E63">
        <v>237.61059553643827</v>
      </c>
      <c r="F63">
        <f t="shared" si="0"/>
        <v>24.564429826795504</v>
      </c>
      <c r="G63">
        <f t="shared" si="1"/>
        <v>6.3120961875922603</v>
      </c>
    </row>
    <row r="64" spans="1:7" x14ac:dyDescent="0.35">
      <c r="A64" t="s">
        <v>67</v>
      </c>
      <c r="B64">
        <v>508.215345493249</v>
      </c>
      <c r="C64">
        <v>231.08054780049599</v>
      </c>
      <c r="D64">
        <v>532.8950480851264</v>
      </c>
      <c r="E64">
        <v>237.39861976356224</v>
      </c>
      <c r="F64">
        <f t="shared" si="0"/>
        <v>24.679702591877401</v>
      </c>
      <c r="G64">
        <f t="shared" si="1"/>
        <v>6.3180719630662452</v>
      </c>
    </row>
    <row r="65" spans="1:7" x14ac:dyDescent="0.35">
      <c r="A65" t="s">
        <v>68</v>
      </c>
      <c r="B65">
        <v>506.25139696475497</v>
      </c>
      <c r="C65">
        <v>164.97997258969201</v>
      </c>
      <c r="D65">
        <v>531.97467230907353</v>
      </c>
      <c r="E65">
        <v>168.77468428403387</v>
      </c>
      <c r="F65">
        <f t="shared" si="0"/>
        <v>25.723275344318552</v>
      </c>
      <c r="G65">
        <f t="shared" si="1"/>
        <v>3.7947116943418564</v>
      </c>
    </row>
    <row r="66" spans="1:7" x14ac:dyDescent="0.35">
      <c r="A66" t="s">
        <v>69</v>
      </c>
      <c r="B66">
        <v>506.61418785346098</v>
      </c>
      <c r="C66">
        <v>164.769674522234</v>
      </c>
      <c r="D66">
        <v>532.14103769660937</v>
      </c>
      <c r="E66">
        <v>168.54547378466052</v>
      </c>
      <c r="F66">
        <f t="shared" si="0"/>
        <v>25.526849843148398</v>
      </c>
      <c r="G66">
        <f t="shared" si="1"/>
        <v>3.7757992624265171</v>
      </c>
    </row>
    <row r="67" spans="1:7" x14ac:dyDescent="0.35">
      <c r="A67" t="s">
        <v>70</v>
      </c>
      <c r="B67">
        <v>506.376854035956</v>
      </c>
      <c r="C67">
        <v>164.48876263851099</v>
      </c>
      <c r="D67">
        <v>532.03151867403142</v>
      </c>
      <c r="E67">
        <v>168.24694934298975</v>
      </c>
      <c r="F67">
        <f t="shared" ref="F67:F130" si="2">D67-B67</f>
        <v>25.654664638075417</v>
      </c>
      <c r="G67">
        <f t="shared" ref="G67:G130" si="3">E67-C67</f>
        <v>3.75818670447876</v>
      </c>
    </row>
    <row r="68" spans="1:7" x14ac:dyDescent="0.35">
      <c r="A68" t="s">
        <v>71</v>
      </c>
      <c r="B68">
        <v>508.29935997037001</v>
      </c>
      <c r="C68">
        <v>176.58184807055599</v>
      </c>
      <c r="D68">
        <v>532.90254344521634</v>
      </c>
      <c r="E68">
        <v>180.12014185750891</v>
      </c>
      <c r="F68">
        <f t="shared" si="2"/>
        <v>24.603183474846333</v>
      </c>
      <c r="G68">
        <f t="shared" si="3"/>
        <v>3.5382937869529201</v>
      </c>
    </row>
    <row r="69" spans="1:7" x14ac:dyDescent="0.35">
      <c r="A69" t="s">
        <v>72</v>
      </c>
      <c r="B69">
        <v>508.48197792070499</v>
      </c>
      <c r="C69">
        <v>176.800808795374</v>
      </c>
      <c r="D69">
        <v>532.98593843535843</v>
      </c>
      <c r="E69">
        <v>180.3218804817943</v>
      </c>
      <c r="F69">
        <f t="shared" si="2"/>
        <v>24.503960514653443</v>
      </c>
      <c r="G69">
        <f t="shared" si="3"/>
        <v>3.5210716864202993</v>
      </c>
    </row>
    <row r="70" spans="1:7" x14ac:dyDescent="0.35">
      <c r="A70" t="s">
        <v>73</v>
      </c>
      <c r="B70">
        <v>508.76687106598399</v>
      </c>
      <c r="C70">
        <v>176.927682916865</v>
      </c>
      <c r="D70">
        <v>533.1167139147135</v>
      </c>
      <c r="E70">
        <v>180.44198996695138</v>
      </c>
      <c r="F70">
        <f t="shared" si="2"/>
        <v>24.349842848729509</v>
      </c>
      <c r="G70">
        <f t="shared" si="3"/>
        <v>3.5143070500863871</v>
      </c>
    </row>
    <row r="71" spans="1:7" x14ac:dyDescent="0.35">
      <c r="A71" t="s">
        <v>74</v>
      </c>
      <c r="B71">
        <v>512.32270227162701</v>
      </c>
      <c r="C71">
        <v>185.04587604278399</v>
      </c>
      <c r="D71">
        <v>534.74202521343739</v>
      </c>
      <c r="E71">
        <v>188.31062720059737</v>
      </c>
      <c r="F71">
        <f t="shared" si="2"/>
        <v>22.419322941810378</v>
      </c>
      <c r="G71">
        <f t="shared" si="3"/>
        <v>3.2647511578133788</v>
      </c>
    </row>
    <row r="72" spans="1:7" x14ac:dyDescent="0.35">
      <c r="A72" t="s">
        <v>75</v>
      </c>
      <c r="B72">
        <v>512.60365730890896</v>
      </c>
      <c r="C72">
        <v>185.29810044694301</v>
      </c>
      <c r="D72">
        <v>534.8708696898118</v>
      </c>
      <c r="E72">
        <v>188.5510590493478</v>
      </c>
      <c r="F72">
        <f t="shared" si="2"/>
        <v>22.267212380902834</v>
      </c>
      <c r="G72">
        <f t="shared" si="3"/>
        <v>3.2529586024047887</v>
      </c>
    </row>
    <row r="73" spans="1:7" x14ac:dyDescent="0.35">
      <c r="A73" t="s">
        <v>76</v>
      </c>
      <c r="B73">
        <v>512.54502276631297</v>
      </c>
      <c r="C73">
        <v>185.36250355684001</v>
      </c>
      <c r="D73">
        <v>534.84337626343654</v>
      </c>
      <c r="E73">
        <v>188.59735257983982</v>
      </c>
      <c r="F73">
        <f t="shared" si="2"/>
        <v>22.298353497123571</v>
      </c>
      <c r="G73">
        <f t="shared" si="3"/>
        <v>3.2348490229998106</v>
      </c>
    </row>
    <row r="74" spans="1:7" x14ac:dyDescent="0.35">
      <c r="A74" t="s">
        <v>77</v>
      </c>
      <c r="B74">
        <v>505.834772590684</v>
      </c>
      <c r="C74">
        <v>259.52231520257698</v>
      </c>
      <c r="D74">
        <v>532.07292327774587</v>
      </c>
      <c r="E74">
        <v>265.03929605577559</v>
      </c>
      <c r="F74">
        <f t="shared" si="2"/>
        <v>26.238150687061875</v>
      </c>
      <c r="G74">
        <f t="shared" si="3"/>
        <v>5.5169808531986178</v>
      </c>
    </row>
    <row r="75" spans="1:7" x14ac:dyDescent="0.35">
      <c r="A75" t="s">
        <v>78</v>
      </c>
      <c r="B75">
        <v>505.599889119674</v>
      </c>
      <c r="C75">
        <v>259.33720111072898</v>
      </c>
      <c r="D75">
        <v>531.96735551297581</v>
      </c>
      <c r="E75">
        <v>264.86489910875525</v>
      </c>
      <c r="F75">
        <f t="shared" si="2"/>
        <v>26.367466393301811</v>
      </c>
      <c r="G75">
        <f t="shared" si="3"/>
        <v>5.5276979980262695</v>
      </c>
    </row>
    <row r="76" spans="1:7" x14ac:dyDescent="0.35">
      <c r="A76" t="s">
        <v>79</v>
      </c>
      <c r="B76">
        <v>505.82375561163502</v>
      </c>
      <c r="C76">
        <v>259.56104029871699</v>
      </c>
      <c r="D76">
        <v>532.07143763870545</v>
      </c>
      <c r="E76">
        <v>265.09801477494409</v>
      </c>
      <c r="F76">
        <f t="shared" si="2"/>
        <v>26.247682027070425</v>
      </c>
      <c r="G76">
        <f t="shared" si="3"/>
        <v>5.5369744762271011</v>
      </c>
    </row>
    <row r="77" spans="1:7" x14ac:dyDescent="0.35">
      <c r="A77" t="s">
        <v>80</v>
      </c>
      <c r="B77">
        <v>504.900150125067</v>
      </c>
      <c r="C77">
        <v>213.052909656396</v>
      </c>
      <c r="D77">
        <v>531.83970161883406</v>
      </c>
      <c r="E77">
        <v>218.53005573438898</v>
      </c>
      <c r="F77">
        <f t="shared" si="2"/>
        <v>26.939551493767055</v>
      </c>
      <c r="G77">
        <f t="shared" si="3"/>
        <v>5.4771460779929839</v>
      </c>
    </row>
    <row r="78" spans="1:7" x14ac:dyDescent="0.35">
      <c r="A78" t="s">
        <v>81</v>
      </c>
      <c r="B78">
        <v>504.73396841175497</v>
      </c>
      <c r="C78">
        <v>212.725235924163</v>
      </c>
      <c r="D78">
        <v>531.76836518988364</v>
      </c>
      <c r="E78">
        <v>218.21854268238889</v>
      </c>
      <c r="F78">
        <f t="shared" si="2"/>
        <v>27.034396778128666</v>
      </c>
      <c r="G78">
        <f t="shared" si="3"/>
        <v>5.4933067582258843</v>
      </c>
    </row>
    <row r="79" spans="1:7" x14ac:dyDescent="0.35">
      <c r="A79" t="s">
        <v>82</v>
      </c>
      <c r="B79">
        <v>504.906678722653</v>
      </c>
      <c r="C79">
        <v>212.76853387809101</v>
      </c>
      <c r="D79">
        <v>531.85065794628645</v>
      </c>
      <c r="E79">
        <v>218.2748658536826</v>
      </c>
      <c r="F79">
        <f t="shared" si="2"/>
        <v>26.943979223633448</v>
      </c>
      <c r="G79">
        <f t="shared" si="3"/>
        <v>5.5063319755915927</v>
      </c>
    </row>
    <row r="80" spans="1:7" x14ac:dyDescent="0.35">
      <c r="A80" t="s">
        <v>83</v>
      </c>
      <c r="B80">
        <v>505.05294290158901</v>
      </c>
      <c r="C80">
        <v>180.96007210392801</v>
      </c>
      <c r="D80">
        <v>532.10347591480763</v>
      </c>
      <c r="E80">
        <v>186.42037663195458</v>
      </c>
      <c r="F80">
        <f t="shared" si="2"/>
        <v>27.050533013218626</v>
      </c>
      <c r="G80">
        <f t="shared" si="3"/>
        <v>5.460304528026569</v>
      </c>
    </row>
    <row r="81" spans="1:7" x14ac:dyDescent="0.35">
      <c r="A81" t="s">
        <v>84</v>
      </c>
      <c r="B81">
        <v>505.29421720736099</v>
      </c>
      <c r="C81">
        <v>181.648362910331</v>
      </c>
      <c r="D81">
        <v>532.21828071483014</v>
      </c>
      <c r="E81">
        <v>187.14174907017642</v>
      </c>
      <c r="F81">
        <f t="shared" si="2"/>
        <v>26.924063507469157</v>
      </c>
      <c r="G81">
        <f t="shared" si="3"/>
        <v>5.4933861598454143</v>
      </c>
    </row>
    <row r="82" spans="1:7" x14ac:dyDescent="0.35">
      <c r="A82" t="s">
        <v>85</v>
      </c>
      <c r="B82">
        <v>505.07587167141901</v>
      </c>
      <c r="C82">
        <v>180.83094932531401</v>
      </c>
      <c r="D82">
        <v>532.1193274649828</v>
      </c>
      <c r="E82">
        <v>186.30843137335827</v>
      </c>
      <c r="F82">
        <f t="shared" si="2"/>
        <v>27.043455793563794</v>
      </c>
      <c r="G82">
        <f t="shared" si="3"/>
        <v>5.4774820480442656</v>
      </c>
    </row>
    <row r="83" spans="1:7" x14ac:dyDescent="0.35">
      <c r="A83" t="s">
        <v>86</v>
      </c>
      <c r="B83">
        <v>506.64618987729398</v>
      </c>
      <c r="C83">
        <v>133.08184615639701</v>
      </c>
      <c r="D83">
        <v>532.53198689283113</v>
      </c>
      <c r="E83">
        <v>135.65794927270809</v>
      </c>
      <c r="F83">
        <f t="shared" si="2"/>
        <v>25.88579701553715</v>
      </c>
      <c r="G83">
        <f t="shared" si="3"/>
        <v>2.5761031163110886</v>
      </c>
    </row>
    <row r="84" spans="1:7" x14ac:dyDescent="0.35">
      <c r="A84" t="s">
        <v>87</v>
      </c>
      <c r="B84">
        <v>506.478366057914</v>
      </c>
      <c r="C84">
        <v>132.93495823089901</v>
      </c>
      <c r="D84">
        <v>532.45063844760136</v>
      </c>
      <c r="E84">
        <v>135.49288324328219</v>
      </c>
      <c r="F84">
        <f t="shared" si="2"/>
        <v>25.972272389687362</v>
      </c>
      <c r="G84">
        <f t="shared" si="3"/>
        <v>2.5579250123831798</v>
      </c>
    </row>
    <row r="85" spans="1:7" x14ac:dyDescent="0.35">
      <c r="A85" t="s">
        <v>88</v>
      </c>
      <c r="B85">
        <v>506.63721912352003</v>
      </c>
      <c r="C85">
        <v>132.921053616758</v>
      </c>
      <c r="D85">
        <v>532.51859216642742</v>
      </c>
      <c r="E85">
        <v>135.45747681320651</v>
      </c>
      <c r="F85">
        <f t="shared" si="2"/>
        <v>25.881373042907398</v>
      </c>
      <c r="G85">
        <f t="shared" si="3"/>
        <v>2.53642319644851</v>
      </c>
    </row>
    <row r="86" spans="1:7" x14ac:dyDescent="0.35">
      <c r="A86" t="s">
        <v>89</v>
      </c>
      <c r="B86">
        <v>507.40101683341697</v>
      </c>
      <c r="C86">
        <v>228.731750824529</v>
      </c>
      <c r="D86">
        <v>532.60023213988939</v>
      </c>
      <c r="E86">
        <v>230.78107866395152</v>
      </c>
      <c r="F86">
        <f t="shared" si="2"/>
        <v>25.199215306472411</v>
      </c>
      <c r="G86">
        <f t="shared" si="3"/>
        <v>2.0493278394225172</v>
      </c>
    </row>
    <row r="87" spans="1:7" x14ac:dyDescent="0.35">
      <c r="A87" t="s">
        <v>90</v>
      </c>
      <c r="B87">
        <v>507.20972927973997</v>
      </c>
      <c r="C87">
        <v>229.03411220087199</v>
      </c>
      <c r="D87">
        <v>532.50168825347328</v>
      </c>
      <c r="E87">
        <v>231.01190268024763</v>
      </c>
      <c r="F87">
        <f t="shared" si="2"/>
        <v>25.291958973733301</v>
      </c>
      <c r="G87">
        <f t="shared" si="3"/>
        <v>1.977790479375642</v>
      </c>
    </row>
    <row r="88" spans="1:7" x14ac:dyDescent="0.35">
      <c r="A88" t="s">
        <v>91</v>
      </c>
      <c r="B88">
        <v>507.06333149402201</v>
      </c>
      <c r="C88">
        <v>229.15439769226299</v>
      </c>
      <c r="D88">
        <v>532.43032729347942</v>
      </c>
      <c r="E88">
        <v>231.10536951113241</v>
      </c>
      <c r="F88">
        <f t="shared" si="2"/>
        <v>25.366995799457413</v>
      </c>
      <c r="G88">
        <f t="shared" si="3"/>
        <v>1.9509718188694194</v>
      </c>
    </row>
    <row r="89" spans="1:7" x14ac:dyDescent="0.35">
      <c r="A89" t="s">
        <v>92</v>
      </c>
      <c r="B89">
        <v>507.42443078223101</v>
      </c>
      <c r="C89">
        <v>184.617021527818</v>
      </c>
      <c r="D89">
        <v>532.40706175811408</v>
      </c>
      <c r="E89">
        <v>185.25977410060489</v>
      </c>
      <c r="F89">
        <f t="shared" si="2"/>
        <v>24.982630975883069</v>
      </c>
      <c r="G89">
        <f t="shared" si="3"/>
        <v>0.64275257278688969</v>
      </c>
    </row>
    <row r="90" spans="1:7" x14ac:dyDescent="0.35">
      <c r="A90" t="s">
        <v>93</v>
      </c>
      <c r="B90">
        <v>507.85268527508202</v>
      </c>
      <c r="C90">
        <v>184.21228558514099</v>
      </c>
      <c r="D90">
        <v>532.59473276048516</v>
      </c>
      <c r="E90">
        <v>184.80440058176376</v>
      </c>
      <c r="F90">
        <f t="shared" si="2"/>
        <v>24.742047485403134</v>
      </c>
      <c r="G90">
        <f t="shared" si="3"/>
        <v>0.59211499662276879</v>
      </c>
    </row>
    <row r="91" spans="1:7" x14ac:dyDescent="0.35">
      <c r="A91" t="s">
        <v>94</v>
      </c>
      <c r="B91">
        <v>508.15477066549801</v>
      </c>
      <c r="C91">
        <v>184.26982368852501</v>
      </c>
      <c r="D91">
        <v>532.72837895207863</v>
      </c>
      <c r="E91">
        <v>184.83293194161536</v>
      </c>
      <c r="F91">
        <f t="shared" si="2"/>
        <v>24.573608286580622</v>
      </c>
      <c r="G91">
        <f t="shared" si="3"/>
        <v>0.5631082530903484</v>
      </c>
    </row>
    <row r="92" spans="1:7" x14ac:dyDescent="0.35">
      <c r="A92" t="s">
        <v>95</v>
      </c>
      <c r="B92">
        <v>507.28990951180498</v>
      </c>
      <c r="C92">
        <v>155.91621712991201</v>
      </c>
      <c r="D92">
        <v>532.38047594660429</v>
      </c>
      <c r="E92">
        <v>157.39053890797854</v>
      </c>
      <c r="F92">
        <f t="shared" si="2"/>
        <v>25.090566434799314</v>
      </c>
      <c r="G92">
        <f t="shared" si="3"/>
        <v>1.4743217780665248</v>
      </c>
    </row>
    <row r="93" spans="1:7" x14ac:dyDescent="0.35">
      <c r="A93" t="s">
        <v>96</v>
      </c>
      <c r="B93">
        <v>507.46885212296797</v>
      </c>
      <c r="C93">
        <v>155.663294005431</v>
      </c>
      <c r="D93">
        <v>532.46560991330784</v>
      </c>
      <c r="E93">
        <v>157.15935103653226</v>
      </c>
      <c r="F93">
        <f t="shared" si="2"/>
        <v>24.996757790339871</v>
      </c>
      <c r="G93">
        <f t="shared" si="3"/>
        <v>1.4960570311012589</v>
      </c>
    </row>
    <row r="94" spans="1:7" x14ac:dyDescent="0.35">
      <c r="A94" t="s">
        <v>97</v>
      </c>
      <c r="B94">
        <v>507.46899245846498</v>
      </c>
      <c r="C94">
        <v>155.25906578223501</v>
      </c>
      <c r="D94">
        <v>532.46914378388487</v>
      </c>
      <c r="E94">
        <v>156.78060902417786</v>
      </c>
      <c r="F94">
        <f t="shared" si="2"/>
        <v>25.000151325419893</v>
      </c>
      <c r="G94">
        <f t="shared" si="3"/>
        <v>1.521543241942851</v>
      </c>
    </row>
    <row r="95" spans="1:7" x14ac:dyDescent="0.35">
      <c r="A95" t="s">
        <v>98</v>
      </c>
      <c r="B95">
        <v>510.360535798282</v>
      </c>
      <c r="C95">
        <v>140.71829881111401</v>
      </c>
      <c r="D95">
        <v>533.85998244351742</v>
      </c>
      <c r="E95">
        <v>142.6157986598763</v>
      </c>
      <c r="F95">
        <f t="shared" si="2"/>
        <v>23.499446645235423</v>
      </c>
      <c r="G95">
        <f t="shared" si="3"/>
        <v>1.8974998487622941</v>
      </c>
    </row>
    <row r="96" spans="1:7" x14ac:dyDescent="0.35">
      <c r="A96" t="s">
        <v>99</v>
      </c>
      <c r="B96">
        <v>509.79649701465797</v>
      </c>
      <c r="C96">
        <v>140.159834637838</v>
      </c>
      <c r="D96">
        <v>533.60278606335567</v>
      </c>
      <c r="E96">
        <v>142.06963919675906</v>
      </c>
      <c r="F96">
        <f t="shared" si="2"/>
        <v>23.806289048697693</v>
      </c>
      <c r="G96">
        <f t="shared" si="3"/>
        <v>1.9098045589210528</v>
      </c>
    </row>
    <row r="97" spans="1:7" x14ac:dyDescent="0.35">
      <c r="A97" t="s">
        <v>100</v>
      </c>
      <c r="B97">
        <v>509.99852252861899</v>
      </c>
      <c r="C97">
        <v>139.89504636568699</v>
      </c>
      <c r="D97">
        <v>533.69858256821294</v>
      </c>
      <c r="E97">
        <v>141.82353884684628</v>
      </c>
      <c r="F97">
        <f t="shared" si="2"/>
        <v>23.70006003959395</v>
      </c>
      <c r="G97">
        <f t="shared" si="3"/>
        <v>1.9284924811592816</v>
      </c>
    </row>
    <row r="98" spans="1:7" x14ac:dyDescent="0.35">
      <c r="A98" t="s">
        <v>101</v>
      </c>
      <c r="B98">
        <v>509.603480223053</v>
      </c>
      <c r="C98">
        <v>172.89542796111601</v>
      </c>
      <c r="D98">
        <v>533.60937119272978</v>
      </c>
      <c r="E98">
        <v>175.91760795096891</v>
      </c>
      <c r="F98">
        <f t="shared" si="2"/>
        <v>24.005890969676784</v>
      </c>
      <c r="G98">
        <f t="shared" si="3"/>
        <v>3.0221799898529014</v>
      </c>
    </row>
    <row r="99" spans="1:7" x14ac:dyDescent="0.35">
      <c r="A99" t="s">
        <v>102</v>
      </c>
      <c r="B99">
        <v>509.968159195525</v>
      </c>
      <c r="C99">
        <v>173.11128553932201</v>
      </c>
      <c r="D99">
        <v>533.78004171757277</v>
      </c>
      <c r="E99">
        <v>176.16190337547988</v>
      </c>
      <c r="F99">
        <f t="shared" si="2"/>
        <v>23.811882522047767</v>
      </c>
      <c r="G99">
        <f t="shared" si="3"/>
        <v>3.0506178361578691</v>
      </c>
    </row>
    <row r="100" spans="1:7" x14ac:dyDescent="0.35">
      <c r="A100" t="s">
        <v>103</v>
      </c>
      <c r="B100">
        <v>509.28565736073898</v>
      </c>
      <c r="C100">
        <v>173.02956638031</v>
      </c>
      <c r="D100">
        <v>533.46773007062143</v>
      </c>
      <c r="E100">
        <v>176.0945403621476</v>
      </c>
      <c r="F100">
        <f t="shared" si="2"/>
        <v>24.182072709882448</v>
      </c>
      <c r="G100">
        <f t="shared" si="3"/>
        <v>3.0649739818375963</v>
      </c>
    </row>
    <row r="101" spans="1:7" x14ac:dyDescent="0.35">
      <c r="A101" t="s">
        <v>104</v>
      </c>
      <c r="B101">
        <v>505.30768050491298</v>
      </c>
      <c r="C101">
        <v>105.135698034616</v>
      </c>
      <c r="D101">
        <v>532.34303520344179</v>
      </c>
      <c r="E101">
        <v>109.36477457698152</v>
      </c>
      <c r="F101">
        <f t="shared" si="2"/>
        <v>27.035354698528806</v>
      </c>
      <c r="G101">
        <f t="shared" si="3"/>
        <v>4.2290765423655188</v>
      </c>
    </row>
    <row r="102" spans="1:7" x14ac:dyDescent="0.35">
      <c r="A102" t="s">
        <v>105</v>
      </c>
      <c r="B102">
        <v>505.32765262646802</v>
      </c>
      <c r="C102">
        <v>105.051764969931</v>
      </c>
      <c r="D102">
        <v>532.35389895871219</v>
      </c>
      <c r="E102">
        <v>109.27010910570223</v>
      </c>
      <c r="F102">
        <f t="shared" si="2"/>
        <v>27.02624633224417</v>
      </c>
      <c r="G102">
        <f t="shared" si="3"/>
        <v>4.2183441357712326</v>
      </c>
    </row>
    <row r="103" spans="1:7" x14ac:dyDescent="0.35">
      <c r="A103" t="s">
        <v>106</v>
      </c>
      <c r="B103">
        <v>505.40582816879299</v>
      </c>
      <c r="C103">
        <v>105.074888994744</v>
      </c>
      <c r="D103">
        <v>532.39111755071656</v>
      </c>
      <c r="E103">
        <v>109.28896354151864</v>
      </c>
      <c r="F103">
        <f t="shared" si="2"/>
        <v>26.985289381923565</v>
      </c>
      <c r="G103">
        <f t="shared" si="3"/>
        <v>4.2140745467746399</v>
      </c>
    </row>
    <row r="104" spans="1:7" x14ac:dyDescent="0.35">
      <c r="A104" t="s">
        <v>107</v>
      </c>
      <c r="B104">
        <v>521.50826868219804</v>
      </c>
      <c r="C104">
        <v>137.84998955007501</v>
      </c>
      <c r="D104">
        <v>539.8797250963687</v>
      </c>
      <c r="E104">
        <v>142.64819453242848</v>
      </c>
      <c r="F104">
        <f t="shared" si="2"/>
        <v>18.371456414170666</v>
      </c>
      <c r="G104">
        <f t="shared" si="3"/>
        <v>4.798204982353468</v>
      </c>
    </row>
    <row r="105" spans="1:7" x14ac:dyDescent="0.35">
      <c r="A105" t="s">
        <v>108</v>
      </c>
      <c r="B105">
        <v>521.99572355908799</v>
      </c>
      <c r="C105">
        <v>138.06889943758199</v>
      </c>
      <c r="D105">
        <v>540.10718494351659</v>
      </c>
      <c r="E105">
        <v>142.85717721965221</v>
      </c>
      <c r="F105">
        <f t="shared" si="2"/>
        <v>18.111461384428594</v>
      </c>
      <c r="G105">
        <f t="shared" si="3"/>
        <v>4.7882777820702245</v>
      </c>
    </row>
    <row r="106" spans="1:7" x14ac:dyDescent="0.35">
      <c r="A106" t="s">
        <v>109</v>
      </c>
      <c r="B106">
        <v>521.53117409259698</v>
      </c>
      <c r="C106">
        <v>138.13995081190799</v>
      </c>
      <c r="D106">
        <v>539.89485762697984</v>
      </c>
      <c r="E106">
        <v>142.91668182100676</v>
      </c>
      <c r="F106">
        <f t="shared" si="2"/>
        <v>18.363683534382858</v>
      </c>
      <c r="G106">
        <f t="shared" si="3"/>
        <v>4.7767310090987678</v>
      </c>
    </row>
    <row r="107" spans="1:7" x14ac:dyDescent="0.35">
      <c r="A107" t="s">
        <v>110</v>
      </c>
      <c r="B107">
        <v>504.106513798788</v>
      </c>
      <c r="C107">
        <v>183.19146735151401</v>
      </c>
      <c r="D107">
        <v>531.91571288346063</v>
      </c>
      <c r="E107">
        <v>188.56795728883398</v>
      </c>
      <c r="F107">
        <f t="shared" si="2"/>
        <v>27.809199084672628</v>
      </c>
      <c r="G107">
        <f t="shared" si="3"/>
        <v>5.3764899373199739</v>
      </c>
    </row>
    <row r="108" spans="1:7" x14ac:dyDescent="0.35">
      <c r="A108" t="s">
        <v>111</v>
      </c>
      <c r="B108">
        <v>504.20193985476698</v>
      </c>
      <c r="C108">
        <v>183.299019003317</v>
      </c>
      <c r="D108">
        <v>531.96116309391175</v>
      </c>
      <c r="E108">
        <v>188.66585128146056</v>
      </c>
      <c r="F108">
        <f t="shared" si="2"/>
        <v>27.759223239144774</v>
      </c>
      <c r="G108">
        <f t="shared" si="3"/>
        <v>5.366832278143562</v>
      </c>
    </row>
    <row r="109" spans="1:7" x14ac:dyDescent="0.35">
      <c r="A109" t="s">
        <v>112</v>
      </c>
      <c r="B109">
        <v>504.49075927168298</v>
      </c>
      <c r="C109">
        <v>183.53007445848499</v>
      </c>
      <c r="D109">
        <v>532.09590040736623</v>
      </c>
      <c r="E109">
        <v>188.89000362231758</v>
      </c>
      <c r="F109">
        <f t="shared" si="2"/>
        <v>27.605141135683255</v>
      </c>
      <c r="G109">
        <f t="shared" si="3"/>
        <v>5.3599291638325894</v>
      </c>
    </row>
    <row r="110" spans="1:7" x14ac:dyDescent="0.35">
      <c r="A110" t="s">
        <v>113</v>
      </c>
      <c r="B110">
        <v>504.14502400284601</v>
      </c>
      <c r="C110">
        <v>211.544362559978</v>
      </c>
      <c r="D110">
        <v>531.915130248639</v>
      </c>
      <c r="E110">
        <v>217.06290304323068</v>
      </c>
      <c r="F110">
        <f t="shared" si="2"/>
        <v>27.770106245792988</v>
      </c>
      <c r="G110">
        <f t="shared" si="3"/>
        <v>5.5185404832526785</v>
      </c>
    </row>
    <row r="111" spans="1:7" x14ac:dyDescent="0.35">
      <c r="A111" t="s">
        <v>114</v>
      </c>
      <c r="B111">
        <v>504.17733071682301</v>
      </c>
      <c r="C111">
        <v>211.284131200335</v>
      </c>
      <c r="D111">
        <v>531.92842849701424</v>
      </c>
      <c r="E111">
        <v>216.80049512360634</v>
      </c>
      <c r="F111">
        <f t="shared" si="2"/>
        <v>27.75109778019123</v>
      </c>
      <c r="G111">
        <f t="shared" si="3"/>
        <v>5.5163639232713422</v>
      </c>
    </row>
    <row r="112" spans="1:7" x14ac:dyDescent="0.35">
      <c r="A112" t="s">
        <v>115</v>
      </c>
      <c r="B112">
        <v>504.324892766537</v>
      </c>
      <c r="C112">
        <v>211.25656452464099</v>
      </c>
      <c r="D112">
        <v>531.99644803864874</v>
      </c>
      <c r="E112">
        <v>216.77274317635343</v>
      </c>
      <c r="F112">
        <f t="shared" si="2"/>
        <v>27.671555272111732</v>
      </c>
      <c r="G112">
        <f t="shared" si="3"/>
        <v>5.5161786517124369</v>
      </c>
    </row>
    <row r="113" spans="1:7" x14ac:dyDescent="0.35">
      <c r="A113" t="s">
        <v>116</v>
      </c>
      <c r="B113">
        <v>502.81512579004499</v>
      </c>
      <c r="C113">
        <v>130.52264277448401</v>
      </c>
      <c r="D113">
        <v>531.26642239901912</v>
      </c>
      <c r="E113">
        <v>134.51382995626605</v>
      </c>
      <c r="F113">
        <f t="shared" si="2"/>
        <v>28.451296608974133</v>
      </c>
      <c r="G113">
        <f t="shared" si="3"/>
        <v>3.9911871817820384</v>
      </c>
    </row>
    <row r="114" spans="1:7" x14ac:dyDescent="0.35">
      <c r="A114" t="s">
        <v>117</v>
      </c>
      <c r="B114">
        <v>502.66111267586598</v>
      </c>
      <c r="C114">
        <v>130.22822648518999</v>
      </c>
      <c r="D114">
        <v>531.19447904601964</v>
      </c>
      <c r="E114">
        <v>134.21487791566014</v>
      </c>
      <c r="F114">
        <f t="shared" si="2"/>
        <v>28.533366370153658</v>
      </c>
      <c r="G114">
        <f t="shared" si="3"/>
        <v>3.9866514304701468</v>
      </c>
    </row>
    <row r="115" spans="1:7" x14ac:dyDescent="0.35">
      <c r="A115" t="s">
        <v>118</v>
      </c>
      <c r="B115">
        <v>502.22478537335098</v>
      </c>
      <c r="C115">
        <v>129.86425850060701</v>
      </c>
      <c r="D115">
        <v>530.9922102761094</v>
      </c>
      <c r="E115">
        <v>133.84529697356376</v>
      </c>
      <c r="F115">
        <f t="shared" si="2"/>
        <v>28.767424902758421</v>
      </c>
      <c r="G115">
        <f t="shared" si="3"/>
        <v>3.9810384729567545</v>
      </c>
    </row>
    <row r="116" spans="1:7" x14ac:dyDescent="0.35">
      <c r="A116" t="s">
        <v>119</v>
      </c>
      <c r="B116">
        <v>507.02289527442099</v>
      </c>
      <c r="C116">
        <v>131.74595765524799</v>
      </c>
      <c r="D116">
        <v>533.1825598947006</v>
      </c>
      <c r="E116">
        <v>135.80103985918879</v>
      </c>
      <c r="F116">
        <f t="shared" si="2"/>
        <v>26.159664620279614</v>
      </c>
      <c r="G116">
        <f t="shared" si="3"/>
        <v>4.055082203940799</v>
      </c>
    </row>
    <row r="117" spans="1:7" x14ac:dyDescent="0.35">
      <c r="A117" t="s">
        <v>120</v>
      </c>
      <c r="B117">
        <v>507.21472117642099</v>
      </c>
      <c r="C117">
        <v>131.78068853179499</v>
      </c>
      <c r="D117">
        <v>533.27038900382172</v>
      </c>
      <c r="E117">
        <v>135.83738572243931</v>
      </c>
      <c r="F117">
        <f t="shared" si="2"/>
        <v>26.055667827400725</v>
      </c>
      <c r="G117">
        <f t="shared" si="3"/>
        <v>4.0566971906443143</v>
      </c>
    </row>
    <row r="118" spans="1:7" x14ac:dyDescent="0.35">
      <c r="A118" t="s">
        <v>121</v>
      </c>
      <c r="B118">
        <v>507.27933650508299</v>
      </c>
      <c r="C118">
        <v>131.79427663734</v>
      </c>
      <c r="D118">
        <v>533.29965958358798</v>
      </c>
      <c r="E118">
        <v>135.85216985762742</v>
      </c>
      <c r="F118">
        <f t="shared" si="2"/>
        <v>26.020323078504987</v>
      </c>
      <c r="G118">
        <f t="shared" si="3"/>
        <v>4.0578932202874114</v>
      </c>
    </row>
    <row r="119" spans="1:7" x14ac:dyDescent="0.35">
      <c r="A119" t="s">
        <v>122</v>
      </c>
      <c r="B119">
        <v>504.855475576348</v>
      </c>
      <c r="C119">
        <v>185.62162653645899</v>
      </c>
      <c r="D119">
        <v>532.11786106201941</v>
      </c>
      <c r="E119">
        <v>191.23305863684655</v>
      </c>
      <c r="F119">
        <f t="shared" si="2"/>
        <v>27.262385485671416</v>
      </c>
      <c r="G119">
        <f t="shared" si="3"/>
        <v>5.6114321003875602</v>
      </c>
    </row>
    <row r="120" spans="1:7" x14ac:dyDescent="0.35">
      <c r="A120" t="s">
        <v>123</v>
      </c>
      <c r="B120">
        <v>505.314435600867</v>
      </c>
      <c r="C120">
        <v>185.32640044039101</v>
      </c>
      <c r="D120">
        <v>532.32925624360234</v>
      </c>
      <c r="E120">
        <v>190.93729039261382</v>
      </c>
      <c r="F120">
        <f t="shared" si="2"/>
        <v>27.014820642735344</v>
      </c>
      <c r="G120">
        <f t="shared" si="3"/>
        <v>5.6108899522228057</v>
      </c>
    </row>
    <row r="121" spans="1:7" x14ac:dyDescent="0.35">
      <c r="A121" t="s">
        <v>124</v>
      </c>
      <c r="B121">
        <v>505.07915541084299</v>
      </c>
      <c r="C121">
        <v>184.97632588633101</v>
      </c>
      <c r="D121">
        <v>532.22046604858542</v>
      </c>
      <c r="E121">
        <v>190.58311496836012</v>
      </c>
      <c r="F121">
        <f t="shared" si="2"/>
        <v>27.141310637742436</v>
      </c>
      <c r="G121">
        <f t="shared" si="3"/>
        <v>5.6067890820291097</v>
      </c>
    </row>
    <row r="122" spans="1:7" x14ac:dyDescent="0.35">
      <c r="A122" t="s">
        <v>125</v>
      </c>
      <c r="B122">
        <v>505.92683473853498</v>
      </c>
      <c r="C122">
        <v>240.101812526695</v>
      </c>
      <c r="D122">
        <v>532.60045727362672</v>
      </c>
      <c r="E122">
        <v>247.17021159601396</v>
      </c>
      <c r="F122">
        <f t="shared" si="2"/>
        <v>26.673622535091738</v>
      </c>
      <c r="G122">
        <f t="shared" si="3"/>
        <v>7.0683990693189571</v>
      </c>
    </row>
    <row r="123" spans="1:7" x14ac:dyDescent="0.35">
      <c r="A123" t="s">
        <v>126</v>
      </c>
      <c r="B123">
        <v>505.76468927955</v>
      </c>
      <c r="C123">
        <v>240.14313121573699</v>
      </c>
      <c r="D123">
        <v>532.52555162603392</v>
      </c>
      <c r="E123">
        <v>247.21683439223384</v>
      </c>
      <c r="F123">
        <f t="shared" si="2"/>
        <v>26.760862346483918</v>
      </c>
      <c r="G123">
        <f t="shared" si="3"/>
        <v>7.0737031764968492</v>
      </c>
    </row>
    <row r="124" spans="1:7" x14ac:dyDescent="0.35">
      <c r="A124" t="s">
        <v>127</v>
      </c>
      <c r="B124">
        <v>505.74754725166599</v>
      </c>
      <c r="C124">
        <v>240.241270217742</v>
      </c>
      <c r="D124">
        <v>532.51709643942604</v>
      </c>
      <c r="E124">
        <v>247.32730922650768</v>
      </c>
      <c r="F124">
        <f t="shared" si="2"/>
        <v>26.769549187760049</v>
      </c>
      <c r="G124">
        <f t="shared" si="3"/>
        <v>7.086039008765681</v>
      </c>
    </row>
    <row r="125" spans="1:7" x14ac:dyDescent="0.35">
      <c r="A125" t="s">
        <v>128</v>
      </c>
      <c r="B125">
        <v>509.20170356609299</v>
      </c>
      <c r="C125">
        <v>191.80980584129199</v>
      </c>
      <c r="D125">
        <v>534.10056348389207</v>
      </c>
      <c r="E125">
        <v>197.99319517880147</v>
      </c>
      <c r="F125">
        <f t="shared" si="2"/>
        <v>24.898859917799086</v>
      </c>
      <c r="G125">
        <f t="shared" si="3"/>
        <v>6.1833893375094817</v>
      </c>
    </row>
    <row r="126" spans="1:7" x14ac:dyDescent="0.35">
      <c r="A126" t="s">
        <v>129</v>
      </c>
      <c r="B126">
        <v>509.14756941688</v>
      </c>
      <c r="C126">
        <v>191.537274744375</v>
      </c>
      <c r="D126">
        <v>534.07514587104254</v>
      </c>
      <c r="E126">
        <v>197.72027355702699</v>
      </c>
      <c r="F126">
        <f t="shared" si="2"/>
        <v>24.927576454162534</v>
      </c>
      <c r="G126">
        <f t="shared" si="3"/>
        <v>6.1829988126519879</v>
      </c>
    </row>
    <row r="127" spans="1:7" x14ac:dyDescent="0.35">
      <c r="A127" t="s">
        <v>130</v>
      </c>
      <c r="B127">
        <v>509.34735060610001</v>
      </c>
      <c r="C127">
        <v>191.37597292452099</v>
      </c>
      <c r="D127">
        <v>534.16717686972072</v>
      </c>
      <c r="E127">
        <v>197.55998918054027</v>
      </c>
      <c r="F127">
        <f t="shared" si="2"/>
        <v>24.819826263620712</v>
      </c>
      <c r="G127">
        <f t="shared" si="3"/>
        <v>6.1840162560192766</v>
      </c>
    </row>
    <row r="128" spans="1:7" x14ac:dyDescent="0.35">
      <c r="A128" t="s">
        <v>131</v>
      </c>
      <c r="B128">
        <v>510.55231821172998</v>
      </c>
      <c r="C128">
        <v>184.50419295460301</v>
      </c>
      <c r="D128">
        <v>534.62736048201646</v>
      </c>
      <c r="E128">
        <v>190.21285631906812</v>
      </c>
      <c r="F128">
        <f t="shared" si="2"/>
        <v>24.075042270286474</v>
      </c>
      <c r="G128">
        <f t="shared" si="3"/>
        <v>5.7086633644651101</v>
      </c>
    </row>
    <row r="129" spans="1:7" x14ac:dyDescent="0.35">
      <c r="A129" t="s">
        <v>132</v>
      </c>
      <c r="B129">
        <v>510.74358284704903</v>
      </c>
      <c r="C129">
        <v>184.494020214165</v>
      </c>
      <c r="D129">
        <v>534.71485059046188</v>
      </c>
      <c r="E129">
        <v>190.19869058220459</v>
      </c>
      <c r="F129">
        <f t="shared" si="2"/>
        <v>23.971267743412852</v>
      </c>
      <c r="G129">
        <f t="shared" si="3"/>
        <v>5.7046703680395865</v>
      </c>
    </row>
    <row r="130" spans="1:7" x14ac:dyDescent="0.35">
      <c r="A130" t="s">
        <v>133</v>
      </c>
      <c r="B130">
        <v>510.69184528538699</v>
      </c>
      <c r="C130">
        <v>184.274947201445</v>
      </c>
      <c r="D130">
        <v>534.6902621186083</v>
      </c>
      <c r="E130">
        <v>189.96993042079563</v>
      </c>
      <c r="F130">
        <f t="shared" si="2"/>
        <v>23.998416833221313</v>
      </c>
      <c r="G130">
        <f t="shared" si="3"/>
        <v>5.6949832193506325</v>
      </c>
    </row>
    <row r="131" spans="1:7" x14ac:dyDescent="0.35">
      <c r="A131" t="s">
        <v>134</v>
      </c>
      <c r="B131">
        <v>509.84019801563198</v>
      </c>
      <c r="C131">
        <v>134.56788838156299</v>
      </c>
      <c r="D131">
        <v>534.26207099697695</v>
      </c>
      <c r="E131">
        <v>139.07185444032476</v>
      </c>
      <c r="F131">
        <f t="shared" ref="F131:F145" si="4">D131-B131</f>
        <v>24.421872981344961</v>
      </c>
      <c r="G131">
        <f t="shared" ref="G131:G145" si="5">E131-C131</f>
        <v>4.5039660587617618</v>
      </c>
    </row>
    <row r="132" spans="1:7" x14ac:dyDescent="0.35">
      <c r="A132" t="s">
        <v>135</v>
      </c>
      <c r="B132">
        <v>509.86755287824798</v>
      </c>
      <c r="C132">
        <v>134.33546108401299</v>
      </c>
      <c r="D132">
        <v>534.2735650735757</v>
      </c>
      <c r="E132">
        <v>138.83052830089136</v>
      </c>
      <c r="F132">
        <f t="shared" si="4"/>
        <v>24.406012195327719</v>
      </c>
      <c r="G132">
        <f t="shared" si="5"/>
        <v>4.4950672168783683</v>
      </c>
    </row>
    <row r="133" spans="1:7" x14ac:dyDescent="0.35">
      <c r="A133" t="s">
        <v>136</v>
      </c>
      <c r="B133">
        <v>509.66060930953398</v>
      </c>
      <c r="C133">
        <v>134.04082388939099</v>
      </c>
      <c r="D133">
        <v>534.17733750957404</v>
      </c>
      <c r="E133">
        <v>138.52667972620961</v>
      </c>
      <c r="F133">
        <f t="shared" si="4"/>
        <v>24.516728200040063</v>
      </c>
      <c r="G133">
        <f t="shared" si="5"/>
        <v>4.4858558368186152</v>
      </c>
    </row>
    <row r="134" spans="1:7" x14ac:dyDescent="0.35">
      <c r="A134" t="s">
        <v>137</v>
      </c>
      <c r="B134">
        <v>513.58423642030596</v>
      </c>
      <c r="C134">
        <v>203.476688003775</v>
      </c>
      <c r="D134">
        <v>535.94243428417394</v>
      </c>
      <c r="E134">
        <v>209.05148302313859</v>
      </c>
      <c r="F134">
        <f t="shared" si="4"/>
        <v>22.358197863867986</v>
      </c>
      <c r="G134">
        <f t="shared" si="5"/>
        <v>5.5747950193635916</v>
      </c>
    </row>
    <row r="135" spans="1:7" x14ac:dyDescent="0.35">
      <c r="A135" t="s">
        <v>138</v>
      </c>
      <c r="B135">
        <v>513.70046967547296</v>
      </c>
      <c r="C135">
        <v>203.631782131519</v>
      </c>
      <c r="D135">
        <v>535.994929621094</v>
      </c>
      <c r="E135">
        <v>209.20237065403583</v>
      </c>
      <c r="F135">
        <f t="shared" si="4"/>
        <v>22.294459945621043</v>
      </c>
      <c r="G135">
        <f t="shared" si="5"/>
        <v>5.5705885225168288</v>
      </c>
    </row>
    <row r="136" spans="1:7" x14ac:dyDescent="0.35">
      <c r="A136" t="s">
        <v>139</v>
      </c>
      <c r="B136">
        <v>513.68799379101495</v>
      </c>
      <c r="C136">
        <v>203.780469169284</v>
      </c>
      <c r="D136">
        <v>535.98853063803199</v>
      </c>
      <c r="E136">
        <v>209.34950407761872</v>
      </c>
      <c r="F136">
        <f t="shared" si="4"/>
        <v>22.300536847017042</v>
      </c>
      <c r="G136">
        <f t="shared" si="5"/>
        <v>5.5690349083347144</v>
      </c>
    </row>
    <row r="137" spans="1:7" x14ac:dyDescent="0.35">
      <c r="A137" t="s">
        <v>140</v>
      </c>
      <c r="B137">
        <v>512.50580304210803</v>
      </c>
      <c r="C137">
        <v>177.73510531061601</v>
      </c>
      <c r="D137">
        <v>535.37144761394052</v>
      </c>
      <c r="E137">
        <v>183.51221453392463</v>
      </c>
      <c r="F137">
        <f t="shared" si="4"/>
        <v>22.86564457183249</v>
      </c>
      <c r="G137">
        <f t="shared" si="5"/>
        <v>5.7771092233086279</v>
      </c>
    </row>
    <row r="138" spans="1:7" x14ac:dyDescent="0.35">
      <c r="A138" t="s">
        <v>141</v>
      </c>
      <c r="B138">
        <v>512.497926482053</v>
      </c>
      <c r="C138">
        <v>177.47215344846001</v>
      </c>
      <c r="D138">
        <v>535.36715737085035</v>
      </c>
      <c r="E138">
        <v>183.25657318651136</v>
      </c>
      <c r="F138">
        <f t="shared" si="4"/>
        <v>22.869230888797347</v>
      </c>
      <c r="G138">
        <f t="shared" si="5"/>
        <v>5.7844197380513549</v>
      </c>
    </row>
    <row r="139" spans="1:7" x14ac:dyDescent="0.35">
      <c r="A139" t="s">
        <v>142</v>
      </c>
      <c r="B139">
        <v>512.74619699220204</v>
      </c>
      <c r="C139">
        <v>177.39640636111</v>
      </c>
      <c r="D139">
        <v>535.48125520682765</v>
      </c>
      <c r="E139">
        <v>183.18562347940664</v>
      </c>
      <c r="F139">
        <f t="shared" si="4"/>
        <v>22.73505821462561</v>
      </c>
      <c r="G139">
        <f t="shared" si="5"/>
        <v>5.7892171182966479</v>
      </c>
    </row>
    <row r="140" spans="1:7" x14ac:dyDescent="0.35">
      <c r="A140" t="s">
        <v>143</v>
      </c>
      <c r="B140">
        <v>513.78393135848501</v>
      </c>
      <c r="C140">
        <v>181.90134902645099</v>
      </c>
      <c r="D140">
        <v>535.9472851414987</v>
      </c>
      <c r="E140">
        <v>188.04999652304426</v>
      </c>
      <c r="F140">
        <f t="shared" si="4"/>
        <v>22.16335378301369</v>
      </c>
      <c r="G140">
        <f t="shared" si="5"/>
        <v>6.14864749659327</v>
      </c>
    </row>
    <row r="141" spans="1:7" x14ac:dyDescent="0.35">
      <c r="A141" t="s">
        <v>144</v>
      </c>
      <c r="B141">
        <v>513.98290062051797</v>
      </c>
      <c r="C141">
        <v>182.000703600311</v>
      </c>
      <c r="D141">
        <v>536.03851276841635</v>
      </c>
      <c r="E141">
        <v>188.1626035009736</v>
      </c>
      <c r="F141">
        <f t="shared" si="4"/>
        <v>22.055612147898387</v>
      </c>
      <c r="G141">
        <f t="shared" si="5"/>
        <v>6.1618999006626041</v>
      </c>
    </row>
    <row r="142" spans="1:7" x14ac:dyDescent="0.35">
      <c r="A142" t="s">
        <v>145</v>
      </c>
      <c r="B142">
        <v>514.13501336495301</v>
      </c>
      <c r="C142">
        <v>182.059703484778</v>
      </c>
      <c r="D142">
        <v>536.10821403911177</v>
      </c>
      <c r="E142">
        <v>188.22956602904802</v>
      </c>
      <c r="F142">
        <f t="shared" si="4"/>
        <v>21.973200674158761</v>
      </c>
      <c r="G142">
        <f t="shared" si="5"/>
        <v>6.1698625442700177</v>
      </c>
    </row>
    <row r="143" spans="1:7" x14ac:dyDescent="0.35">
      <c r="A143" t="s">
        <v>146</v>
      </c>
      <c r="B143">
        <v>528.48182326764902</v>
      </c>
      <c r="C143">
        <v>132.14874604484501</v>
      </c>
      <c r="D143">
        <v>542.69834211907175</v>
      </c>
      <c r="E143">
        <v>137.48049104849221</v>
      </c>
      <c r="F143">
        <f t="shared" si="4"/>
        <v>14.216518851422734</v>
      </c>
      <c r="G143">
        <f t="shared" si="5"/>
        <v>5.3317450036471996</v>
      </c>
    </row>
    <row r="144" spans="1:7" x14ac:dyDescent="0.35">
      <c r="A144" t="s">
        <v>147</v>
      </c>
      <c r="B144">
        <v>528.99882190872199</v>
      </c>
      <c r="C144">
        <v>131.93714662715101</v>
      </c>
      <c r="D144">
        <v>542.9355893741598</v>
      </c>
      <c r="E144">
        <v>137.27699659984091</v>
      </c>
      <c r="F144">
        <f t="shared" si="4"/>
        <v>13.936767465437811</v>
      </c>
      <c r="G144">
        <f t="shared" si="5"/>
        <v>5.3398499726899047</v>
      </c>
    </row>
    <row r="145" spans="1:7" x14ac:dyDescent="0.35">
      <c r="A145" t="s">
        <v>148</v>
      </c>
      <c r="B145">
        <v>528.68331523789504</v>
      </c>
      <c r="C145">
        <v>131.77480716168699</v>
      </c>
      <c r="D145">
        <v>542.78995812421897</v>
      </c>
      <c r="E145">
        <v>137.11562799302823</v>
      </c>
      <c r="F145">
        <f t="shared" si="4"/>
        <v>14.106642886323925</v>
      </c>
      <c r="G145">
        <f t="shared" si="5"/>
        <v>5.3408208313412331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2FE4-559A-43C5-88D7-5C9A36CF299A}">
  <dimension ref="A1:G145"/>
  <sheetViews>
    <sheetView tabSelected="1" workbookViewId="0">
      <selection activeCell="F1" sqref="F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152</v>
      </c>
      <c r="E1" t="s">
        <v>153</v>
      </c>
    </row>
    <row r="2" spans="1:7" x14ac:dyDescent="0.35">
      <c r="A2" t="s">
        <v>5</v>
      </c>
      <c r="B2">
        <v>510.38925371006002</v>
      </c>
      <c r="C2">
        <v>225.422875848584</v>
      </c>
      <c r="D2">
        <f>AVERAGE(B2:B4)</f>
        <v>510.22323191574833</v>
      </c>
      <c r="E2">
        <f>AVERAGE(C2:C4)</f>
        <v>225.17869342240235</v>
      </c>
      <c r="F2">
        <f>(D5-D2)*14.933333333</f>
        <v>9.6535853256716493</v>
      </c>
      <c r="G2">
        <f>(E5-E2)*14.933333333</f>
        <v>-816.59570677506292</v>
      </c>
    </row>
    <row r="3" spans="1:7" x14ac:dyDescent="0.35">
      <c r="A3" t="s">
        <v>6</v>
      </c>
      <c r="B3">
        <v>510.13554090015998</v>
      </c>
      <c r="C3">
        <v>225.06462350748299</v>
      </c>
    </row>
    <row r="4" spans="1:7" x14ac:dyDescent="0.35">
      <c r="A4" t="s">
        <v>7</v>
      </c>
      <c r="B4">
        <v>510.14490113702499</v>
      </c>
      <c r="C4">
        <v>225.04858091113999</v>
      </c>
    </row>
    <row r="5" spans="1:7" x14ac:dyDescent="0.35">
      <c r="A5" t="s">
        <v>8</v>
      </c>
      <c r="B5">
        <v>510.95701066662298</v>
      </c>
      <c r="C5">
        <v>170.814624909678</v>
      </c>
      <c r="D5">
        <f>AVERAGE(B5:B7)</f>
        <v>510.86967736167827</v>
      </c>
      <c r="E5">
        <f t="shared" ref="D5:E5" si="0">AVERAGE(C5:C7)</f>
        <v>170.49594519963736</v>
      </c>
    </row>
    <row r="6" spans="1:7" x14ac:dyDescent="0.35">
      <c r="A6" t="s">
        <v>9</v>
      </c>
      <c r="B6">
        <v>510.87731237042198</v>
      </c>
      <c r="C6">
        <v>170.45175905530201</v>
      </c>
    </row>
    <row r="7" spans="1:7" x14ac:dyDescent="0.35">
      <c r="A7" t="s">
        <v>10</v>
      </c>
      <c r="B7">
        <v>510.77470904798997</v>
      </c>
      <c r="C7">
        <v>170.22145163393199</v>
      </c>
    </row>
    <row r="8" spans="1:7" x14ac:dyDescent="0.35">
      <c r="A8" t="s">
        <v>11</v>
      </c>
      <c r="B8">
        <v>509.17395916142698</v>
      </c>
      <c r="C8">
        <v>214.69036958486299</v>
      </c>
      <c r="D8">
        <f t="shared" ref="D8:D71" si="1">AVERAGE(B8:B10)</f>
        <v>509.28283026012036</v>
      </c>
      <c r="E8">
        <f t="shared" ref="E8:E71" si="2">AVERAGE(C8:C10)</f>
        <v>214.93506507239735</v>
      </c>
    </row>
    <row r="9" spans="1:7" x14ac:dyDescent="0.35">
      <c r="A9" t="s">
        <v>12</v>
      </c>
      <c r="B9">
        <v>509.33301556841599</v>
      </c>
      <c r="C9">
        <v>214.92709421984699</v>
      </c>
    </row>
    <row r="10" spans="1:7" x14ac:dyDescent="0.35">
      <c r="A10" t="s">
        <v>13</v>
      </c>
      <c r="B10">
        <v>509.34151605051801</v>
      </c>
      <c r="C10">
        <v>215.18773141248201</v>
      </c>
    </row>
    <row r="11" spans="1:7" x14ac:dyDescent="0.35">
      <c r="A11" t="s">
        <v>14</v>
      </c>
      <c r="B11">
        <v>509.12549506991297</v>
      </c>
      <c r="C11">
        <v>232.64683960800301</v>
      </c>
      <c r="D11">
        <f t="shared" si="1"/>
        <v>509.04820143031037</v>
      </c>
      <c r="E11">
        <f t="shared" si="2"/>
        <v>232.61137666469168</v>
      </c>
    </row>
    <row r="12" spans="1:7" x14ac:dyDescent="0.35">
      <c r="A12" t="s">
        <v>15</v>
      </c>
      <c r="B12">
        <v>509.04856825301101</v>
      </c>
      <c r="C12">
        <v>232.56899437845999</v>
      </c>
    </row>
    <row r="13" spans="1:7" x14ac:dyDescent="0.35">
      <c r="A13" t="s">
        <v>16</v>
      </c>
      <c r="B13">
        <v>508.97054096800701</v>
      </c>
      <c r="C13">
        <v>232.618296007612</v>
      </c>
    </row>
    <row r="14" spans="1:7" x14ac:dyDescent="0.35">
      <c r="A14" t="s">
        <v>17</v>
      </c>
      <c r="B14">
        <v>510.02462951048801</v>
      </c>
      <c r="C14">
        <v>224.724246531777</v>
      </c>
      <c r="D14">
        <f t="shared" si="1"/>
        <v>510.23303286164673</v>
      </c>
      <c r="E14">
        <f t="shared" si="2"/>
        <v>224.81898779628634</v>
      </c>
    </row>
    <row r="15" spans="1:7" x14ac:dyDescent="0.35">
      <c r="A15" t="s">
        <v>18</v>
      </c>
      <c r="B15">
        <v>510.33628674553501</v>
      </c>
      <c r="C15">
        <v>224.89471754913799</v>
      </c>
    </row>
    <row r="16" spans="1:7" x14ac:dyDescent="0.35">
      <c r="A16" t="s">
        <v>19</v>
      </c>
      <c r="B16">
        <v>510.33818232891701</v>
      </c>
      <c r="C16">
        <v>224.83799930794399</v>
      </c>
    </row>
    <row r="17" spans="1:5" x14ac:dyDescent="0.35">
      <c r="A17" t="s">
        <v>20</v>
      </c>
      <c r="B17">
        <v>510.04774185249101</v>
      </c>
      <c r="C17">
        <v>190.280398516183</v>
      </c>
      <c r="D17">
        <f t="shared" si="1"/>
        <v>510.06389037280536</v>
      </c>
      <c r="E17">
        <f t="shared" si="2"/>
        <v>190.06546354690568</v>
      </c>
    </row>
    <row r="18" spans="1:5" x14ac:dyDescent="0.35">
      <c r="A18" t="s">
        <v>21</v>
      </c>
      <c r="B18">
        <v>509.98890856684801</v>
      </c>
      <c r="C18">
        <v>190.05091772981001</v>
      </c>
    </row>
    <row r="19" spans="1:5" x14ac:dyDescent="0.35">
      <c r="A19" t="s">
        <v>22</v>
      </c>
      <c r="B19">
        <v>510.155020699077</v>
      </c>
      <c r="C19">
        <v>189.86507439472399</v>
      </c>
    </row>
    <row r="20" spans="1:5" x14ac:dyDescent="0.35">
      <c r="A20" t="s">
        <v>23</v>
      </c>
      <c r="B20">
        <v>510.44869569330598</v>
      </c>
      <c r="C20">
        <v>192.87751063012701</v>
      </c>
      <c r="D20">
        <f t="shared" si="1"/>
        <v>510.62474256516202</v>
      </c>
      <c r="E20">
        <f t="shared" si="2"/>
        <v>192.62482420937803</v>
      </c>
    </row>
    <row r="21" spans="1:5" x14ac:dyDescent="0.35">
      <c r="A21" t="s">
        <v>24</v>
      </c>
      <c r="B21">
        <v>510.70508610787601</v>
      </c>
      <c r="C21">
        <v>192.636048861836</v>
      </c>
    </row>
    <row r="22" spans="1:5" x14ac:dyDescent="0.35">
      <c r="A22" t="s">
        <v>25</v>
      </c>
      <c r="B22">
        <v>510.72044589430402</v>
      </c>
      <c r="C22">
        <v>192.36091313617101</v>
      </c>
    </row>
    <row r="23" spans="1:5" x14ac:dyDescent="0.35">
      <c r="A23" t="s">
        <v>26</v>
      </c>
      <c r="B23">
        <v>510.54558906282801</v>
      </c>
      <c r="C23">
        <v>194.872201184012</v>
      </c>
      <c r="D23">
        <f t="shared" si="1"/>
        <v>510.39422234007731</v>
      </c>
      <c r="E23">
        <f t="shared" si="2"/>
        <v>194.86906063592369</v>
      </c>
    </row>
    <row r="24" spans="1:5" x14ac:dyDescent="0.35">
      <c r="A24" t="s">
        <v>27</v>
      </c>
      <c r="B24">
        <v>510.359500875685</v>
      </c>
      <c r="C24">
        <v>194.865274794367</v>
      </c>
    </row>
    <row r="25" spans="1:5" x14ac:dyDescent="0.35">
      <c r="A25" t="s">
        <v>28</v>
      </c>
      <c r="B25">
        <v>510.27757708171902</v>
      </c>
      <c r="C25">
        <v>194.86970592939201</v>
      </c>
    </row>
    <row r="26" spans="1:5" x14ac:dyDescent="0.35">
      <c r="A26" t="s">
        <v>29</v>
      </c>
      <c r="B26">
        <v>510.61617903187698</v>
      </c>
      <c r="C26">
        <v>251.402111970059</v>
      </c>
      <c r="D26">
        <f t="shared" si="1"/>
        <v>510.42284728725798</v>
      </c>
      <c r="E26">
        <f t="shared" si="2"/>
        <v>251.644570421395</v>
      </c>
    </row>
    <row r="27" spans="1:5" x14ac:dyDescent="0.35">
      <c r="A27" t="s">
        <v>30</v>
      </c>
      <c r="B27">
        <v>510.51079766654698</v>
      </c>
      <c r="C27">
        <v>251.63092092444501</v>
      </c>
    </row>
    <row r="28" spans="1:5" x14ac:dyDescent="0.35">
      <c r="A28" t="s">
        <v>31</v>
      </c>
      <c r="B28">
        <v>510.14156516334998</v>
      </c>
      <c r="C28">
        <v>251.900678369681</v>
      </c>
    </row>
    <row r="29" spans="1:5" x14ac:dyDescent="0.35">
      <c r="A29" t="s">
        <v>32</v>
      </c>
      <c r="B29">
        <v>516.34347355320995</v>
      </c>
      <c r="C29">
        <v>223.54595677527001</v>
      </c>
      <c r="D29">
        <f t="shared" si="1"/>
        <v>516.27871846572225</v>
      </c>
      <c r="E29">
        <f t="shared" si="2"/>
        <v>223.26501861244333</v>
      </c>
    </row>
    <row r="30" spans="1:5" x14ac:dyDescent="0.35">
      <c r="A30" t="s">
        <v>33</v>
      </c>
      <c r="B30">
        <v>516.29086925011302</v>
      </c>
      <c r="C30">
        <v>223.20708539460301</v>
      </c>
    </row>
    <row r="31" spans="1:5" x14ac:dyDescent="0.35">
      <c r="A31" t="s">
        <v>34</v>
      </c>
      <c r="B31">
        <v>516.20181259384401</v>
      </c>
      <c r="C31">
        <v>223.04201366745701</v>
      </c>
    </row>
    <row r="32" spans="1:5" x14ac:dyDescent="0.35">
      <c r="A32" t="s">
        <v>35</v>
      </c>
      <c r="B32">
        <v>508.83811462404998</v>
      </c>
      <c r="C32">
        <v>205.93465805743699</v>
      </c>
      <c r="D32">
        <f t="shared" si="1"/>
        <v>509.02899703031562</v>
      </c>
      <c r="E32">
        <f t="shared" si="2"/>
        <v>205.71331459935368</v>
      </c>
    </row>
    <row r="33" spans="1:5" x14ac:dyDescent="0.35">
      <c r="A33" t="s">
        <v>36</v>
      </c>
      <c r="B33">
        <v>509.06263601369898</v>
      </c>
      <c r="C33">
        <v>205.627116364198</v>
      </c>
    </row>
    <row r="34" spans="1:5" x14ac:dyDescent="0.35">
      <c r="A34" t="s">
        <v>37</v>
      </c>
      <c r="B34">
        <v>509.18624045319802</v>
      </c>
      <c r="C34">
        <v>205.57816937642599</v>
      </c>
    </row>
    <row r="35" spans="1:5" x14ac:dyDescent="0.35">
      <c r="A35" t="s">
        <v>38</v>
      </c>
      <c r="B35">
        <v>507.66951036012898</v>
      </c>
      <c r="C35">
        <v>201.92054425886499</v>
      </c>
      <c r="D35">
        <f>AVERAGE(B35:B37)</f>
        <v>507.8607697736017</v>
      </c>
      <c r="E35">
        <f>AVERAGE(C35:C37)</f>
        <v>201.85707579957236</v>
      </c>
    </row>
    <row r="36" spans="1:5" x14ac:dyDescent="0.35">
      <c r="A36" t="s">
        <v>39</v>
      </c>
      <c r="B36">
        <v>507.957778125282</v>
      </c>
      <c r="C36">
        <v>201.95528762983199</v>
      </c>
    </row>
    <row r="37" spans="1:5" x14ac:dyDescent="0.35">
      <c r="A37" t="s">
        <v>40</v>
      </c>
      <c r="B37">
        <v>507.95502083539401</v>
      </c>
      <c r="C37">
        <v>201.69539551002001</v>
      </c>
    </row>
    <row r="38" spans="1:5" x14ac:dyDescent="0.35">
      <c r="A38" t="s">
        <v>41</v>
      </c>
      <c r="B38">
        <v>509.06812771323598</v>
      </c>
      <c r="C38">
        <v>214.01768787829101</v>
      </c>
      <c r="D38">
        <f t="shared" si="1"/>
        <v>509.06458996889404</v>
      </c>
      <c r="E38">
        <f t="shared" si="2"/>
        <v>213.86574661263433</v>
      </c>
    </row>
    <row r="39" spans="1:5" x14ac:dyDescent="0.35">
      <c r="A39" t="s">
        <v>42</v>
      </c>
      <c r="B39">
        <v>509.07222533157102</v>
      </c>
      <c r="C39">
        <v>213.886858541165</v>
      </c>
    </row>
    <row r="40" spans="1:5" x14ac:dyDescent="0.35">
      <c r="A40" t="s">
        <v>43</v>
      </c>
      <c r="B40">
        <v>509.05341686187501</v>
      </c>
      <c r="C40">
        <v>213.69269341844699</v>
      </c>
    </row>
    <row r="41" spans="1:5" x14ac:dyDescent="0.35">
      <c r="A41" t="s">
        <v>44</v>
      </c>
      <c r="B41">
        <v>514.50931279699603</v>
      </c>
      <c r="C41">
        <v>177.875763050713</v>
      </c>
      <c r="D41">
        <f t="shared" si="1"/>
        <v>514.36159142368149</v>
      </c>
      <c r="E41">
        <f t="shared" si="2"/>
        <v>177.70410831420767</v>
      </c>
    </row>
    <row r="42" spans="1:5" x14ac:dyDescent="0.35">
      <c r="A42" t="s">
        <v>45</v>
      </c>
      <c r="B42">
        <v>514.24417546548204</v>
      </c>
      <c r="C42">
        <v>177.73377740513001</v>
      </c>
    </row>
    <row r="43" spans="1:5" x14ac:dyDescent="0.35">
      <c r="A43" t="s">
        <v>46</v>
      </c>
      <c r="B43">
        <v>514.33128600856605</v>
      </c>
      <c r="C43">
        <v>177.50278448678</v>
      </c>
    </row>
    <row r="44" spans="1:5" x14ac:dyDescent="0.35">
      <c r="A44" t="s">
        <v>47</v>
      </c>
      <c r="B44">
        <v>513.13890294606995</v>
      </c>
      <c r="C44">
        <v>171.909827276691</v>
      </c>
      <c r="D44">
        <f t="shared" si="1"/>
        <v>513.12648606437403</v>
      </c>
      <c r="E44">
        <f t="shared" si="2"/>
        <v>171.81349501675166</v>
      </c>
    </row>
    <row r="45" spans="1:5" x14ac:dyDescent="0.35">
      <c r="A45" t="s">
        <v>48</v>
      </c>
      <c r="B45">
        <v>513.04007650734297</v>
      </c>
      <c r="C45">
        <v>171.806189112585</v>
      </c>
    </row>
    <row r="46" spans="1:5" x14ac:dyDescent="0.35">
      <c r="A46" t="s">
        <v>49</v>
      </c>
      <c r="B46">
        <v>513.20047873970896</v>
      </c>
      <c r="C46">
        <v>171.724468660979</v>
      </c>
    </row>
    <row r="47" spans="1:5" x14ac:dyDescent="0.35">
      <c r="A47" t="s">
        <v>50</v>
      </c>
      <c r="B47">
        <v>510.52207487372198</v>
      </c>
      <c r="C47">
        <v>118.503175159756</v>
      </c>
      <c r="D47">
        <f t="shared" si="1"/>
        <v>510.76935620825134</v>
      </c>
      <c r="E47">
        <f t="shared" si="2"/>
        <v>118.09662742448933</v>
      </c>
    </row>
    <row r="48" spans="1:5" x14ac:dyDescent="0.35">
      <c r="A48" t="s">
        <v>51</v>
      </c>
      <c r="B48">
        <v>510.751637937537</v>
      </c>
      <c r="C48">
        <v>118.16382114764799</v>
      </c>
    </row>
    <row r="49" spans="1:5" x14ac:dyDescent="0.35">
      <c r="A49" t="s">
        <v>52</v>
      </c>
      <c r="B49">
        <v>511.03435581349498</v>
      </c>
      <c r="C49">
        <v>117.622885966064</v>
      </c>
    </row>
    <row r="50" spans="1:5" x14ac:dyDescent="0.35">
      <c r="A50" t="s">
        <v>53</v>
      </c>
      <c r="B50">
        <v>503.605941000462</v>
      </c>
      <c r="C50">
        <v>229.78587827018899</v>
      </c>
      <c r="D50">
        <f t="shared" si="1"/>
        <v>503.47337179312734</v>
      </c>
      <c r="E50">
        <f t="shared" si="2"/>
        <v>229.82614313761533</v>
      </c>
    </row>
    <row r="51" spans="1:5" x14ac:dyDescent="0.35">
      <c r="A51" t="s">
        <v>54</v>
      </c>
      <c r="B51">
        <v>503.76662966078902</v>
      </c>
      <c r="C51">
        <v>229.90487543116501</v>
      </c>
    </row>
    <row r="52" spans="1:5" x14ac:dyDescent="0.35">
      <c r="A52" t="s">
        <v>55</v>
      </c>
      <c r="B52">
        <v>503.04754471813101</v>
      </c>
      <c r="C52">
        <v>229.787675711492</v>
      </c>
    </row>
    <row r="53" spans="1:5" x14ac:dyDescent="0.35">
      <c r="A53" t="s">
        <v>56</v>
      </c>
      <c r="B53">
        <v>498.93669139651399</v>
      </c>
      <c r="C53">
        <v>140.59223771852601</v>
      </c>
      <c r="D53">
        <f t="shared" si="1"/>
        <v>498.81775004673165</v>
      </c>
      <c r="E53">
        <f t="shared" si="2"/>
        <v>140.42518046538433</v>
      </c>
    </row>
    <row r="54" spans="1:5" x14ac:dyDescent="0.35">
      <c r="A54" t="s">
        <v>57</v>
      </c>
      <c r="B54">
        <v>498.59895451355197</v>
      </c>
      <c r="C54">
        <v>140.36920547147699</v>
      </c>
    </row>
    <row r="55" spans="1:5" x14ac:dyDescent="0.35">
      <c r="A55" t="s">
        <v>58</v>
      </c>
      <c r="B55">
        <v>498.91760423012897</v>
      </c>
      <c r="C55">
        <v>140.31409820614999</v>
      </c>
    </row>
    <row r="56" spans="1:5" x14ac:dyDescent="0.35">
      <c r="A56" t="s">
        <v>59</v>
      </c>
      <c r="B56">
        <v>503.12008351808203</v>
      </c>
      <c r="C56">
        <v>189.151584451145</v>
      </c>
      <c r="D56">
        <f t="shared" si="1"/>
        <v>503.1574593550817</v>
      </c>
      <c r="E56">
        <f t="shared" si="2"/>
        <v>188.94879013478831</v>
      </c>
    </row>
    <row r="57" spans="1:5" x14ac:dyDescent="0.35">
      <c r="A57" t="s">
        <v>60</v>
      </c>
      <c r="B57">
        <v>503.10791548233601</v>
      </c>
      <c r="C57">
        <v>188.943485027235</v>
      </c>
    </row>
    <row r="58" spans="1:5" x14ac:dyDescent="0.35">
      <c r="A58" t="s">
        <v>61</v>
      </c>
      <c r="B58">
        <v>503.244379064827</v>
      </c>
      <c r="C58">
        <v>188.75130092598499</v>
      </c>
    </row>
    <row r="59" spans="1:5" x14ac:dyDescent="0.35">
      <c r="A59" t="s">
        <v>62</v>
      </c>
      <c r="B59">
        <v>509.10351019418198</v>
      </c>
      <c r="C59">
        <v>209.53099418035899</v>
      </c>
      <c r="D59">
        <f t="shared" si="1"/>
        <v>508.99885224242831</v>
      </c>
      <c r="E59">
        <f t="shared" si="2"/>
        <v>209.49557416194799</v>
      </c>
    </row>
    <row r="60" spans="1:5" x14ac:dyDescent="0.35">
      <c r="A60" t="s">
        <v>63</v>
      </c>
      <c r="B60">
        <v>509.090189778107</v>
      </c>
      <c r="C60">
        <v>209.48185236473699</v>
      </c>
    </row>
    <row r="61" spans="1:5" x14ac:dyDescent="0.35">
      <c r="A61" t="s">
        <v>64</v>
      </c>
      <c r="B61">
        <v>508.80285675499601</v>
      </c>
      <c r="C61">
        <v>209.473875940748</v>
      </c>
    </row>
    <row r="62" spans="1:5" x14ac:dyDescent="0.35">
      <c r="A62" t="s">
        <v>65</v>
      </c>
      <c r="B62">
        <v>508.36252479807899</v>
      </c>
      <c r="C62">
        <v>231.16863469177</v>
      </c>
      <c r="D62">
        <f t="shared" si="1"/>
        <v>508.33533942637899</v>
      </c>
      <c r="E62">
        <f t="shared" si="2"/>
        <v>231.182560613704</v>
      </c>
    </row>
    <row r="63" spans="1:5" x14ac:dyDescent="0.35">
      <c r="A63" t="s">
        <v>66</v>
      </c>
      <c r="B63">
        <v>508.42814798780898</v>
      </c>
      <c r="C63">
        <v>231.29849934884601</v>
      </c>
    </row>
    <row r="64" spans="1:5" x14ac:dyDescent="0.35">
      <c r="A64" t="s">
        <v>67</v>
      </c>
      <c r="B64">
        <v>508.215345493249</v>
      </c>
      <c r="C64">
        <v>231.08054780049599</v>
      </c>
    </row>
    <row r="65" spans="1:5" x14ac:dyDescent="0.35">
      <c r="A65" t="s">
        <v>68</v>
      </c>
      <c r="B65">
        <v>506.25139696475497</v>
      </c>
      <c r="C65">
        <v>164.97997258969201</v>
      </c>
      <c r="D65">
        <f t="shared" si="1"/>
        <v>506.41414628472398</v>
      </c>
      <c r="E65">
        <f t="shared" si="2"/>
        <v>164.746136583479</v>
      </c>
    </row>
    <row r="66" spans="1:5" x14ac:dyDescent="0.35">
      <c r="A66" t="s">
        <v>69</v>
      </c>
      <c r="B66">
        <v>506.61418785346098</v>
      </c>
      <c r="C66">
        <v>164.769674522234</v>
      </c>
    </row>
    <row r="67" spans="1:5" x14ac:dyDescent="0.35">
      <c r="A67" t="s">
        <v>70</v>
      </c>
      <c r="B67">
        <v>506.376854035956</v>
      </c>
      <c r="C67">
        <v>164.48876263851099</v>
      </c>
    </row>
    <row r="68" spans="1:5" x14ac:dyDescent="0.35">
      <c r="A68" t="s">
        <v>71</v>
      </c>
      <c r="B68">
        <v>508.29935997037001</v>
      </c>
      <c r="C68">
        <v>176.58184807055599</v>
      </c>
      <c r="D68">
        <f t="shared" si="1"/>
        <v>508.51606965235305</v>
      </c>
      <c r="E68">
        <f t="shared" si="2"/>
        <v>176.77011326093168</v>
      </c>
    </row>
    <row r="69" spans="1:5" x14ac:dyDescent="0.35">
      <c r="A69" t="s">
        <v>72</v>
      </c>
      <c r="B69">
        <v>508.48197792070499</v>
      </c>
      <c r="C69">
        <v>176.800808795374</v>
      </c>
    </row>
    <row r="70" spans="1:5" x14ac:dyDescent="0.35">
      <c r="A70" t="s">
        <v>73</v>
      </c>
      <c r="B70">
        <v>508.76687106598399</v>
      </c>
      <c r="C70">
        <v>176.927682916865</v>
      </c>
    </row>
    <row r="71" spans="1:5" x14ac:dyDescent="0.35">
      <c r="A71" t="s">
        <v>74</v>
      </c>
      <c r="B71">
        <v>512.32270227162701</v>
      </c>
      <c r="C71">
        <v>185.04587604278399</v>
      </c>
      <c r="D71">
        <f t="shared" si="1"/>
        <v>512.49046078228298</v>
      </c>
      <c r="E71">
        <f t="shared" si="2"/>
        <v>185.23549334885567</v>
      </c>
    </row>
    <row r="72" spans="1:5" x14ac:dyDescent="0.35">
      <c r="A72" t="s">
        <v>75</v>
      </c>
      <c r="B72">
        <v>512.60365730890896</v>
      </c>
      <c r="C72">
        <v>185.29810044694301</v>
      </c>
    </row>
    <row r="73" spans="1:5" x14ac:dyDescent="0.35">
      <c r="A73" t="s">
        <v>76</v>
      </c>
      <c r="B73">
        <v>512.54502276631297</v>
      </c>
      <c r="C73">
        <v>185.36250355684001</v>
      </c>
    </row>
    <row r="74" spans="1:5" x14ac:dyDescent="0.35">
      <c r="A74" t="s">
        <v>77</v>
      </c>
      <c r="B74">
        <v>505.834772590684</v>
      </c>
      <c r="C74">
        <v>259.52231520257698</v>
      </c>
      <c r="D74">
        <f t="shared" ref="D72:D135" si="3">AVERAGE(B74:B76)</f>
        <v>505.75280577399764</v>
      </c>
      <c r="E74">
        <f t="shared" ref="E72:E135" si="4">AVERAGE(C74:C76)</f>
        <v>259.4735188706743</v>
      </c>
    </row>
    <row r="75" spans="1:5" x14ac:dyDescent="0.35">
      <c r="A75" t="s">
        <v>78</v>
      </c>
      <c r="B75">
        <v>505.599889119674</v>
      </c>
      <c r="C75">
        <v>259.33720111072898</v>
      </c>
    </row>
    <row r="76" spans="1:5" x14ac:dyDescent="0.35">
      <c r="A76" t="s">
        <v>79</v>
      </c>
      <c r="B76">
        <v>505.82375561163502</v>
      </c>
      <c r="C76">
        <v>259.56104029871699</v>
      </c>
    </row>
    <row r="77" spans="1:5" x14ac:dyDescent="0.35">
      <c r="A77" t="s">
        <v>80</v>
      </c>
      <c r="B77">
        <v>504.900150125067</v>
      </c>
      <c r="C77">
        <v>213.052909656396</v>
      </c>
      <c r="D77">
        <f t="shared" si="3"/>
        <v>504.84693241982495</v>
      </c>
      <c r="E77">
        <f t="shared" si="4"/>
        <v>212.84889315288333</v>
      </c>
    </row>
    <row r="78" spans="1:5" x14ac:dyDescent="0.35">
      <c r="A78" t="s">
        <v>81</v>
      </c>
      <c r="B78">
        <v>504.73396841175497</v>
      </c>
      <c r="C78">
        <v>212.725235924163</v>
      </c>
    </row>
    <row r="79" spans="1:5" x14ac:dyDescent="0.35">
      <c r="A79" t="s">
        <v>82</v>
      </c>
      <c r="B79">
        <v>504.906678722653</v>
      </c>
      <c r="C79">
        <v>212.76853387809101</v>
      </c>
    </row>
    <row r="80" spans="1:5" x14ac:dyDescent="0.35">
      <c r="A80" t="s">
        <v>83</v>
      </c>
      <c r="B80">
        <v>505.05294290158901</v>
      </c>
      <c r="C80">
        <v>180.96007210392801</v>
      </c>
      <c r="D80">
        <f t="shared" si="3"/>
        <v>505.14101059345631</v>
      </c>
      <c r="E80">
        <f t="shared" si="4"/>
        <v>181.14646144652434</v>
      </c>
    </row>
    <row r="81" spans="1:5" x14ac:dyDescent="0.35">
      <c r="A81" t="s">
        <v>84</v>
      </c>
      <c r="B81">
        <v>505.29421720736099</v>
      </c>
      <c r="C81">
        <v>181.648362910331</v>
      </c>
    </row>
    <row r="82" spans="1:5" x14ac:dyDescent="0.35">
      <c r="A82" t="s">
        <v>85</v>
      </c>
      <c r="B82">
        <v>505.07587167141901</v>
      </c>
      <c r="C82">
        <v>180.83094932531401</v>
      </c>
    </row>
    <row r="83" spans="1:5" x14ac:dyDescent="0.35">
      <c r="A83" t="s">
        <v>86</v>
      </c>
      <c r="B83">
        <v>506.64618987729398</v>
      </c>
      <c r="C83">
        <v>133.08184615639701</v>
      </c>
      <c r="D83">
        <f t="shared" si="3"/>
        <v>506.58725835290937</v>
      </c>
      <c r="E83">
        <f t="shared" si="4"/>
        <v>132.97928600135134</v>
      </c>
    </row>
    <row r="84" spans="1:5" x14ac:dyDescent="0.35">
      <c r="A84" t="s">
        <v>87</v>
      </c>
      <c r="B84">
        <v>506.478366057914</v>
      </c>
      <c r="C84">
        <v>132.93495823089901</v>
      </c>
    </row>
    <row r="85" spans="1:5" x14ac:dyDescent="0.35">
      <c r="A85" t="s">
        <v>88</v>
      </c>
      <c r="B85">
        <v>506.63721912352003</v>
      </c>
      <c r="C85">
        <v>132.921053616758</v>
      </c>
    </row>
    <row r="86" spans="1:5" x14ac:dyDescent="0.35">
      <c r="A86" t="s">
        <v>89</v>
      </c>
      <c r="B86">
        <v>507.40101683341697</v>
      </c>
      <c r="C86">
        <v>228.731750824529</v>
      </c>
      <c r="D86">
        <f t="shared" si="3"/>
        <v>507.22469253572626</v>
      </c>
      <c r="E86">
        <f t="shared" si="4"/>
        <v>228.97342023922133</v>
      </c>
    </row>
    <row r="87" spans="1:5" x14ac:dyDescent="0.35">
      <c r="A87" t="s">
        <v>90</v>
      </c>
      <c r="B87">
        <v>507.20972927973997</v>
      </c>
      <c r="C87">
        <v>229.03411220087199</v>
      </c>
    </row>
    <row r="88" spans="1:5" x14ac:dyDescent="0.35">
      <c r="A88" t="s">
        <v>91</v>
      </c>
      <c r="B88">
        <v>507.06333149402201</v>
      </c>
      <c r="C88">
        <v>229.15439769226299</v>
      </c>
    </row>
    <row r="89" spans="1:5" x14ac:dyDescent="0.35">
      <c r="A89" t="s">
        <v>92</v>
      </c>
      <c r="B89">
        <v>507.42443078223101</v>
      </c>
      <c r="C89">
        <v>184.617021527818</v>
      </c>
      <c r="D89">
        <f t="shared" si="3"/>
        <v>507.81062890760364</v>
      </c>
      <c r="E89">
        <f t="shared" si="4"/>
        <v>184.36637693382798</v>
      </c>
    </row>
    <row r="90" spans="1:5" x14ac:dyDescent="0.35">
      <c r="A90" t="s">
        <v>93</v>
      </c>
      <c r="B90">
        <v>507.85268527508202</v>
      </c>
      <c r="C90">
        <v>184.21228558514099</v>
      </c>
    </row>
    <row r="91" spans="1:5" x14ac:dyDescent="0.35">
      <c r="A91" t="s">
        <v>94</v>
      </c>
      <c r="B91">
        <v>508.15477066549801</v>
      </c>
      <c r="C91">
        <v>184.26982368852501</v>
      </c>
    </row>
    <row r="92" spans="1:5" x14ac:dyDescent="0.35">
      <c r="A92" t="s">
        <v>95</v>
      </c>
      <c r="B92">
        <v>507.28990951180498</v>
      </c>
      <c r="C92">
        <v>155.91621712991201</v>
      </c>
      <c r="D92">
        <f t="shared" si="3"/>
        <v>507.40925136441268</v>
      </c>
      <c r="E92">
        <f t="shared" si="4"/>
        <v>155.61285897252603</v>
      </c>
    </row>
    <row r="93" spans="1:5" x14ac:dyDescent="0.35">
      <c r="A93" t="s">
        <v>96</v>
      </c>
      <c r="B93">
        <v>507.46885212296797</v>
      </c>
      <c r="C93">
        <v>155.663294005431</v>
      </c>
    </row>
    <row r="94" spans="1:5" x14ac:dyDescent="0.35">
      <c r="A94" t="s">
        <v>97</v>
      </c>
      <c r="B94">
        <v>507.46899245846498</v>
      </c>
      <c r="C94">
        <v>155.25906578223501</v>
      </c>
    </row>
    <row r="95" spans="1:5" x14ac:dyDescent="0.35">
      <c r="A95" t="s">
        <v>98</v>
      </c>
      <c r="B95">
        <v>510.360535798282</v>
      </c>
      <c r="C95">
        <v>140.71829881111401</v>
      </c>
      <c r="D95">
        <f t="shared" si="3"/>
        <v>510.05185178051966</v>
      </c>
      <c r="E95">
        <f t="shared" si="4"/>
        <v>140.25772660487965</v>
      </c>
    </row>
    <row r="96" spans="1:5" x14ac:dyDescent="0.35">
      <c r="A96" t="s">
        <v>99</v>
      </c>
      <c r="B96">
        <v>509.79649701465797</v>
      </c>
      <c r="C96">
        <v>140.159834637838</v>
      </c>
    </row>
    <row r="97" spans="1:5" x14ac:dyDescent="0.35">
      <c r="A97" t="s">
        <v>100</v>
      </c>
      <c r="B97">
        <v>509.99852252861899</v>
      </c>
      <c r="C97">
        <v>139.89504636568699</v>
      </c>
    </row>
    <row r="98" spans="1:5" x14ac:dyDescent="0.35">
      <c r="A98" t="s">
        <v>101</v>
      </c>
      <c r="B98">
        <v>509.603480223053</v>
      </c>
      <c r="C98">
        <v>172.89542796111601</v>
      </c>
      <c r="D98">
        <f t="shared" si="3"/>
        <v>509.61909892643899</v>
      </c>
      <c r="E98">
        <f t="shared" si="4"/>
        <v>173.01209329358267</v>
      </c>
    </row>
    <row r="99" spans="1:5" x14ac:dyDescent="0.35">
      <c r="A99" t="s">
        <v>102</v>
      </c>
      <c r="B99">
        <v>509.968159195525</v>
      </c>
      <c r="C99">
        <v>173.11128553932201</v>
      </c>
    </row>
    <row r="100" spans="1:5" x14ac:dyDescent="0.35">
      <c r="A100" t="s">
        <v>103</v>
      </c>
      <c r="B100">
        <v>509.28565736073898</v>
      </c>
      <c r="C100">
        <v>173.02956638031</v>
      </c>
    </row>
    <row r="101" spans="1:5" x14ac:dyDescent="0.35">
      <c r="A101" t="s">
        <v>104</v>
      </c>
      <c r="B101">
        <v>505.30768050491298</v>
      </c>
      <c r="C101">
        <v>105.135698034616</v>
      </c>
      <c r="D101">
        <f t="shared" si="3"/>
        <v>505.34705376672468</v>
      </c>
      <c r="E101">
        <f t="shared" si="4"/>
        <v>105.08745066643034</v>
      </c>
    </row>
    <row r="102" spans="1:5" x14ac:dyDescent="0.35">
      <c r="A102" t="s">
        <v>105</v>
      </c>
      <c r="B102">
        <v>505.32765262646802</v>
      </c>
      <c r="C102">
        <v>105.051764969931</v>
      </c>
    </row>
    <row r="103" spans="1:5" x14ac:dyDescent="0.35">
      <c r="A103" t="s">
        <v>106</v>
      </c>
      <c r="B103">
        <v>505.40582816879299</v>
      </c>
      <c r="C103">
        <v>105.074888994744</v>
      </c>
    </row>
    <row r="104" spans="1:5" x14ac:dyDescent="0.35">
      <c r="A104" t="s">
        <v>107</v>
      </c>
      <c r="B104">
        <v>521.50826868219804</v>
      </c>
      <c r="C104">
        <v>137.84998955007501</v>
      </c>
      <c r="D104">
        <f t="shared" si="3"/>
        <v>521.678388777961</v>
      </c>
      <c r="E104">
        <f t="shared" si="4"/>
        <v>138.01961326652167</v>
      </c>
    </row>
    <row r="105" spans="1:5" x14ac:dyDescent="0.35">
      <c r="A105" t="s">
        <v>108</v>
      </c>
      <c r="B105">
        <v>521.99572355908799</v>
      </c>
      <c r="C105">
        <v>138.06889943758199</v>
      </c>
    </row>
    <row r="106" spans="1:5" x14ac:dyDescent="0.35">
      <c r="A106" t="s">
        <v>109</v>
      </c>
      <c r="B106">
        <v>521.53117409259698</v>
      </c>
      <c r="C106">
        <v>138.13995081190799</v>
      </c>
    </row>
    <row r="107" spans="1:5" x14ac:dyDescent="0.35">
      <c r="A107" t="s">
        <v>110</v>
      </c>
      <c r="B107">
        <v>504.106513798788</v>
      </c>
      <c r="C107">
        <v>183.19146735151401</v>
      </c>
      <c r="D107">
        <f t="shared" si="3"/>
        <v>504.26640430841263</v>
      </c>
      <c r="E107">
        <f t="shared" si="4"/>
        <v>183.34018693777202</v>
      </c>
    </row>
    <row r="108" spans="1:5" x14ac:dyDescent="0.35">
      <c r="A108" t="s">
        <v>111</v>
      </c>
      <c r="B108">
        <v>504.20193985476698</v>
      </c>
      <c r="C108">
        <v>183.299019003317</v>
      </c>
    </row>
    <row r="109" spans="1:5" x14ac:dyDescent="0.35">
      <c r="A109" t="s">
        <v>112</v>
      </c>
      <c r="B109">
        <v>504.49075927168298</v>
      </c>
      <c r="C109">
        <v>183.53007445848499</v>
      </c>
    </row>
    <row r="110" spans="1:5" x14ac:dyDescent="0.35">
      <c r="A110" t="s">
        <v>113</v>
      </c>
      <c r="B110">
        <v>504.14502400284601</v>
      </c>
      <c r="C110">
        <v>211.544362559978</v>
      </c>
      <c r="D110">
        <f t="shared" si="3"/>
        <v>504.21574916206868</v>
      </c>
      <c r="E110">
        <f t="shared" si="4"/>
        <v>211.36168609498466</v>
      </c>
    </row>
    <row r="111" spans="1:5" x14ac:dyDescent="0.35">
      <c r="A111" t="s">
        <v>114</v>
      </c>
      <c r="B111">
        <v>504.17733071682301</v>
      </c>
      <c r="C111">
        <v>211.284131200335</v>
      </c>
    </row>
    <row r="112" spans="1:5" x14ac:dyDescent="0.35">
      <c r="A112" t="s">
        <v>115</v>
      </c>
      <c r="B112">
        <v>504.324892766537</v>
      </c>
      <c r="C112">
        <v>211.25656452464099</v>
      </c>
    </row>
    <row r="113" spans="1:5" x14ac:dyDescent="0.35">
      <c r="A113" t="s">
        <v>116</v>
      </c>
      <c r="B113">
        <v>502.81512579004499</v>
      </c>
      <c r="C113">
        <v>130.52264277448401</v>
      </c>
      <c r="D113">
        <f t="shared" si="3"/>
        <v>502.56700794642057</v>
      </c>
      <c r="E113">
        <f t="shared" si="4"/>
        <v>130.20504258676033</v>
      </c>
    </row>
    <row r="114" spans="1:5" x14ac:dyDescent="0.35">
      <c r="A114" t="s">
        <v>117</v>
      </c>
      <c r="B114">
        <v>502.66111267586598</v>
      </c>
      <c r="C114">
        <v>130.22822648518999</v>
      </c>
    </row>
    <row r="115" spans="1:5" x14ac:dyDescent="0.35">
      <c r="A115" t="s">
        <v>118</v>
      </c>
      <c r="B115">
        <v>502.22478537335098</v>
      </c>
      <c r="C115">
        <v>129.86425850060701</v>
      </c>
    </row>
    <row r="116" spans="1:5" x14ac:dyDescent="0.35">
      <c r="A116" t="s">
        <v>119</v>
      </c>
      <c r="B116">
        <v>507.02289527442099</v>
      </c>
      <c r="C116">
        <v>131.74595765524799</v>
      </c>
      <c r="D116">
        <f t="shared" si="3"/>
        <v>507.17231765197499</v>
      </c>
      <c r="E116">
        <f t="shared" si="4"/>
        <v>131.77364094146097</v>
      </c>
    </row>
    <row r="117" spans="1:5" x14ac:dyDescent="0.35">
      <c r="A117" t="s">
        <v>120</v>
      </c>
      <c r="B117">
        <v>507.21472117642099</v>
      </c>
      <c r="C117">
        <v>131.78068853179499</v>
      </c>
    </row>
    <row r="118" spans="1:5" x14ac:dyDescent="0.35">
      <c r="A118" t="s">
        <v>121</v>
      </c>
      <c r="B118">
        <v>507.27933650508299</v>
      </c>
      <c r="C118">
        <v>131.79427663734</v>
      </c>
    </row>
    <row r="119" spans="1:5" x14ac:dyDescent="0.35">
      <c r="A119" t="s">
        <v>122</v>
      </c>
      <c r="B119">
        <v>504.855475576348</v>
      </c>
      <c r="C119">
        <v>185.62162653645899</v>
      </c>
      <c r="D119">
        <f t="shared" si="3"/>
        <v>505.08302219601933</v>
      </c>
      <c r="E119">
        <f t="shared" si="4"/>
        <v>185.30811762106032</v>
      </c>
    </row>
    <row r="120" spans="1:5" x14ac:dyDescent="0.35">
      <c r="A120" t="s">
        <v>123</v>
      </c>
      <c r="B120">
        <v>505.314435600867</v>
      </c>
      <c r="C120">
        <v>185.32640044039101</v>
      </c>
    </row>
    <row r="121" spans="1:5" x14ac:dyDescent="0.35">
      <c r="A121" t="s">
        <v>124</v>
      </c>
      <c r="B121">
        <v>505.07915541084299</v>
      </c>
      <c r="C121">
        <v>184.97632588633101</v>
      </c>
    </row>
    <row r="122" spans="1:5" x14ac:dyDescent="0.35">
      <c r="A122" t="s">
        <v>125</v>
      </c>
      <c r="B122">
        <v>505.92683473853498</v>
      </c>
      <c r="C122">
        <v>240.101812526695</v>
      </c>
      <c r="D122">
        <f t="shared" si="3"/>
        <v>505.81302375658362</v>
      </c>
      <c r="E122">
        <f t="shared" si="4"/>
        <v>240.16207132005798</v>
      </c>
    </row>
    <row r="123" spans="1:5" x14ac:dyDescent="0.35">
      <c r="A123" t="s">
        <v>126</v>
      </c>
      <c r="B123">
        <v>505.76468927955</v>
      </c>
      <c r="C123">
        <v>240.14313121573699</v>
      </c>
    </row>
    <row r="124" spans="1:5" x14ac:dyDescent="0.35">
      <c r="A124" t="s">
        <v>127</v>
      </c>
      <c r="B124">
        <v>505.74754725166599</v>
      </c>
      <c r="C124">
        <v>240.241270217742</v>
      </c>
    </row>
    <row r="125" spans="1:5" x14ac:dyDescent="0.35">
      <c r="A125" t="s">
        <v>128</v>
      </c>
      <c r="B125">
        <v>509.20170356609299</v>
      </c>
      <c r="C125">
        <v>191.80980584129199</v>
      </c>
      <c r="D125">
        <f t="shared" si="3"/>
        <v>509.23220786302431</v>
      </c>
      <c r="E125">
        <f t="shared" si="4"/>
        <v>191.57435117006264</v>
      </c>
    </row>
    <row r="126" spans="1:5" x14ac:dyDescent="0.35">
      <c r="A126" t="s">
        <v>129</v>
      </c>
      <c r="B126">
        <v>509.14756941688</v>
      </c>
      <c r="C126">
        <v>191.537274744375</v>
      </c>
    </row>
    <row r="127" spans="1:5" x14ac:dyDescent="0.35">
      <c r="A127" t="s">
        <v>130</v>
      </c>
      <c r="B127">
        <v>509.34735060610001</v>
      </c>
      <c r="C127">
        <v>191.37597292452099</v>
      </c>
    </row>
    <row r="128" spans="1:5" x14ac:dyDescent="0.35">
      <c r="A128" t="s">
        <v>131</v>
      </c>
      <c r="B128">
        <v>510.55231821172998</v>
      </c>
      <c r="C128">
        <v>184.50419295460301</v>
      </c>
      <c r="D128">
        <f t="shared" si="3"/>
        <v>510.662582114722</v>
      </c>
      <c r="E128">
        <f t="shared" si="4"/>
        <v>184.424386790071</v>
      </c>
    </row>
    <row r="129" spans="1:5" x14ac:dyDescent="0.35">
      <c r="A129" t="s">
        <v>132</v>
      </c>
      <c r="B129">
        <v>510.74358284704903</v>
      </c>
      <c r="C129">
        <v>184.494020214165</v>
      </c>
    </row>
    <row r="130" spans="1:5" x14ac:dyDescent="0.35">
      <c r="A130" t="s">
        <v>133</v>
      </c>
      <c r="B130">
        <v>510.69184528538699</v>
      </c>
      <c r="C130">
        <v>184.274947201445</v>
      </c>
    </row>
    <row r="131" spans="1:5" x14ac:dyDescent="0.35">
      <c r="A131" t="s">
        <v>134</v>
      </c>
      <c r="B131">
        <v>509.84019801563198</v>
      </c>
      <c r="C131">
        <v>134.56788838156299</v>
      </c>
      <c r="D131">
        <f t="shared" si="3"/>
        <v>509.78945340113796</v>
      </c>
      <c r="E131">
        <f t="shared" si="4"/>
        <v>134.31472445165565</v>
      </c>
    </row>
    <row r="132" spans="1:5" x14ac:dyDescent="0.35">
      <c r="A132" t="s">
        <v>135</v>
      </c>
      <c r="B132">
        <v>509.86755287824798</v>
      </c>
      <c r="C132">
        <v>134.33546108401299</v>
      </c>
    </row>
    <row r="133" spans="1:5" x14ac:dyDescent="0.35">
      <c r="A133" t="s">
        <v>136</v>
      </c>
      <c r="B133">
        <v>509.66060930953398</v>
      </c>
      <c r="C133">
        <v>134.04082388939099</v>
      </c>
    </row>
    <row r="134" spans="1:5" x14ac:dyDescent="0.35">
      <c r="A134" t="s">
        <v>137</v>
      </c>
      <c r="B134">
        <v>513.58423642030596</v>
      </c>
      <c r="C134">
        <v>203.476688003775</v>
      </c>
      <c r="D134">
        <f t="shared" si="3"/>
        <v>513.65756662893125</v>
      </c>
      <c r="E134">
        <f t="shared" si="4"/>
        <v>203.62964643485932</v>
      </c>
    </row>
    <row r="135" spans="1:5" x14ac:dyDescent="0.35">
      <c r="A135" t="s">
        <v>138</v>
      </c>
      <c r="B135">
        <v>513.70046967547296</v>
      </c>
      <c r="C135">
        <v>203.631782131519</v>
      </c>
    </row>
    <row r="136" spans="1:5" x14ac:dyDescent="0.35">
      <c r="A136" t="s">
        <v>139</v>
      </c>
      <c r="B136">
        <v>513.68799379101495</v>
      </c>
      <c r="C136">
        <v>203.780469169284</v>
      </c>
    </row>
    <row r="137" spans="1:5" x14ac:dyDescent="0.35">
      <c r="A137" t="s">
        <v>140</v>
      </c>
      <c r="B137">
        <v>512.50580304210803</v>
      </c>
      <c r="C137">
        <v>177.73510531061601</v>
      </c>
      <c r="D137">
        <f t="shared" ref="D136:D145" si="5">AVERAGE(B137:B139)</f>
        <v>512.58330883878762</v>
      </c>
      <c r="E137">
        <f t="shared" ref="E136:E145" si="6">AVERAGE(C137:C139)</f>
        <v>177.53455504006197</v>
      </c>
    </row>
    <row r="138" spans="1:5" x14ac:dyDescent="0.35">
      <c r="A138" t="s">
        <v>141</v>
      </c>
      <c r="B138">
        <v>512.497926482053</v>
      </c>
      <c r="C138">
        <v>177.47215344846001</v>
      </c>
    </row>
    <row r="139" spans="1:5" x14ac:dyDescent="0.35">
      <c r="A139" t="s">
        <v>142</v>
      </c>
      <c r="B139">
        <v>512.74619699220204</v>
      </c>
      <c r="C139">
        <v>177.39640636111</v>
      </c>
    </row>
    <row r="140" spans="1:5" x14ac:dyDescent="0.35">
      <c r="A140" t="s">
        <v>143</v>
      </c>
      <c r="B140">
        <v>513.78393135848501</v>
      </c>
      <c r="C140">
        <v>181.90134902645099</v>
      </c>
      <c r="D140">
        <f t="shared" si="5"/>
        <v>513.96728178131866</v>
      </c>
      <c r="E140">
        <f t="shared" si="6"/>
        <v>181.98725203718001</v>
      </c>
    </row>
    <row r="141" spans="1:5" x14ac:dyDescent="0.35">
      <c r="A141" t="s">
        <v>144</v>
      </c>
      <c r="B141">
        <v>513.98290062051797</v>
      </c>
      <c r="C141">
        <v>182.000703600311</v>
      </c>
    </row>
    <row r="142" spans="1:5" x14ac:dyDescent="0.35">
      <c r="A142" t="s">
        <v>145</v>
      </c>
      <c r="B142">
        <v>514.13501336495301</v>
      </c>
      <c r="C142">
        <v>182.059703484778</v>
      </c>
    </row>
    <row r="143" spans="1:5" x14ac:dyDescent="0.35">
      <c r="A143" t="s">
        <v>146</v>
      </c>
      <c r="B143">
        <v>528.48182326764902</v>
      </c>
      <c r="C143">
        <v>132.14874604484501</v>
      </c>
      <c r="D143">
        <f>AVERAGE(B143:B145)</f>
        <v>528.72132013808869</v>
      </c>
      <c r="E143">
        <f t="shared" si="6"/>
        <v>131.95356661122767</v>
      </c>
    </row>
    <row r="144" spans="1:5" x14ac:dyDescent="0.35">
      <c r="A144" t="s">
        <v>147</v>
      </c>
      <c r="B144">
        <v>528.99882190872199</v>
      </c>
      <c r="C144">
        <v>131.93714662715101</v>
      </c>
    </row>
    <row r="145" spans="1:3" x14ac:dyDescent="0.35">
      <c r="A145" t="s">
        <v>148</v>
      </c>
      <c r="B145">
        <v>528.68331523789504</v>
      </c>
      <c r="C145">
        <v>131.77480716168699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mimsy vs ws gas conc</vt:lpstr>
      <vt:lpstr>mimsy_flux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Back</dc:creator>
  <cp:lastModifiedBy>Mike Back</cp:lastModifiedBy>
  <dcterms:created xsi:type="dcterms:W3CDTF">2022-11-04T22:12:13Z</dcterms:created>
  <dcterms:modified xsi:type="dcterms:W3CDTF">2022-11-04T22:59:32Z</dcterms:modified>
</cp:coreProperties>
</file>