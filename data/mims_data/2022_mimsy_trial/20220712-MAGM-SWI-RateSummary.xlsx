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ikeb\Documents\Kinsman-Costello Lab\H2Ohio\Soil Scale Measurements\Intact Core Incubations\20220712_MAGM\Gas data\"/>
    </mc:Choice>
  </mc:AlternateContent>
  <xr:revisionPtr revIDLastSave="0" documentId="13_ncr:1_{BCBE20DC-FBC4-481D-B0DA-43C53F30A1D7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SOD" sheetId="2" r:id="rId1"/>
    <sheet name="28" sheetId="3" r:id="rId2"/>
    <sheet name="Data" sheetId="1" r:id="rId3"/>
    <sheet name="AvgSOD" sheetId="12" r:id="rId4"/>
    <sheet name="AvgDNF" sheetId="13" r:id="rId5"/>
    <sheet name="ANOVA" sheetId="10" r:id="rId6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15" i="1" l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I14" i="1"/>
  <c r="J14" i="1"/>
  <c r="K14" i="1"/>
  <c r="L14" i="1"/>
  <c r="I15" i="1"/>
  <c r="J15" i="1"/>
  <c r="K15" i="1"/>
  <c r="J4" i="1"/>
  <c r="K4" i="1"/>
  <c r="L4" i="1"/>
  <c r="I4" i="1"/>
  <c r="G3" i="10"/>
  <c r="F3" i="10"/>
  <c r="E3" i="10"/>
  <c r="D3" i="10"/>
  <c r="F46" i="10"/>
  <c r="F45" i="10"/>
  <c r="F41" i="10"/>
  <c r="F40" i="10"/>
  <c r="D6" i="10"/>
  <c r="D5" i="10"/>
  <c r="D4" i="10"/>
  <c r="G21" i="10"/>
  <c r="G11" i="10"/>
  <c r="G9" i="10"/>
  <c r="F39" i="10"/>
  <c r="F26" i="10"/>
  <c r="F20" i="10"/>
  <c r="F10" i="10"/>
  <c r="E24" i="10"/>
  <c r="E20" i="10"/>
  <c r="E19" i="10"/>
  <c r="E15" i="10"/>
  <c r="E44" i="10"/>
  <c r="E11" i="10"/>
  <c r="D20" i="10"/>
  <c r="D19" i="10"/>
  <c r="D14" i="10"/>
  <c r="D11" i="10"/>
  <c r="G36" i="10"/>
  <c r="G35" i="10"/>
  <c r="G34" i="10"/>
  <c r="E36" i="10"/>
  <c r="E35" i="10"/>
  <c r="E34" i="10"/>
  <c r="D36" i="10"/>
  <c r="D35" i="10"/>
  <c r="D34" i="10"/>
  <c r="E31" i="10"/>
  <c r="E30" i="10"/>
  <c r="E29" i="10"/>
  <c r="G49" i="10"/>
  <c r="G50" i="10"/>
  <c r="G51" i="10"/>
  <c r="F51" i="10"/>
  <c r="F50" i="10"/>
  <c r="F49" i="10"/>
  <c r="E49" i="10"/>
  <c r="E50" i="10"/>
  <c r="E51" i="10"/>
  <c r="D51" i="10"/>
  <c r="D50" i="10"/>
  <c r="D49" i="10"/>
  <c r="E45" i="10"/>
  <c r="E26" i="10"/>
  <c r="E25" i="10"/>
  <c r="F36" i="10"/>
  <c r="F35" i="10"/>
  <c r="F34" i="10"/>
  <c r="F31" i="10"/>
  <c r="F30" i="10"/>
  <c r="F29" i="10"/>
  <c r="F25" i="10"/>
  <c r="F24" i="10"/>
  <c r="F19" i="10"/>
  <c r="G19" i="10"/>
  <c r="G20" i="10"/>
  <c r="G22" i="10"/>
  <c r="E21" i="10"/>
  <c r="F21" i="10"/>
  <c r="D21" i="10"/>
  <c r="G14" i="10"/>
  <c r="F15" i="10"/>
  <c r="G15" i="10"/>
  <c r="F16" i="10"/>
  <c r="G16" i="10"/>
  <c r="D16" i="10"/>
  <c r="D15" i="10"/>
  <c r="E9" i="10"/>
  <c r="E10" i="10"/>
  <c r="F9" i="10"/>
  <c r="G10" i="10"/>
  <c r="F11" i="10"/>
  <c r="D10" i="10"/>
  <c r="D9" i="10"/>
  <c r="D12" i="10"/>
  <c r="E4" i="10"/>
  <c r="F4" i="10"/>
  <c r="G4" i="10"/>
  <c r="E5" i="10"/>
  <c r="F5" i="10"/>
  <c r="F6" i="10"/>
  <c r="F8" i="10"/>
  <c r="G5" i="10"/>
  <c r="E6" i="10"/>
  <c r="G6" i="10"/>
  <c r="D7" i="10"/>
  <c r="G23" i="10"/>
  <c r="E46" i="10"/>
  <c r="E16" i="10"/>
  <c r="F44" i="10"/>
  <c r="F14" i="10"/>
  <c r="E14" i="10"/>
  <c r="F13" i="10"/>
  <c r="D18" i="10"/>
  <c r="D53" i="10"/>
  <c r="E53" i="10"/>
  <c r="F23" i="10"/>
  <c r="F53" i="10"/>
  <c r="E18" i="10"/>
  <c r="E13" i="10"/>
  <c r="E48" i="10"/>
  <c r="F48" i="10"/>
  <c r="E17" i="10"/>
  <c r="F7" i="10"/>
  <c r="G18" i="10"/>
  <c r="D23" i="10"/>
  <c r="F22" i="10"/>
  <c r="F38" i="10"/>
  <c r="D38" i="10"/>
  <c r="E38" i="10"/>
  <c r="G38" i="10"/>
  <c r="G52" i="10"/>
  <c r="F52" i="10"/>
  <c r="D17" i="10"/>
  <c r="F12" i="10"/>
  <c r="F17" i="10"/>
  <c r="D8" i="10"/>
  <c r="G8" i="10"/>
  <c r="E7" i="10"/>
  <c r="E12" i="10"/>
  <c r="F28" i="10"/>
  <c r="F43" i="10"/>
  <c r="D13" i="10"/>
  <c r="E22" i="10"/>
  <c r="G13" i="10"/>
  <c r="G53" i="10"/>
  <c r="E47" i="10"/>
  <c r="D52" i="10"/>
  <c r="E32" i="10"/>
  <c r="E27" i="10"/>
  <c r="F33" i="10"/>
  <c r="E52" i="10"/>
  <c r="F47" i="10"/>
  <c r="F42" i="10"/>
  <c r="E8" i="10"/>
  <c r="E37" i="10"/>
  <c r="E33" i="10"/>
  <c r="F18" i="10"/>
  <c r="F37" i="10"/>
  <c r="G17" i="10"/>
  <c r="E28" i="10"/>
  <c r="D22" i="10"/>
  <c r="F27" i="10"/>
  <c r="G12" i="10"/>
  <c r="G7" i="10"/>
  <c r="G37" i="10"/>
  <c r="F32" i="10"/>
  <c r="E23" i="10"/>
  <c r="D37" i="10"/>
</calcChain>
</file>

<file path=xl/sharedStrings.xml><?xml version="1.0" encoding="utf-8"?>
<sst xmlns="http://schemas.openxmlformats.org/spreadsheetml/2006/main" count="140" uniqueCount="26">
  <si>
    <t>Site</t>
  </si>
  <si>
    <t>Time</t>
  </si>
  <si>
    <t>T0</t>
  </si>
  <si>
    <t>SE</t>
  </si>
  <si>
    <t>T1</t>
  </si>
  <si>
    <t>T2</t>
  </si>
  <si>
    <t>Net O2</t>
  </si>
  <si>
    <t>Net 29</t>
  </si>
  <si>
    <t>Net 28</t>
  </si>
  <si>
    <t>Net 30</t>
  </si>
  <si>
    <t>DNF Pot</t>
  </si>
  <si>
    <t>15:14</t>
  </si>
  <si>
    <t>29:30</t>
  </si>
  <si>
    <t>N Fix</t>
  </si>
  <si>
    <t>29:DNF</t>
  </si>
  <si>
    <t>DNRA</t>
  </si>
  <si>
    <t>Avg</t>
  </si>
  <si>
    <t>*All controls, no isotopic amendments - Can only calculate net flux of 28-N2 (N-fix + DNF) and O2 (SOD)</t>
  </si>
  <si>
    <t>*Multiply N2 fluxes by 2 (presented as umoles N in graphs, not N2)</t>
  </si>
  <si>
    <t>µ</t>
  </si>
  <si>
    <t>Sampling Date</t>
  </si>
  <si>
    <t>umole N numbers</t>
  </si>
  <si>
    <t>grasses</t>
  </si>
  <si>
    <t>hardwoods</t>
  </si>
  <si>
    <t>typha</t>
  </si>
  <si>
    <t>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</si>
</sst>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/>
    <xf numFmtId="0" fontId="0" fillId="0" borderId="10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/>
    <xf numFmtId="0" fontId="0" fillId="2" borderId="3" xfId="0" applyFill="1" applyBorder="1"/>
    <xf numFmtId="14" fontId="0" fillId="0" borderId="0" xfId="0" applyNumberForma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0" fillId="0" borderId="14" xfId="0" applyBorder="1"/>
    <xf numFmtId="0" fontId="0" fillId="0" borderId="5" xfId="0" applyBorder="1"/>
    <xf numFmtId="0" fontId="0" fillId="2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1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chartsheet" Target="chart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204217536071"/>
          <c:y val="0.12887438825448599"/>
          <c:w val="0.78135405105438405"/>
          <c:h val="0.75693311582381695"/>
        </c:manualLayout>
      </c:layout>
      <c:barChart>
        <c:barDir val="col"/>
        <c:grouping val="clustered"/>
        <c:varyColors val="0"/>
        <c:ser>
          <c:idx val="0"/>
          <c:order val="0"/>
          <c:tx>
            <c:v>T0</c:v>
          </c:tx>
          <c:spPr>
            <a:solidFill>
              <a:srgbClr val="FFFFFF"/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Data!$D$5:$G$5</c:f>
                <c:numCache>
                  <c:formatCode>General</c:formatCode>
                  <c:ptCount val="4"/>
                  <c:pt idx="0">
                    <c:v>282.39913545110159</c:v>
                  </c:pt>
                  <c:pt idx="1">
                    <c:v>20.099396124992708</c:v>
                  </c:pt>
                  <c:pt idx="2">
                    <c:v>100.80197697490269</c:v>
                  </c:pt>
                  <c:pt idx="3">
                    <c:v>291.27575810406876</c:v>
                  </c:pt>
                </c:numCache>
              </c:numRef>
            </c:plus>
            <c:minus>
              <c:numRef>
                <c:f>Data!$D$5:$G$5</c:f>
                <c:numCache>
                  <c:formatCode>General</c:formatCode>
                  <c:ptCount val="4"/>
                  <c:pt idx="0">
                    <c:v>282.39913545110159</c:v>
                  </c:pt>
                  <c:pt idx="1">
                    <c:v>20.099396124992708</c:v>
                  </c:pt>
                  <c:pt idx="2">
                    <c:v>100.80197697490269</c:v>
                  </c:pt>
                  <c:pt idx="3">
                    <c:v>291.27575810406876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  <a:prstDash val="solid"/>
              </a:ln>
            </c:spPr>
          </c:errBars>
          <c:cat>
            <c:strRef>
              <c:f>Data!$D$3:$G$3</c:f>
              <c:strCache>
                <c:ptCount val="4"/>
                <c:pt idx="0">
                  <c:v>grasses</c:v>
                </c:pt>
                <c:pt idx="1">
                  <c:v>SAV</c:v>
                </c:pt>
                <c:pt idx="2">
                  <c:v>hardwoods</c:v>
                </c:pt>
                <c:pt idx="3">
                  <c:v>typha</c:v>
                </c:pt>
              </c:strCache>
            </c:strRef>
          </c:cat>
          <c:val>
            <c:numRef>
              <c:f>Data!$D$4:$G$4</c:f>
              <c:numCache>
                <c:formatCode>General</c:formatCode>
                <c:ptCount val="4"/>
                <c:pt idx="0">
                  <c:v>-301.635374451377</c:v>
                </c:pt>
                <c:pt idx="1">
                  <c:v>-497.32439793100826</c:v>
                </c:pt>
                <c:pt idx="2">
                  <c:v>-635.18972449640194</c:v>
                </c:pt>
                <c:pt idx="3">
                  <c:v>-884.36632056814233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1-4081-925E-439CCE06A7A7}"/>
            </c:ext>
          </c:extLst>
        </c:ser>
        <c:ser>
          <c:idx val="1"/>
          <c:order val="1"/>
          <c:tx>
            <c:v>T1</c:v>
          </c:tx>
          <c:spPr>
            <a:solidFill>
              <a:srgbClr val="C0C0C0"/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Data!$D$7:$G$7</c:f>
                <c:numCache>
                  <c:formatCode>General</c:formatCode>
                  <c:ptCount val="4"/>
                  <c:pt idx="0">
                    <c:v>319.223318225789</c:v>
                  </c:pt>
                  <c:pt idx="1">
                    <c:v>86.522528296534915</c:v>
                  </c:pt>
                  <c:pt idx="2">
                    <c:v>360.20352003491467</c:v>
                  </c:pt>
                  <c:pt idx="3">
                    <c:v>187.26804106596191</c:v>
                  </c:pt>
                </c:numCache>
              </c:numRef>
            </c:plus>
            <c:minus>
              <c:numRef>
                <c:f>Data!$D$7:$G$7</c:f>
                <c:numCache>
                  <c:formatCode>General</c:formatCode>
                  <c:ptCount val="4"/>
                  <c:pt idx="0">
                    <c:v>319.223318225789</c:v>
                  </c:pt>
                  <c:pt idx="1">
                    <c:v>86.522528296534915</c:v>
                  </c:pt>
                  <c:pt idx="2">
                    <c:v>360.20352003491467</c:v>
                  </c:pt>
                  <c:pt idx="3">
                    <c:v>187.26804106596191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  <a:prstDash val="solid"/>
              </a:ln>
            </c:spPr>
          </c:errBars>
          <c:val>
            <c:numRef>
              <c:f>Data!$D$6:$G$6</c:f>
              <c:numCache>
                <c:formatCode>General</c:formatCode>
                <c:ptCount val="4"/>
                <c:pt idx="0">
                  <c:v>-753.63861042982683</c:v>
                </c:pt>
                <c:pt idx="1">
                  <c:v>-871.92704392800169</c:v>
                </c:pt>
                <c:pt idx="2">
                  <c:v>-1266.8515778377359</c:v>
                </c:pt>
                <c:pt idx="3">
                  <c:v>-1038.6273877069943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1-4081-925E-439CCE06A7A7}"/>
            </c:ext>
          </c:extLst>
        </c:ser>
        <c:ser>
          <c:idx val="3"/>
          <c:order val="2"/>
          <c:tx>
            <c:v>T2</c:v>
          </c:tx>
          <c:spPr>
            <a:solidFill>
              <a:srgbClr val="969696"/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Data!$D$9:$G$9</c:f>
                <c:numCache>
                  <c:formatCode>General</c:formatCode>
                  <c:ptCount val="4"/>
                  <c:pt idx="0">
                    <c:v>343.67278404955891</c:v>
                  </c:pt>
                  <c:pt idx="1">
                    <c:v>278.38255762097327</c:v>
                  </c:pt>
                  <c:pt idx="2">
                    <c:v>276.40323284311944</c:v>
                  </c:pt>
                  <c:pt idx="3">
                    <c:v>242.02915408596806</c:v>
                  </c:pt>
                </c:numCache>
              </c:numRef>
            </c:plus>
            <c:minus>
              <c:numRef>
                <c:f>Data!$D$9:$G$9</c:f>
                <c:numCache>
                  <c:formatCode>General</c:formatCode>
                  <c:ptCount val="4"/>
                  <c:pt idx="0">
                    <c:v>343.67278404955891</c:v>
                  </c:pt>
                  <c:pt idx="1">
                    <c:v>278.38255762097327</c:v>
                  </c:pt>
                  <c:pt idx="2">
                    <c:v>276.40323284311944</c:v>
                  </c:pt>
                  <c:pt idx="3">
                    <c:v>242.02915408596806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  <a:prstDash val="solid"/>
              </a:ln>
            </c:spPr>
          </c:errBars>
          <c:val>
            <c:numRef>
              <c:f>Data!$D$8:$G$8</c:f>
              <c:numCache>
                <c:formatCode>General</c:formatCode>
                <c:ptCount val="4"/>
                <c:pt idx="0">
                  <c:v>-434.81294092591634</c:v>
                </c:pt>
                <c:pt idx="1">
                  <c:v>-944.26844876540133</c:v>
                </c:pt>
                <c:pt idx="2">
                  <c:v>-1070.3202312459441</c:v>
                </c:pt>
                <c:pt idx="3">
                  <c:v>-591.59292742892251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C1-4081-925E-439CCE06A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989104"/>
        <c:axId val="12128272"/>
      </c:barChart>
      <c:catAx>
        <c:axId val="119989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US"/>
          </a:p>
        </c:txPr>
        <c:crossAx val="121282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12827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SOD (µmol O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m</a:t>
                </a:r>
                <a:r>
                  <a:rPr lang="en-US" sz="1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-2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h</a:t>
                </a:r>
                <a:r>
                  <a:rPr lang="en-US" sz="1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-1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4.0379744486336626E-2"/>
              <c:y val="0.335301225895965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US"/>
          </a:p>
        </c:txPr>
        <c:crossAx val="119989104"/>
        <c:crosses val="autoZero"/>
        <c:crossBetween val="between"/>
      </c:valAx>
      <c:spPr>
        <a:noFill/>
        <a:ln w="12700">
          <a:solidFill>
            <a:schemeClr val="tx1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911012235817599"/>
          <c:y val="0.16256157635467999"/>
          <c:w val="6.7853170189099005E-2"/>
          <c:h val="0.1724137931034480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chemeClr val="tx1"/>
              </a:solidFill>
              <a:latin typeface="Arial"/>
              <a:ea typeface="Arial"/>
              <a:cs typeface="Arial"/>
            </a:defRPr>
          </a:pPr>
          <a:endParaRPr lang="es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317425083240801"/>
          <c:y val="5.3833605220228398E-2"/>
          <c:w val="0.80133185349611602"/>
          <c:h val="0.83197389885807504"/>
        </c:manualLayout>
      </c:layout>
      <c:barChart>
        <c:barDir val="col"/>
        <c:grouping val="clustered"/>
        <c:varyColors val="0"/>
        <c:ser>
          <c:idx val="0"/>
          <c:order val="0"/>
          <c:tx>
            <c:v>T0</c:v>
          </c:tx>
          <c:spPr>
            <a:solidFill>
              <a:srgbClr val="FFFFFF"/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Data!$D$11:$G$11</c:f>
                <c:numCache>
                  <c:formatCode>General</c:formatCode>
                  <c:ptCount val="4"/>
                  <c:pt idx="0">
                    <c:v>3.2892114805339236</c:v>
                  </c:pt>
                  <c:pt idx="1">
                    <c:v>0.7143838076503336</c:v>
                  </c:pt>
                  <c:pt idx="2">
                    <c:v>18.522373405386087</c:v>
                  </c:pt>
                  <c:pt idx="3">
                    <c:v>8.2759198604746427</c:v>
                  </c:pt>
                </c:numCache>
              </c:numRef>
            </c:plus>
            <c:minus>
              <c:numRef>
                <c:f>Data!$D$11:$G$11</c:f>
                <c:numCache>
                  <c:formatCode>General</c:formatCode>
                  <c:ptCount val="4"/>
                  <c:pt idx="0">
                    <c:v>3.2892114805339236</c:v>
                  </c:pt>
                  <c:pt idx="1">
                    <c:v>0.7143838076503336</c:v>
                  </c:pt>
                  <c:pt idx="2">
                    <c:v>18.522373405386087</c:v>
                  </c:pt>
                  <c:pt idx="3">
                    <c:v>8.2759198604746427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  <a:prstDash val="solid"/>
              </a:ln>
            </c:spPr>
          </c:errBars>
          <c:cat>
            <c:strRef>
              <c:f>Data!$D$3:$G$3</c:f>
              <c:strCache>
                <c:ptCount val="4"/>
                <c:pt idx="0">
                  <c:v>grasses</c:v>
                </c:pt>
                <c:pt idx="1">
                  <c:v>SAV</c:v>
                </c:pt>
                <c:pt idx="2">
                  <c:v>hardwoods</c:v>
                </c:pt>
                <c:pt idx="3">
                  <c:v>typha</c:v>
                </c:pt>
              </c:strCache>
            </c:strRef>
          </c:cat>
          <c:val>
            <c:numRef>
              <c:f>Data!$D$10:$G$10</c:f>
              <c:numCache>
                <c:formatCode>General</c:formatCode>
                <c:ptCount val="4"/>
                <c:pt idx="0">
                  <c:v>-0.79437752693678088</c:v>
                </c:pt>
                <c:pt idx="1">
                  <c:v>-1.256036288866502</c:v>
                </c:pt>
                <c:pt idx="2">
                  <c:v>1.0747414233471027</c:v>
                </c:pt>
                <c:pt idx="3">
                  <c:v>25.140175032395529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D-41DB-94F5-5C3EB0DAB2D7}"/>
            </c:ext>
          </c:extLst>
        </c:ser>
        <c:ser>
          <c:idx val="1"/>
          <c:order val="1"/>
          <c:tx>
            <c:v>T1</c:v>
          </c:tx>
          <c:spPr>
            <a:solidFill>
              <a:srgbClr val="C0C0C0"/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Data!$D$13:$G$13</c:f>
                <c:numCache>
                  <c:formatCode>General</c:formatCode>
                  <c:ptCount val="4"/>
                  <c:pt idx="0">
                    <c:v>20.111755782854221</c:v>
                  </c:pt>
                  <c:pt idx="1">
                    <c:v>12.132032704372119</c:v>
                  </c:pt>
                  <c:pt idx="2">
                    <c:v>2.935690923091324</c:v>
                  </c:pt>
                  <c:pt idx="3">
                    <c:v>6.0668345838392606</c:v>
                  </c:pt>
                </c:numCache>
              </c:numRef>
            </c:plus>
            <c:minus>
              <c:numRef>
                <c:f>Data!$D$13:$G$13</c:f>
                <c:numCache>
                  <c:formatCode>General</c:formatCode>
                  <c:ptCount val="4"/>
                  <c:pt idx="0">
                    <c:v>20.111755782854221</c:v>
                  </c:pt>
                  <c:pt idx="1">
                    <c:v>12.132032704372119</c:v>
                  </c:pt>
                  <c:pt idx="2">
                    <c:v>2.935690923091324</c:v>
                  </c:pt>
                  <c:pt idx="3">
                    <c:v>6.0668345838392606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  <a:prstDash val="solid"/>
              </a:ln>
            </c:spPr>
          </c:errBars>
          <c:val>
            <c:numRef>
              <c:f>Data!$D$12:$G$12</c:f>
              <c:numCache>
                <c:formatCode>General</c:formatCode>
                <c:ptCount val="4"/>
                <c:pt idx="0">
                  <c:v>-1.2779629124220975</c:v>
                </c:pt>
                <c:pt idx="1">
                  <c:v>5.0778551970585903</c:v>
                </c:pt>
                <c:pt idx="2">
                  <c:v>1.7685663946481434</c:v>
                </c:pt>
                <c:pt idx="3">
                  <c:v>5.9899443918795461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D-41DB-94F5-5C3EB0DAB2D7}"/>
            </c:ext>
          </c:extLst>
        </c:ser>
        <c:ser>
          <c:idx val="3"/>
          <c:order val="2"/>
          <c:tx>
            <c:v>T2</c:v>
          </c:tx>
          <c:spPr>
            <a:solidFill>
              <a:srgbClr val="969696"/>
            </a:solidFill>
            <a:ln w="12700">
              <a:solidFill>
                <a:schemeClr val="tx1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Data!$D$15:$G$15</c:f>
                <c:numCache>
                  <c:formatCode>General</c:formatCode>
                  <c:ptCount val="4"/>
                  <c:pt idx="0">
                    <c:v>38.779078988518599</c:v>
                  </c:pt>
                  <c:pt idx="1">
                    <c:v>9.0527661063125588</c:v>
                  </c:pt>
                  <c:pt idx="2">
                    <c:v>2.5524423506615959</c:v>
                  </c:pt>
                  <c:pt idx="3">
                    <c:v>35.390006451711685</c:v>
                  </c:pt>
                </c:numCache>
              </c:numRef>
            </c:plus>
            <c:minus>
              <c:numRef>
                <c:f>Data!$D$15:$G$15</c:f>
                <c:numCache>
                  <c:formatCode>General</c:formatCode>
                  <c:ptCount val="4"/>
                  <c:pt idx="0">
                    <c:v>38.779078988518599</c:v>
                  </c:pt>
                  <c:pt idx="1">
                    <c:v>9.0527661063125588</c:v>
                  </c:pt>
                  <c:pt idx="2">
                    <c:v>2.5524423506615959</c:v>
                  </c:pt>
                  <c:pt idx="3">
                    <c:v>35.390006451711685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  <a:prstDash val="solid"/>
              </a:ln>
            </c:spPr>
          </c:errBars>
          <c:val>
            <c:numRef>
              <c:f>Data!$D$14:$G$14</c:f>
              <c:numCache>
                <c:formatCode>General</c:formatCode>
                <c:ptCount val="4"/>
                <c:pt idx="0">
                  <c:v>17.208454578232022</c:v>
                </c:pt>
                <c:pt idx="1">
                  <c:v>3.904706946823314</c:v>
                </c:pt>
                <c:pt idx="2">
                  <c:v>26.811998542283586</c:v>
                </c:pt>
                <c:pt idx="3">
                  <c:v>31.459685190490006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6D-41DB-94F5-5C3EB0DAB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92384"/>
        <c:axId val="122329232"/>
      </c:barChart>
      <c:catAx>
        <c:axId val="2059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US"/>
          </a:p>
        </c:txPr>
        <c:crossAx val="1223292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2329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Net </a:t>
                </a:r>
                <a:r>
                  <a:rPr lang="en-US" sz="1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28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N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2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(µmol N m</a:t>
                </a:r>
                <a:r>
                  <a:rPr lang="en-US" sz="1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-2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 h</a:t>
                </a:r>
                <a:r>
                  <a:rPr lang="en-US" sz="16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-1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3.8525117589064399E-2"/>
              <c:y val="0.259048324750904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US"/>
          </a:p>
        </c:txPr>
        <c:crossAx val="20592384"/>
        <c:crosses val="autoZero"/>
        <c:crossBetween val="between"/>
      </c:valAx>
      <c:spPr>
        <a:noFill/>
        <a:ln w="12700">
          <a:solidFill>
            <a:schemeClr val="tx1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869855394883196"/>
          <c:y val="0.11001642036124799"/>
          <c:w val="6.7853170189099005E-2"/>
          <c:h val="0.1724137931034480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chemeClr val="tx1"/>
              </a:solidFill>
              <a:latin typeface="Arial"/>
              <a:ea typeface="Arial"/>
              <a:cs typeface="Arial"/>
            </a:defRPr>
          </a:pPr>
          <a:endParaRPr lang="es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71100665325578"/>
          <c:y val="2.5897211700979493E-2"/>
          <c:w val="0.84919640138771812"/>
          <c:h val="0.9123137676400513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ANOVA!$D$8:$G$8</c:f>
                <c:numCache>
                  <c:formatCode>General</c:formatCode>
                  <c:ptCount val="4"/>
                  <c:pt idx="0">
                    <c:v>134.1005006788414</c:v>
                  </c:pt>
                  <c:pt idx="1">
                    <c:v>138.50780279224827</c:v>
                  </c:pt>
                  <c:pt idx="2">
                    <c:v>186.63092292661233</c:v>
                  </c:pt>
                  <c:pt idx="3">
                    <c:v>131.09634820771603</c:v>
                  </c:pt>
                </c:numCache>
              </c:numRef>
            </c:plus>
            <c:minus>
              <c:numRef>
                <c:f>ANOVA!$D$8:$G$8</c:f>
                <c:numCache>
                  <c:formatCode>General</c:formatCode>
                  <c:ptCount val="4"/>
                  <c:pt idx="0">
                    <c:v>134.1005006788414</c:v>
                  </c:pt>
                  <c:pt idx="1">
                    <c:v>138.50780279224827</c:v>
                  </c:pt>
                  <c:pt idx="2">
                    <c:v>186.63092292661233</c:v>
                  </c:pt>
                  <c:pt idx="3">
                    <c:v>131.09634820771603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  <a:prstDash val="solid"/>
              </a:ln>
            </c:spPr>
          </c:errBars>
          <c:cat>
            <c:strRef>
              <c:f>ANOVA!$D$3:$G$3</c:f>
              <c:strCache>
                <c:ptCount val="4"/>
                <c:pt idx="0">
                  <c:v>grasses</c:v>
                </c:pt>
                <c:pt idx="1">
                  <c:v>SAV</c:v>
                </c:pt>
                <c:pt idx="2">
                  <c:v>hardwoods</c:v>
                </c:pt>
                <c:pt idx="3">
                  <c:v>typha</c:v>
                </c:pt>
              </c:strCache>
            </c:strRef>
          </c:cat>
          <c:val>
            <c:numRef>
              <c:f>ANOVA!$D$7:$G$7</c:f>
              <c:numCache>
                <c:formatCode>General</c:formatCode>
                <c:ptCount val="4"/>
                <c:pt idx="0">
                  <c:v>-496.69564193570676</c:v>
                </c:pt>
                <c:pt idx="1">
                  <c:v>-771.17329687480378</c:v>
                </c:pt>
                <c:pt idx="2">
                  <c:v>-990.78717786002744</c:v>
                </c:pt>
                <c:pt idx="3">
                  <c:v>-838.19554523468639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E-427C-98C2-0D0871B1B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09360"/>
        <c:axId val="119920224"/>
      </c:barChart>
      <c:catAx>
        <c:axId val="9590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es-US"/>
          </a:p>
        </c:txPr>
        <c:crossAx val="119920224"/>
        <c:crosses val="autoZero"/>
        <c:auto val="1"/>
        <c:lblAlgn val="ctr"/>
        <c:lblOffset val="100"/>
        <c:noMultiLvlLbl val="0"/>
      </c:catAx>
      <c:valAx>
        <c:axId val="1199202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Calibri"/>
                    <a:cs typeface="Arial" panose="020B0604020202020204" pitchFamily="34" charset="0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SOD (µmol O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m</a:t>
                </a:r>
                <a:r>
                  <a:rPr lang="en-US" sz="1600" b="1" i="0" u="none" strike="noStrike" baseline="3000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-2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h</a:t>
                </a:r>
                <a:r>
                  <a:rPr lang="en-US" sz="1600" b="1" i="0" u="none" strike="noStrike" baseline="3000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4870369391221968E-2"/>
              <c:y val="0.318285675921966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es-US"/>
          </a:p>
        </c:txPr>
        <c:crossAx val="95909360"/>
        <c:crosses val="autoZero"/>
        <c:crossBetween val="between"/>
      </c:valAx>
      <c:spPr>
        <a:solidFill>
          <a:srgbClr val="FFFFFF"/>
        </a:solidFill>
        <a:ln w="12700">
          <a:solidFill>
            <a:schemeClr val="tx1"/>
          </a:solidFill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9570908372099"/>
          <c:y val="2.2403552485694499E-2"/>
          <c:w val="0.86136191709423782"/>
          <c:h val="0.91205395715802395"/>
        </c:manualLayout>
      </c:layout>
      <c:barChart>
        <c:barDir val="col"/>
        <c:grouping val="clustered"/>
        <c:varyColors val="0"/>
        <c:ser>
          <c:idx val="0"/>
          <c:order val="0"/>
          <c:tx>
            <c:v>Net 28</c:v>
          </c:tx>
          <c:spPr>
            <a:solidFill>
              <a:schemeClr val="bg1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errBars>
            <c:errBarType val="both"/>
            <c:errValType val="cust"/>
            <c:noEndCap val="0"/>
            <c:plus>
              <c:numRef>
                <c:f>ANOVA!$D$13:$G$13</c:f>
                <c:numCache>
                  <c:formatCode>General</c:formatCode>
                  <c:ptCount val="4"/>
                  <c:pt idx="0">
                    <c:v>6.0831436055834471</c:v>
                  </c:pt>
                  <c:pt idx="1">
                    <c:v>1.9454752192548204</c:v>
                  </c:pt>
                  <c:pt idx="2">
                    <c:v>8.4658178407518694</c:v>
                  </c:pt>
                  <c:pt idx="3">
                    <c:v>7.6571507558897665</c:v>
                  </c:pt>
                </c:numCache>
              </c:numRef>
            </c:plus>
            <c:minus>
              <c:numRef>
                <c:f>ANOVA!$D$13:$G$13</c:f>
                <c:numCache>
                  <c:formatCode>General</c:formatCode>
                  <c:ptCount val="4"/>
                  <c:pt idx="0">
                    <c:v>6.0831436055834471</c:v>
                  </c:pt>
                  <c:pt idx="1">
                    <c:v>1.9454752192548204</c:v>
                  </c:pt>
                  <c:pt idx="2">
                    <c:v>8.4658178407518694</c:v>
                  </c:pt>
                  <c:pt idx="3">
                    <c:v>7.6571507558897665</c:v>
                  </c:pt>
                </c:numCache>
              </c:numRef>
            </c:minus>
            <c:spPr>
              <a:ln w="12700">
                <a:solidFill>
                  <a:schemeClr val="tx1"/>
                </a:solidFill>
                <a:prstDash val="solid"/>
              </a:ln>
            </c:spPr>
          </c:errBars>
          <c:cat>
            <c:strRef>
              <c:f>ANOVA!$D$3:$G$3</c:f>
              <c:strCache>
                <c:ptCount val="4"/>
                <c:pt idx="0">
                  <c:v>grasses</c:v>
                </c:pt>
                <c:pt idx="1">
                  <c:v>SAV</c:v>
                </c:pt>
                <c:pt idx="2">
                  <c:v>hardwoods</c:v>
                </c:pt>
                <c:pt idx="3">
                  <c:v>typha</c:v>
                </c:pt>
              </c:strCache>
            </c:strRef>
          </c:cat>
          <c:val>
            <c:numRef>
              <c:f>ANOVA!$D$12:$G$12</c:f>
              <c:numCache>
                <c:formatCode>General</c:formatCode>
                <c:ptCount val="4"/>
                <c:pt idx="0">
                  <c:v>5.0453713796243811</c:v>
                </c:pt>
                <c:pt idx="1">
                  <c:v>2.5755086183384672</c:v>
                </c:pt>
                <c:pt idx="2">
                  <c:v>9.8851021200929434</c:v>
                </c:pt>
                <c:pt idx="3">
                  <c:v>20.863268204921695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4-4375-8C85-5DF26E54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136992"/>
        <c:axId val="124063984"/>
      </c:barChart>
      <c:catAx>
        <c:axId val="9713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12700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es-US"/>
          </a:p>
        </c:txPr>
        <c:crossAx val="124063984"/>
        <c:crosses val="autoZero"/>
        <c:auto val="1"/>
        <c:lblAlgn val="ctr"/>
        <c:lblOffset val="100"/>
        <c:noMultiLvlLbl val="0"/>
      </c:catAx>
      <c:valAx>
        <c:axId val="124063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ea typeface="Calibri"/>
                    <a:cs typeface="Arial" panose="020B0604020202020204" pitchFamily="34" charset="0"/>
                  </a:defRPr>
                </a:pP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</a:t>
                </a:r>
                <a:r>
                  <a:rPr lang="en-US" sz="1600" b="1" i="0" u="none" strike="noStrike" baseline="-2500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2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Flux (µmol N m</a:t>
                </a:r>
                <a:r>
                  <a:rPr lang="en-US" sz="1600" b="1" i="0" u="none" strike="noStrike" baseline="3000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-2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h</a:t>
                </a:r>
                <a:r>
                  <a:rPr lang="en-US" sz="1600" b="1" i="0" u="none" strike="noStrike" baseline="3000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US" sz="1600" b="1" i="0" u="none" strike="noStrike" baseline="0">
                    <a:solidFill>
                      <a:srgbClr val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7968640295781151E-2"/>
              <c:y val="0.322895507514203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12700">
            <a:solidFill>
              <a:schemeClr val="tx1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ea typeface="Calibri"/>
                <a:cs typeface="Arial" panose="020B0604020202020204" pitchFamily="34" charset="0"/>
              </a:defRPr>
            </a:pPr>
            <a:endParaRPr lang="es-US"/>
          </a:p>
        </c:txPr>
        <c:crossAx val="97136992"/>
        <c:crosses val="autoZero"/>
        <c:crossBetween val="between"/>
      </c:valAx>
      <c:spPr>
        <a:solidFill>
          <a:srgbClr val="FFFFFF"/>
        </a:solidFill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85525007277376508"/>
          <c:y val="3.3943416926303788E-2"/>
          <c:w val="8.5460599334073295E-2"/>
          <c:h val="0.1125611745513870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Calibri"/>
              <a:cs typeface="Arial" panose="020B0604020202020204" pitchFamily="34" charset="0"/>
            </a:defRPr>
          </a:pPr>
          <a:endParaRPr lang="es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6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6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5" right="0.75" top="1" bottom="1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tabSelected="1" workbookViewId="0"/>
  </sheetViews>
  <pageMargins left="0.75" right="0.75" top="1" bottom="1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7239" cy="58382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7239" cy="583820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0.54475</cdr:x>
      <cdr:y>0.054</cdr:y>
    </cdr:from>
    <cdr:to>
      <cdr:x>0.548</cdr:x>
      <cdr:y>0.88775</cdr:y>
    </cdr:to>
    <cdr:sp macro="" textlink="">
      <cdr:nvSpPr>
        <cdr:cNvPr id="2060" name="Line 12">
          <a:extLst xmlns:a="http://schemas.openxmlformats.org/drawingml/2006/main">
            <a:ext uri="{FF2B5EF4-FFF2-40B4-BE49-F238E27FC236}">
              <a16:creationId xmlns:a16="http://schemas.microsoft.com/office/drawing/2014/main" id="{79D53F63-5227-49BA-AE2C-4EE1F5766E2F}"/>
            </a:ext>
          </a:extLst>
        </cdr:cNvPr>
        <cdr:cNvSpPr>
          <a:spLocks xmlns:a="http://schemas.openxmlformats.org/drawingml/2006/main" noChangeShapeType="1"/>
        </cdr:cNvSpPr>
      </cdr:nvSpPr>
      <cdr:spPr bwMode="auto">
        <a:xfrm xmlns:a="http://schemas.openxmlformats.org/drawingml/2006/main" flipV="1">
          <a:off x="4675058" y="313837"/>
          <a:ext cx="27892" cy="4859362"/>
        </a:xfrm>
        <a:prstGeom xmlns:a="http://schemas.openxmlformats.org/drawingml/2006/main" prst="line">
          <a:avLst/>
        </a:prstGeom>
        <a:noFill xmlns:a="http://schemas.openxmlformats.org/drawingml/2006/main"/>
        <a:ln xmlns:a="http://schemas.openxmlformats.org/drawingml/2006/main" w="9525">
          <a:solidFill>
            <a:srgbClr val="000000"/>
          </a:solidFill>
          <a:round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2992100" cy="9429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12992100" cy="9429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9"/>
  <sheetViews>
    <sheetView zoomScaleNormal="100" workbookViewId="0">
      <selection activeCell="O24" sqref="O24:O25"/>
    </sheetView>
  </sheetViews>
  <sheetFormatPr defaultColWidth="8.81640625" defaultRowHeight="12.5" x14ac:dyDescent="0.25"/>
  <cols>
    <col min="1" max="1" width="11.36328125" customWidth="1"/>
    <col min="4" max="7" width="11.81640625" customWidth="1"/>
  </cols>
  <sheetData>
    <row r="1" spans="1:12" x14ac:dyDescent="0.25">
      <c r="A1" s="35" t="s">
        <v>20</v>
      </c>
      <c r="B1" s="34"/>
      <c r="H1" s="18" t="s">
        <v>18</v>
      </c>
    </row>
    <row r="2" spans="1:12" x14ac:dyDescent="0.25">
      <c r="A2" s="18" t="s">
        <v>0</v>
      </c>
    </row>
    <row r="3" spans="1:12" ht="13" thickBot="1" x14ac:dyDescent="0.3">
      <c r="A3" s="3"/>
      <c r="B3" s="4"/>
      <c r="C3" s="4" t="s">
        <v>1</v>
      </c>
      <c r="D3" s="20" t="s">
        <v>22</v>
      </c>
      <c r="E3" s="20" t="s">
        <v>25</v>
      </c>
      <c r="F3" s="20" t="s">
        <v>23</v>
      </c>
      <c r="G3" s="20" t="s">
        <v>24</v>
      </c>
      <c r="I3" s="36" t="s">
        <v>21</v>
      </c>
      <c r="J3" s="36"/>
    </row>
    <row r="4" spans="1:12" x14ac:dyDescent="0.25">
      <c r="A4" s="19"/>
      <c r="B4" s="6" t="s">
        <v>6</v>
      </c>
      <c r="C4" s="6" t="s">
        <v>2</v>
      </c>
      <c r="D4" s="37">
        <v>-301.635374451377</v>
      </c>
      <c r="E4" s="37">
        <v>-497.32439793100826</v>
      </c>
      <c r="F4" s="37">
        <v>-635.18972449640194</v>
      </c>
      <c r="G4" s="37">
        <v>-884.36632056814233</v>
      </c>
      <c r="I4" s="36">
        <f>D4*2</f>
        <v>-603.27074890275401</v>
      </c>
      <c r="J4" s="36">
        <f t="shared" ref="J4:L4" si="0">E4*2</f>
        <v>-994.64879586201653</v>
      </c>
      <c r="K4" s="36">
        <f t="shared" si="0"/>
        <v>-1270.3794489928039</v>
      </c>
      <c r="L4" s="36">
        <f t="shared" si="0"/>
        <v>-1768.7326411362847</v>
      </c>
    </row>
    <row r="5" spans="1:12" x14ac:dyDescent="0.25">
      <c r="A5" s="5"/>
      <c r="B5" s="6"/>
      <c r="C5" s="6" t="s">
        <v>3</v>
      </c>
      <c r="D5" s="38">
        <v>282.39913545110159</v>
      </c>
      <c r="E5" s="38">
        <v>20.099396124992708</v>
      </c>
      <c r="F5" s="38">
        <v>100.80197697490269</v>
      </c>
      <c r="G5" s="38">
        <v>291.27575810406876</v>
      </c>
      <c r="I5" s="36">
        <f t="shared" ref="I5:I15" si="1">D5*2</f>
        <v>564.79827090220317</v>
      </c>
      <c r="J5" s="36">
        <f t="shared" ref="J5:J15" si="2">E5*2</f>
        <v>40.198792249985416</v>
      </c>
      <c r="K5" s="36">
        <f t="shared" ref="K5:K15" si="3">F5*2</f>
        <v>201.60395394980537</v>
      </c>
      <c r="L5" s="36">
        <f t="shared" ref="L5:L14" si="4">G5*2</f>
        <v>582.55151620813751</v>
      </c>
    </row>
    <row r="6" spans="1:12" x14ac:dyDescent="0.25">
      <c r="A6" s="5"/>
      <c r="B6" s="6"/>
      <c r="C6" s="6" t="s">
        <v>4</v>
      </c>
      <c r="D6" s="38">
        <v>-753.63861042982683</v>
      </c>
      <c r="E6" s="38">
        <v>-871.92704392800169</v>
      </c>
      <c r="F6" s="38">
        <v>-1266.8515778377359</v>
      </c>
      <c r="G6" s="38">
        <v>-1038.6273877069943</v>
      </c>
      <c r="I6" s="36">
        <f t="shared" si="1"/>
        <v>-1507.2772208596537</v>
      </c>
      <c r="J6" s="36">
        <f t="shared" si="2"/>
        <v>-1743.8540878560034</v>
      </c>
      <c r="K6" s="36">
        <f t="shared" si="3"/>
        <v>-2533.7031556754719</v>
      </c>
      <c r="L6" s="36">
        <f t="shared" si="4"/>
        <v>-2077.2547754139887</v>
      </c>
    </row>
    <row r="7" spans="1:12" x14ac:dyDescent="0.25">
      <c r="A7" s="5"/>
      <c r="B7" s="6"/>
      <c r="C7" s="6" t="s">
        <v>3</v>
      </c>
      <c r="D7" s="38">
        <v>319.223318225789</v>
      </c>
      <c r="E7" s="38">
        <v>86.522528296534915</v>
      </c>
      <c r="F7" s="38">
        <v>360.20352003491467</v>
      </c>
      <c r="G7" s="38">
        <v>187.26804106596191</v>
      </c>
      <c r="I7" s="36">
        <f t="shared" si="1"/>
        <v>638.446636451578</v>
      </c>
      <c r="J7" s="36">
        <f t="shared" si="2"/>
        <v>173.04505659306983</v>
      </c>
      <c r="K7" s="36">
        <f t="shared" si="3"/>
        <v>720.40704006982935</v>
      </c>
      <c r="L7" s="36">
        <f t="shared" si="4"/>
        <v>374.53608213192382</v>
      </c>
    </row>
    <row r="8" spans="1:12" x14ac:dyDescent="0.25">
      <c r="A8" s="5"/>
      <c r="B8" s="6"/>
      <c r="C8" s="6" t="s">
        <v>5</v>
      </c>
      <c r="D8" s="38">
        <v>-434.81294092591634</v>
      </c>
      <c r="E8" s="38">
        <v>-944.26844876540133</v>
      </c>
      <c r="F8" s="38">
        <v>-1070.3202312459441</v>
      </c>
      <c r="G8" s="38">
        <v>-591.59292742892251</v>
      </c>
      <c r="I8" s="36">
        <f t="shared" si="1"/>
        <v>-869.62588185183267</v>
      </c>
      <c r="J8" s="36">
        <f t="shared" si="2"/>
        <v>-1888.5368975308027</v>
      </c>
      <c r="K8" s="36">
        <f t="shared" si="3"/>
        <v>-2140.6404624918882</v>
      </c>
      <c r="L8" s="36">
        <f t="shared" si="4"/>
        <v>-1183.185854857845</v>
      </c>
    </row>
    <row r="9" spans="1:12" x14ac:dyDescent="0.25">
      <c r="A9" s="5"/>
      <c r="B9" s="8"/>
      <c r="C9" s="8" t="s">
        <v>3</v>
      </c>
      <c r="D9" s="16">
        <v>343.67278404955891</v>
      </c>
      <c r="E9" s="16">
        <v>278.38255762097327</v>
      </c>
      <c r="F9" s="16">
        <v>276.40323284311944</v>
      </c>
      <c r="G9" s="16">
        <v>242.02915408596806</v>
      </c>
      <c r="I9" s="36">
        <f t="shared" si="1"/>
        <v>687.34556809911783</v>
      </c>
      <c r="J9" s="36">
        <f t="shared" si="2"/>
        <v>556.76511524194655</v>
      </c>
      <c r="K9" s="36">
        <f t="shared" si="3"/>
        <v>552.80646568623888</v>
      </c>
      <c r="L9" s="36">
        <f t="shared" si="4"/>
        <v>484.05830817193612</v>
      </c>
    </row>
    <row r="10" spans="1:12" x14ac:dyDescent="0.25">
      <c r="A10" s="5"/>
      <c r="B10" s="6" t="s">
        <v>8</v>
      </c>
      <c r="C10" s="6" t="s">
        <v>2</v>
      </c>
      <c r="D10" s="6">
        <v>-0.79437752693678088</v>
      </c>
      <c r="E10" s="6">
        <v>-1.256036288866502</v>
      </c>
      <c r="F10" s="6">
        <v>1.0747414233471027</v>
      </c>
      <c r="G10" s="6">
        <v>25.140175032395529</v>
      </c>
      <c r="I10" s="36">
        <f t="shared" si="1"/>
        <v>-1.5887550538735618</v>
      </c>
      <c r="J10" s="36">
        <f t="shared" si="2"/>
        <v>-2.512072577733004</v>
      </c>
      <c r="K10" s="36">
        <f t="shared" si="3"/>
        <v>2.1494828466942053</v>
      </c>
      <c r="L10" s="36">
        <f t="shared" si="4"/>
        <v>50.280350064791058</v>
      </c>
    </row>
    <row r="11" spans="1:12" x14ac:dyDescent="0.25">
      <c r="A11" s="5"/>
      <c r="B11" s="6"/>
      <c r="C11" s="6" t="s">
        <v>3</v>
      </c>
      <c r="D11" s="6">
        <v>3.2892114805339236</v>
      </c>
      <c r="E11" s="6">
        <v>0.7143838076503336</v>
      </c>
      <c r="F11" s="6">
        <v>18.522373405386087</v>
      </c>
      <c r="G11" s="6">
        <v>8.2759198604746427</v>
      </c>
      <c r="I11" s="36">
        <f t="shared" si="1"/>
        <v>6.5784229610678473</v>
      </c>
      <c r="J11" s="36">
        <f t="shared" si="2"/>
        <v>1.4287676153006672</v>
      </c>
      <c r="K11" s="36">
        <f t="shared" si="3"/>
        <v>37.044746810772175</v>
      </c>
      <c r="L11" s="36">
        <f t="shared" si="4"/>
        <v>16.551839720949285</v>
      </c>
    </row>
    <row r="12" spans="1:12" x14ac:dyDescent="0.25">
      <c r="A12" s="5"/>
      <c r="B12" s="6"/>
      <c r="C12" s="6" t="s">
        <v>4</v>
      </c>
      <c r="D12" s="6">
        <v>-1.2779629124220975</v>
      </c>
      <c r="E12" s="6">
        <v>5.0778551970585903</v>
      </c>
      <c r="F12" s="6">
        <v>1.7685663946481434</v>
      </c>
      <c r="G12" s="6">
        <v>5.9899443918795461</v>
      </c>
      <c r="I12" s="36">
        <f t="shared" si="1"/>
        <v>-2.5559258248441949</v>
      </c>
      <c r="J12" s="36">
        <f t="shared" si="2"/>
        <v>10.155710394117181</v>
      </c>
      <c r="K12" s="36">
        <f t="shared" si="3"/>
        <v>3.5371327892962867</v>
      </c>
      <c r="L12" s="36">
        <f t="shared" si="4"/>
        <v>11.979888783759092</v>
      </c>
    </row>
    <row r="13" spans="1:12" x14ac:dyDescent="0.25">
      <c r="A13" s="5"/>
      <c r="B13" s="6"/>
      <c r="C13" s="6" t="s">
        <v>3</v>
      </c>
      <c r="D13" s="6">
        <v>20.111755782854221</v>
      </c>
      <c r="E13" s="6">
        <v>12.132032704372119</v>
      </c>
      <c r="F13" s="6">
        <v>2.935690923091324</v>
      </c>
      <c r="G13" s="6">
        <v>6.0668345838392606</v>
      </c>
      <c r="I13" s="36">
        <f t="shared" si="1"/>
        <v>40.223511565708442</v>
      </c>
      <c r="J13" s="36">
        <f t="shared" si="2"/>
        <v>24.264065408744237</v>
      </c>
      <c r="K13" s="36">
        <f t="shared" si="3"/>
        <v>5.8713818461826479</v>
      </c>
      <c r="L13" s="36">
        <f t="shared" si="4"/>
        <v>12.133669167678521</v>
      </c>
    </row>
    <row r="14" spans="1:12" x14ac:dyDescent="0.25">
      <c r="A14" s="5"/>
      <c r="B14" s="6"/>
      <c r="C14" s="6" t="s">
        <v>5</v>
      </c>
      <c r="D14" s="6">
        <v>17.208454578232022</v>
      </c>
      <c r="E14" s="6">
        <v>3.904706946823314</v>
      </c>
      <c r="F14" s="6">
        <v>26.811998542283586</v>
      </c>
      <c r="G14" s="6">
        <v>31.459685190490006</v>
      </c>
      <c r="I14" s="36">
        <f t="shared" si="1"/>
        <v>34.416909156464044</v>
      </c>
      <c r="J14" s="36">
        <f t="shared" si="2"/>
        <v>7.809413893646628</v>
      </c>
      <c r="K14" s="36">
        <f t="shared" si="3"/>
        <v>53.623997084567172</v>
      </c>
      <c r="L14" s="36">
        <f t="shared" si="4"/>
        <v>62.919370380980013</v>
      </c>
    </row>
    <row r="15" spans="1:12" x14ac:dyDescent="0.25">
      <c r="A15" s="5"/>
      <c r="B15" s="8"/>
      <c r="C15" s="8" t="s">
        <v>3</v>
      </c>
      <c r="D15" s="8">
        <v>38.779078988518599</v>
      </c>
      <c r="E15" s="8">
        <v>9.0527661063125588</v>
      </c>
      <c r="F15" s="8">
        <v>2.5524423506615959</v>
      </c>
      <c r="G15" s="8">
        <v>35.390006451711685</v>
      </c>
      <c r="I15" s="36">
        <f t="shared" si="1"/>
        <v>77.558157977037197</v>
      </c>
      <c r="J15" s="36">
        <f t="shared" si="2"/>
        <v>18.105532212625118</v>
      </c>
      <c r="K15" s="36">
        <f t="shared" si="3"/>
        <v>5.1048847013231917</v>
      </c>
      <c r="L15" s="36">
        <f>G15*2</f>
        <v>70.780012903423369</v>
      </c>
    </row>
    <row r="16" spans="1:12" x14ac:dyDescent="0.25">
      <c r="A16" s="5"/>
      <c r="B16" s="6" t="s">
        <v>7</v>
      </c>
      <c r="C16" s="6" t="s">
        <v>2</v>
      </c>
      <c r="D16" s="30"/>
      <c r="E16" s="30"/>
      <c r="F16" s="30"/>
      <c r="G16" s="30"/>
      <c r="H16" s="18" t="s">
        <v>17</v>
      </c>
    </row>
    <row r="17" spans="1:10" x14ac:dyDescent="0.25">
      <c r="A17" s="5"/>
      <c r="B17" s="6"/>
      <c r="C17" s="6" t="s">
        <v>3</v>
      </c>
      <c r="D17" s="30"/>
      <c r="E17" s="30"/>
      <c r="F17" s="30"/>
      <c r="G17" s="30"/>
    </row>
    <row r="18" spans="1:10" x14ac:dyDescent="0.25">
      <c r="A18" s="5"/>
      <c r="B18" s="6"/>
      <c r="C18" s="6" t="s">
        <v>4</v>
      </c>
      <c r="D18" s="30"/>
      <c r="E18" s="30"/>
      <c r="F18" s="30"/>
      <c r="G18" s="30"/>
    </row>
    <row r="19" spans="1:10" x14ac:dyDescent="0.25">
      <c r="A19" s="5"/>
      <c r="B19" s="6"/>
      <c r="C19" s="6" t="s">
        <v>3</v>
      </c>
      <c r="D19" s="30"/>
      <c r="E19" s="30"/>
      <c r="F19" s="30"/>
      <c r="G19" s="30"/>
    </row>
    <row r="20" spans="1:10" x14ac:dyDescent="0.25">
      <c r="A20" s="5"/>
      <c r="B20" s="6"/>
      <c r="C20" s="6" t="s">
        <v>5</v>
      </c>
      <c r="D20" s="30"/>
      <c r="E20" s="30"/>
      <c r="F20" s="30"/>
      <c r="G20" s="30"/>
    </row>
    <row r="21" spans="1:10" x14ac:dyDescent="0.25">
      <c r="A21" s="5"/>
      <c r="B21" s="8"/>
      <c r="C21" s="8" t="s">
        <v>3</v>
      </c>
      <c r="D21" s="31"/>
      <c r="E21" s="31"/>
      <c r="F21" s="31"/>
      <c r="G21" s="31"/>
      <c r="J21" s="18" t="s">
        <v>19</v>
      </c>
    </row>
    <row r="22" spans="1:10" x14ac:dyDescent="0.25">
      <c r="A22" s="5"/>
      <c r="B22" s="6" t="s">
        <v>9</v>
      </c>
      <c r="C22" s="6" t="s">
        <v>2</v>
      </c>
      <c r="D22" s="30"/>
      <c r="E22" s="30"/>
      <c r="F22" s="30"/>
      <c r="G22" s="30"/>
    </row>
    <row r="23" spans="1:10" x14ac:dyDescent="0.25">
      <c r="A23" s="5"/>
      <c r="B23" s="6"/>
      <c r="C23" s="6" t="s">
        <v>3</v>
      </c>
      <c r="D23" s="30"/>
      <c r="E23" s="30"/>
      <c r="F23" s="30"/>
      <c r="G23" s="30"/>
    </row>
    <row r="24" spans="1:10" x14ac:dyDescent="0.25">
      <c r="A24" s="5"/>
      <c r="B24" s="6"/>
      <c r="C24" s="6" t="s">
        <v>4</v>
      </c>
      <c r="D24" s="30"/>
      <c r="E24" s="30"/>
      <c r="F24" s="30"/>
      <c r="G24" s="30"/>
    </row>
    <row r="25" spans="1:10" x14ac:dyDescent="0.25">
      <c r="A25" s="5"/>
      <c r="B25" s="6"/>
      <c r="C25" s="6" t="s">
        <v>3</v>
      </c>
      <c r="D25" s="30"/>
      <c r="E25" s="30"/>
      <c r="F25" s="30"/>
      <c r="G25" s="30"/>
    </row>
    <row r="26" spans="1:10" x14ac:dyDescent="0.25">
      <c r="A26" s="5"/>
      <c r="B26" s="6"/>
      <c r="C26" s="6" t="s">
        <v>5</v>
      </c>
      <c r="D26" s="30"/>
      <c r="E26" s="30"/>
      <c r="F26" s="30"/>
      <c r="G26" s="30"/>
    </row>
    <row r="27" spans="1:10" x14ac:dyDescent="0.25">
      <c r="A27" s="5"/>
      <c r="B27" s="8"/>
      <c r="C27" s="8" t="s">
        <v>3</v>
      </c>
      <c r="D27" s="31"/>
      <c r="E27" s="31"/>
      <c r="F27" s="31"/>
      <c r="G27" s="31"/>
    </row>
    <row r="28" spans="1:10" x14ac:dyDescent="0.25">
      <c r="A28" s="5"/>
      <c r="B28" s="6" t="s">
        <v>10</v>
      </c>
      <c r="C28" s="6" t="s">
        <v>2</v>
      </c>
      <c r="D28" s="30"/>
      <c r="E28" s="30"/>
      <c r="F28" s="30"/>
      <c r="G28" s="30"/>
    </row>
    <row r="29" spans="1:10" x14ac:dyDescent="0.25">
      <c r="A29" s="5"/>
      <c r="B29" s="6"/>
      <c r="C29" s="6" t="s">
        <v>3</v>
      </c>
      <c r="D29" s="30"/>
      <c r="E29" s="30"/>
      <c r="F29" s="30"/>
      <c r="G29" s="30"/>
    </row>
    <row r="30" spans="1:10" x14ac:dyDescent="0.25">
      <c r="A30" s="5"/>
      <c r="B30" s="6"/>
      <c r="C30" s="6" t="s">
        <v>4</v>
      </c>
      <c r="D30" s="30"/>
      <c r="E30" s="30"/>
      <c r="F30" s="30"/>
      <c r="G30" s="30"/>
    </row>
    <row r="31" spans="1:10" x14ac:dyDescent="0.25">
      <c r="A31" s="5"/>
      <c r="B31" s="6"/>
      <c r="C31" s="6" t="s">
        <v>3</v>
      </c>
      <c r="D31" s="30"/>
      <c r="E31" s="30"/>
      <c r="F31" s="30"/>
      <c r="G31" s="30"/>
    </row>
    <row r="32" spans="1:10" x14ac:dyDescent="0.25">
      <c r="A32" s="5"/>
      <c r="B32" s="6"/>
      <c r="C32" s="6" t="s">
        <v>5</v>
      </c>
      <c r="D32" s="30"/>
      <c r="E32" s="30"/>
      <c r="F32" s="30"/>
      <c r="G32" s="30"/>
    </row>
    <row r="33" spans="1:7" x14ac:dyDescent="0.25">
      <c r="A33" s="5"/>
      <c r="B33" s="8"/>
      <c r="C33" s="8" t="s">
        <v>3</v>
      </c>
      <c r="D33" s="31"/>
      <c r="E33" s="31"/>
      <c r="F33" s="31"/>
      <c r="G33" s="31"/>
    </row>
    <row r="34" spans="1:7" x14ac:dyDescent="0.25">
      <c r="A34" s="5"/>
      <c r="B34" s="10" t="s">
        <v>11</v>
      </c>
      <c r="C34" s="6" t="s">
        <v>2</v>
      </c>
      <c r="D34" s="30"/>
      <c r="E34" s="30"/>
      <c r="F34" s="30"/>
      <c r="G34" s="30"/>
    </row>
    <row r="35" spans="1:7" x14ac:dyDescent="0.25">
      <c r="A35" s="5"/>
      <c r="B35" s="6"/>
      <c r="C35" s="6" t="s">
        <v>3</v>
      </c>
      <c r="D35" s="30"/>
      <c r="E35" s="30"/>
      <c r="F35" s="30"/>
      <c r="G35" s="30"/>
    </row>
    <row r="36" spans="1:7" x14ac:dyDescent="0.25">
      <c r="A36" s="5"/>
      <c r="B36" s="6"/>
      <c r="C36" s="6" t="s">
        <v>4</v>
      </c>
      <c r="D36" s="30"/>
      <c r="E36" s="30"/>
      <c r="F36" s="30"/>
      <c r="G36" s="30"/>
    </row>
    <row r="37" spans="1:7" x14ac:dyDescent="0.25">
      <c r="A37" s="5"/>
      <c r="B37" s="6"/>
      <c r="C37" s="6" t="s">
        <v>3</v>
      </c>
      <c r="D37" s="30"/>
      <c r="E37" s="30"/>
      <c r="F37" s="30"/>
      <c r="G37" s="30"/>
    </row>
    <row r="38" spans="1:7" x14ac:dyDescent="0.25">
      <c r="A38" s="5"/>
      <c r="B38" s="6"/>
      <c r="C38" s="6" t="s">
        <v>5</v>
      </c>
      <c r="D38" s="30"/>
      <c r="E38" s="30"/>
      <c r="F38" s="30"/>
      <c r="G38" s="30"/>
    </row>
    <row r="39" spans="1:7" x14ac:dyDescent="0.25">
      <c r="A39" s="5"/>
      <c r="B39" s="8"/>
      <c r="C39" s="8" t="s">
        <v>3</v>
      </c>
      <c r="D39" s="31"/>
      <c r="E39" s="31"/>
      <c r="F39" s="31"/>
      <c r="G39" s="31"/>
    </row>
    <row r="40" spans="1:7" x14ac:dyDescent="0.25">
      <c r="A40" s="5"/>
      <c r="B40" s="10" t="s">
        <v>12</v>
      </c>
      <c r="C40" s="6" t="s">
        <v>2</v>
      </c>
      <c r="D40" s="30"/>
      <c r="E40" s="30"/>
      <c r="F40" s="30"/>
      <c r="G40" s="30"/>
    </row>
    <row r="41" spans="1:7" x14ac:dyDescent="0.25">
      <c r="A41" s="5"/>
      <c r="B41" s="6"/>
      <c r="C41" s="6" t="s">
        <v>3</v>
      </c>
      <c r="D41" s="30"/>
      <c r="E41" s="30"/>
      <c r="F41" s="30"/>
      <c r="G41" s="30"/>
    </row>
    <row r="42" spans="1:7" x14ac:dyDescent="0.25">
      <c r="A42" s="5"/>
      <c r="B42" s="6"/>
      <c r="C42" s="6" t="s">
        <v>4</v>
      </c>
      <c r="D42" s="30"/>
      <c r="E42" s="30"/>
      <c r="F42" s="30"/>
      <c r="G42" s="30"/>
    </row>
    <row r="43" spans="1:7" x14ac:dyDescent="0.25">
      <c r="A43" s="5"/>
      <c r="B43" s="6"/>
      <c r="C43" s="6" t="s">
        <v>3</v>
      </c>
      <c r="D43" s="30"/>
      <c r="E43" s="30"/>
      <c r="F43" s="30"/>
      <c r="G43" s="30"/>
    </row>
    <row r="44" spans="1:7" x14ac:dyDescent="0.25">
      <c r="A44" s="5"/>
      <c r="B44" s="6"/>
      <c r="C44" s="6" t="s">
        <v>5</v>
      </c>
      <c r="D44" s="30"/>
      <c r="E44" s="30"/>
      <c r="F44" s="30"/>
      <c r="G44" s="30"/>
    </row>
    <row r="45" spans="1:7" x14ac:dyDescent="0.25">
      <c r="A45" s="5"/>
      <c r="B45" s="8"/>
      <c r="C45" s="8" t="s">
        <v>3</v>
      </c>
      <c r="D45" s="31"/>
      <c r="E45" s="31"/>
      <c r="F45" s="31"/>
      <c r="G45" s="31"/>
    </row>
    <row r="46" spans="1:7" x14ac:dyDescent="0.25">
      <c r="A46" s="5"/>
      <c r="B46" s="6" t="s">
        <v>13</v>
      </c>
      <c r="C46" s="6" t="s">
        <v>2</v>
      </c>
      <c r="D46" s="30"/>
      <c r="E46" s="30"/>
      <c r="F46" s="30"/>
      <c r="G46" s="30"/>
    </row>
    <row r="47" spans="1:7" x14ac:dyDescent="0.25">
      <c r="A47" s="5"/>
      <c r="B47" s="6"/>
      <c r="C47" s="6" t="s">
        <v>3</v>
      </c>
      <c r="D47" s="30"/>
      <c r="E47" s="30"/>
      <c r="F47" s="30"/>
      <c r="G47" s="30"/>
    </row>
    <row r="48" spans="1:7" x14ac:dyDescent="0.25">
      <c r="A48" s="5"/>
      <c r="B48" s="6"/>
      <c r="C48" s="6" t="s">
        <v>4</v>
      </c>
      <c r="D48" s="30"/>
      <c r="E48" s="30"/>
      <c r="F48" s="30"/>
      <c r="G48" s="30"/>
    </row>
    <row r="49" spans="1:7" x14ac:dyDescent="0.25">
      <c r="A49" s="5"/>
      <c r="B49" s="6"/>
      <c r="C49" s="6" t="s">
        <v>3</v>
      </c>
      <c r="D49" s="30"/>
      <c r="E49" s="30"/>
      <c r="F49" s="30"/>
      <c r="G49" s="30"/>
    </row>
    <row r="50" spans="1:7" x14ac:dyDescent="0.25">
      <c r="A50" s="5"/>
      <c r="B50" s="6"/>
      <c r="C50" s="6" t="s">
        <v>5</v>
      </c>
      <c r="D50" s="30"/>
      <c r="E50" s="30"/>
      <c r="F50" s="30"/>
      <c r="G50" s="30"/>
    </row>
    <row r="51" spans="1:7" x14ac:dyDescent="0.25">
      <c r="A51" s="5"/>
      <c r="B51" s="9"/>
      <c r="C51" s="8" t="s">
        <v>3</v>
      </c>
      <c r="D51" s="31"/>
      <c r="E51" s="31"/>
      <c r="F51" s="31"/>
      <c r="G51" s="31"/>
    </row>
    <row r="52" spans="1:7" x14ac:dyDescent="0.25">
      <c r="A52" s="1"/>
      <c r="B52" s="7" t="s">
        <v>14</v>
      </c>
      <c r="C52" s="6" t="s">
        <v>2</v>
      </c>
      <c r="D52" s="30"/>
      <c r="E52" s="30"/>
      <c r="F52" s="30"/>
      <c r="G52" s="30"/>
    </row>
    <row r="53" spans="1:7" x14ac:dyDescent="0.25">
      <c r="A53" s="1"/>
      <c r="C53" s="6" t="s">
        <v>4</v>
      </c>
      <c r="D53" s="30"/>
      <c r="E53" s="30"/>
      <c r="F53" s="30"/>
      <c r="G53" s="30"/>
    </row>
    <row r="54" spans="1:7" x14ac:dyDescent="0.25">
      <c r="A54" s="1"/>
      <c r="B54" s="11"/>
      <c r="C54" s="8" t="s">
        <v>5</v>
      </c>
      <c r="D54" s="31"/>
      <c r="E54" s="31"/>
      <c r="F54" s="31"/>
      <c r="G54" s="31"/>
    </row>
    <row r="55" spans="1:7" x14ac:dyDescent="0.25">
      <c r="A55" s="1"/>
      <c r="B55" s="7" t="s">
        <v>15</v>
      </c>
      <c r="C55" s="6" t="s">
        <v>2</v>
      </c>
      <c r="D55" s="32"/>
      <c r="E55" s="32"/>
      <c r="F55" s="32"/>
      <c r="G55" s="32"/>
    </row>
    <row r="56" spans="1:7" x14ac:dyDescent="0.25">
      <c r="A56" s="1"/>
      <c r="C56" s="6" t="s">
        <v>3</v>
      </c>
      <c r="D56" s="32"/>
      <c r="E56" s="32"/>
      <c r="F56" s="32"/>
      <c r="G56" s="32"/>
    </row>
    <row r="57" spans="1:7" x14ac:dyDescent="0.25">
      <c r="A57" s="1"/>
      <c r="C57" s="6" t="s">
        <v>4</v>
      </c>
      <c r="D57" s="32"/>
      <c r="E57" s="32"/>
      <c r="F57" s="32"/>
      <c r="G57" s="32"/>
    </row>
    <row r="58" spans="1:7" x14ac:dyDescent="0.25">
      <c r="A58" s="1"/>
      <c r="C58" s="6" t="s">
        <v>3</v>
      </c>
      <c r="D58" s="32"/>
      <c r="E58" s="32"/>
      <c r="F58" s="32"/>
      <c r="G58" s="32"/>
    </row>
    <row r="59" spans="1:7" x14ac:dyDescent="0.25">
      <c r="A59" s="1"/>
      <c r="C59" s="6" t="s">
        <v>5</v>
      </c>
      <c r="D59" s="32"/>
      <c r="E59" s="32"/>
      <c r="F59" s="32"/>
      <c r="G59" s="32"/>
    </row>
    <row r="60" spans="1:7" ht="13" thickBot="1" x14ac:dyDescent="0.3">
      <c r="A60" s="2"/>
      <c r="B60" s="14"/>
      <c r="C60" s="4" t="s">
        <v>3</v>
      </c>
      <c r="D60" s="33"/>
      <c r="E60" s="33"/>
      <c r="F60" s="33"/>
      <c r="G60" s="33"/>
    </row>
    <row r="61" spans="1:7" x14ac:dyDescent="0.25">
      <c r="A61" s="1"/>
      <c r="B61" s="7"/>
      <c r="C61" s="6"/>
      <c r="D61" s="27"/>
      <c r="E61" s="27"/>
      <c r="F61" s="27"/>
      <c r="G61" s="27"/>
    </row>
    <row r="62" spans="1:7" x14ac:dyDescent="0.25">
      <c r="A62" s="1"/>
      <c r="C62" s="6"/>
      <c r="D62" s="7"/>
      <c r="E62" s="7"/>
      <c r="F62" s="7"/>
      <c r="G62" s="7"/>
    </row>
    <row r="63" spans="1:7" x14ac:dyDescent="0.25">
      <c r="A63" s="1"/>
      <c r="C63" s="6"/>
      <c r="D63" s="7"/>
      <c r="E63" s="7"/>
      <c r="F63" s="7"/>
      <c r="G63" s="7"/>
    </row>
    <row r="64" spans="1:7" x14ac:dyDescent="0.25">
      <c r="A64" s="1"/>
      <c r="C64" s="6"/>
      <c r="D64" s="7"/>
      <c r="E64" s="7"/>
      <c r="F64" s="7"/>
      <c r="G64" s="7"/>
    </row>
    <row r="65" spans="1:7" x14ac:dyDescent="0.25">
      <c r="A65" s="1"/>
      <c r="C65" s="6"/>
      <c r="D65" s="7"/>
      <c r="E65" s="7"/>
      <c r="F65" s="7"/>
      <c r="G65" s="7"/>
    </row>
    <row r="66" spans="1:7" ht="13" thickBot="1" x14ac:dyDescent="0.3">
      <c r="A66" s="2"/>
      <c r="B66" s="14"/>
      <c r="C66" s="4"/>
      <c r="D66" s="26"/>
      <c r="E66" s="26"/>
      <c r="F66" s="26"/>
      <c r="G66" s="26"/>
    </row>
    <row r="67" spans="1:7" x14ac:dyDescent="0.25">
      <c r="A67" s="24"/>
      <c r="C67" s="6"/>
      <c r="D67" s="28"/>
      <c r="E67" s="28"/>
      <c r="F67" s="28"/>
      <c r="G67" s="28"/>
    </row>
    <row r="68" spans="1:7" x14ac:dyDescent="0.25">
      <c r="A68" s="1"/>
      <c r="C68" s="6"/>
      <c r="D68" s="28"/>
      <c r="E68" s="28"/>
      <c r="F68" s="28"/>
      <c r="G68" s="28"/>
    </row>
    <row r="69" spans="1:7" x14ac:dyDescent="0.25">
      <c r="A69" s="13"/>
      <c r="B69" s="12"/>
      <c r="C69" s="8"/>
      <c r="D69" s="29"/>
      <c r="E69" s="29"/>
      <c r="F69" s="29"/>
      <c r="G69" s="29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3:J73"/>
  <sheetViews>
    <sheetView zoomScale="75" workbookViewId="0">
      <selection activeCell="H30" sqref="H30"/>
    </sheetView>
  </sheetViews>
  <sheetFormatPr defaultColWidth="8.81640625" defaultRowHeight="12.5" x14ac:dyDescent="0.25"/>
  <sheetData>
    <row r="3" spans="1:7" ht="13" thickBot="1" x14ac:dyDescent="0.3">
      <c r="A3" s="3" t="s">
        <v>0</v>
      </c>
      <c r="B3" s="4"/>
      <c r="C3" s="4" t="s">
        <v>1</v>
      </c>
      <c r="D3" s="25" t="str">
        <f>Data!D3</f>
        <v>grasses</v>
      </c>
      <c r="E3" s="26" t="str">
        <f>Data!E3</f>
        <v>SAV</v>
      </c>
      <c r="F3" s="26" t="str">
        <f>Data!F3</f>
        <v>hardwoods</v>
      </c>
      <c r="G3" s="26" t="str">
        <f>Data!G3</f>
        <v>typha</v>
      </c>
    </row>
    <row r="4" spans="1:7" x14ac:dyDescent="0.25">
      <c r="A4" s="5"/>
      <c r="B4" s="6" t="s">
        <v>6</v>
      </c>
      <c r="C4" s="21" t="s">
        <v>2</v>
      </c>
      <c r="D4" s="7">
        <f>Data!D4</f>
        <v>-301.635374451377</v>
      </c>
      <c r="E4" s="7">
        <f>Data!E4</f>
        <v>-497.32439793100826</v>
      </c>
      <c r="F4" s="7">
        <f>Data!F4</f>
        <v>-635.18972449640194</v>
      </c>
      <c r="G4" s="7">
        <f>Data!G4</f>
        <v>-884.36632056814233</v>
      </c>
    </row>
    <row r="5" spans="1:7" x14ac:dyDescent="0.25">
      <c r="A5" s="5"/>
      <c r="B5" s="6"/>
      <c r="C5" s="21" t="s">
        <v>4</v>
      </c>
      <c r="D5" s="7">
        <f>Data!D6</f>
        <v>-753.63861042982683</v>
      </c>
      <c r="E5" s="7">
        <f>Data!E6</f>
        <v>-871.92704392800169</v>
      </c>
      <c r="F5" s="7">
        <f>Data!F6</f>
        <v>-1266.8515778377359</v>
      </c>
      <c r="G5" s="7">
        <f>Data!G6</f>
        <v>-1038.6273877069943</v>
      </c>
    </row>
    <row r="6" spans="1:7" x14ac:dyDescent="0.25">
      <c r="A6" s="5"/>
      <c r="B6" s="8"/>
      <c r="C6" s="22" t="s">
        <v>5</v>
      </c>
      <c r="D6" s="17">
        <f>Data!D8</f>
        <v>-434.81294092591634</v>
      </c>
      <c r="E6" s="17">
        <f>Data!E8</f>
        <v>-944.26844876540133</v>
      </c>
      <c r="F6" s="17">
        <f>Data!F8</f>
        <v>-1070.3202312459441</v>
      </c>
      <c r="G6" s="17">
        <f>Data!G8</f>
        <v>-591.59292742892251</v>
      </c>
    </row>
    <row r="7" spans="1:7" x14ac:dyDescent="0.25">
      <c r="A7" s="5"/>
      <c r="B7" s="6"/>
      <c r="C7" s="21" t="s">
        <v>16</v>
      </c>
      <c r="D7" s="7">
        <f t="shared" ref="D7:G7" si="0">AVERAGE(D4:D6)</f>
        <v>-496.69564193570676</v>
      </c>
      <c r="E7" s="7">
        <f t="shared" si="0"/>
        <v>-771.17329687480378</v>
      </c>
      <c r="F7" s="7">
        <f t="shared" si="0"/>
        <v>-990.78717786002744</v>
      </c>
      <c r="G7" s="7">
        <f t="shared" si="0"/>
        <v>-838.19554523468639</v>
      </c>
    </row>
    <row r="8" spans="1:7" x14ac:dyDescent="0.25">
      <c r="A8" s="5"/>
      <c r="B8" s="8"/>
      <c r="C8" s="23" t="s">
        <v>3</v>
      </c>
      <c r="D8" s="17">
        <f t="shared" ref="D8:G8" si="1">STDEV(D4:D6)/SQRT(3)</f>
        <v>134.1005006788414</v>
      </c>
      <c r="E8" s="17">
        <f t="shared" si="1"/>
        <v>138.50780279224827</v>
      </c>
      <c r="F8" s="17">
        <f t="shared" si="1"/>
        <v>186.63092292661233</v>
      </c>
      <c r="G8" s="17">
        <f t="shared" si="1"/>
        <v>131.09634820771603</v>
      </c>
    </row>
    <row r="9" spans="1:7" x14ac:dyDescent="0.25">
      <c r="A9" s="5"/>
      <c r="B9" s="6" t="s">
        <v>8</v>
      </c>
      <c r="C9" s="21" t="s">
        <v>2</v>
      </c>
      <c r="D9" s="7">
        <f>Data!D10</f>
        <v>-0.79437752693678088</v>
      </c>
      <c r="E9" s="7">
        <f>Data!E10</f>
        <v>-1.256036288866502</v>
      </c>
      <c r="F9" s="7">
        <f>Data!F10</f>
        <v>1.0747414233471027</v>
      </c>
      <c r="G9" s="7">
        <f>Data!G10</f>
        <v>25.140175032395529</v>
      </c>
    </row>
    <row r="10" spans="1:7" x14ac:dyDescent="0.25">
      <c r="A10" s="5"/>
      <c r="B10" s="6"/>
      <c r="C10" s="21" t="s">
        <v>4</v>
      </c>
      <c r="D10" s="7">
        <f>Data!D12</f>
        <v>-1.2779629124220975</v>
      </c>
      <c r="E10" s="7">
        <f>Data!E12</f>
        <v>5.0778551970585903</v>
      </c>
      <c r="F10" s="7">
        <f>Data!F12</f>
        <v>1.7685663946481434</v>
      </c>
      <c r="G10" s="7">
        <f>Data!G12</f>
        <v>5.9899443918795461</v>
      </c>
    </row>
    <row r="11" spans="1:7" x14ac:dyDescent="0.25">
      <c r="A11" s="5"/>
      <c r="B11" s="8"/>
      <c r="C11" s="22" t="s">
        <v>5</v>
      </c>
      <c r="D11" s="17">
        <f>Data!D14</f>
        <v>17.208454578232022</v>
      </c>
      <c r="E11" s="17">
        <f>Data!E14</f>
        <v>3.904706946823314</v>
      </c>
      <c r="F11" s="17">
        <f>Data!F14</f>
        <v>26.811998542283586</v>
      </c>
      <c r="G11" s="17">
        <f>Data!G14</f>
        <v>31.459685190490006</v>
      </c>
    </row>
    <row r="12" spans="1:7" x14ac:dyDescent="0.25">
      <c r="A12" s="5"/>
      <c r="B12" s="6"/>
      <c r="C12" s="21" t="s">
        <v>16</v>
      </c>
      <c r="D12" s="7">
        <f t="shared" ref="D12:G12" si="2">AVERAGE(D9:D11)</f>
        <v>5.0453713796243811</v>
      </c>
      <c r="E12" s="7">
        <f t="shared" si="2"/>
        <v>2.5755086183384672</v>
      </c>
      <c r="F12" s="7">
        <f t="shared" si="2"/>
        <v>9.8851021200929434</v>
      </c>
      <c r="G12" s="7">
        <f t="shared" si="2"/>
        <v>20.863268204921695</v>
      </c>
    </row>
    <row r="13" spans="1:7" x14ac:dyDescent="0.25">
      <c r="A13" s="5"/>
      <c r="B13" s="8"/>
      <c r="C13" s="23" t="s">
        <v>3</v>
      </c>
      <c r="D13" s="17">
        <f t="shared" ref="D13:G13" si="3">STDEV(D9:D11)/SQRT(3)</f>
        <v>6.0831436055834471</v>
      </c>
      <c r="E13" s="17">
        <f t="shared" si="3"/>
        <v>1.9454752192548204</v>
      </c>
      <c r="F13" s="17">
        <f t="shared" si="3"/>
        <v>8.4658178407518694</v>
      </c>
      <c r="G13" s="17">
        <f t="shared" si="3"/>
        <v>7.6571507558897665</v>
      </c>
    </row>
    <row r="14" spans="1:7" x14ac:dyDescent="0.25">
      <c r="A14" s="5"/>
      <c r="B14" s="6" t="s">
        <v>7</v>
      </c>
      <c r="C14" s="21" t="s">
        <v>2</v>
      </c>
      <c r="D14" s="30">
        <f>Data!D16</f>
        <v>0</v>
      </c>
      <c r="E14" s="30">
        <f>Data!E16</f>
        <v>0</v>
      </c>
      <c r="F14" s="30">
        <f>Data!F16</f>
        <v>0</v>
      </c>
      <c r="G14" s="30">
        <f>Data!G16</f>
        <v>0</v>
      </c>
    </row>
    <row r="15" spans="1:7" x14ac:dyDescent="0.25">
      <c r="A15" s="5"/>
      <c r="B15" s="6"/>
      <c r="C15" s="21" t="s">
        <v>4</v>
      </c>
      <c r="D15" s="30">
        <f>Data!D18</f>
        <v>0</v>
      </c>
      <c r="E15" s="30">
        <f>Data!E18</f>
        <v>0</v>
      </c>
      <c r="F15" s="30">
        <f>Data!F18</f>
        <v>0</v>
      </c>
      <c r="G15" s="30">
        <f>Data!G18</f>
        <v>0</v>
      </c>
    </row>
    <row r="16" spans="1:7" x14ac:dyDescent="0.25">
      <c r="A16" s="5"/>
      <c r="B16" s="8"/>
      <c r="C16" s="22" t="s">
        <v>5</v>
      </c>
      <c r="D16" s="31">
        <f>Data!D20</f>
        <v>0</v>
      </c>
      <c r="E16" s="31">
        <f>Data!E20</f>
        <v>0</v>
      </c>
      <c r="F16" s="31">
        <f>Data!F20</f>
        <v>0</v>
      </c>
      <c r="G16" s="31">
        <f>Data!G20</f>
        <v>0</v>
      </c>
    </row>
    <row r="17" spans="1:10" x14ac:dyDescent="0.25">
      <c r="A17" s="5"/>
      <c r="B17" s="6"/>
      <c r="C17" s="21" t="s">
        <v>16</v>
      </c>
      <c r="D17" s="30">
        <f t="shared" ref="D17:G17" si="4">AVERAGE(D14:D16)</f>
        <v>0</v>
      </c>
      <c r="E17" s="30">
        <f t="shared" si="4"/>
        <v>0</v>
      </c>
      <c r="F17" s="30">
        <f t="shared" si="4"/>
        <v>0</v>
      </c>
      <c r="G17" s="30">
        <f t="shared" si="4"/>
        <v>0</v>
      </c>
    </row>
    <row r="18" spans="1:10" x14ac:dyDescent="0.25">
      <c r="A18" s="5"/>
      <c r="B18" s="8"/>
      <c r="C18" s="23" t="s">
        <v>3</v>
      </c>
      <c r="D18" s="31">
        <f t="shared" ref="D18:G18" si="5">STDEV(D14:D16)/SQRT(3)</f>
        <v>0</v>
      </c>
      <c r="E18" s="31">
        <f t="shared" si="5"/>
        <v>0</v>
      </c>
      <c r="F18" s="31">
        <f t="shared" si="5"/>
        <v>0</v>
      </c>
      <c r="G18" s="31">
        <f t="shared" si="5"/>
        <v>0</v>
      </c>
    </row>
    <row r="19" spans="1:10" x14ac:dyDescent="0.25">
      <c r="A19" s="5"/>
      <c r="B19" s="6" t="s">
        <v>9</v>
      </c>
      <c r="C19" s="21" t="s">
        <v>2</v>
      </c>
      <c r="D19" s="30">
        <f>Data!D22</f>
        <v>0</v>
      </c>
      <c r="E19" s="30">
        <f>Data!E22</f>
        <v>0</v>
      </c>
      <c r="F19" s="30">
        <f>Data!F22</f>
        <v>0</v>
      </c>
      <c r="G19" s="30">
        <f>Data!G22</f>
        <v>0</v>
      </c>
    </row>
    <row r="20" spans="1:10" x14ac:dyDescent="0.25">
      <c r="A20" s="5"/>
      <c r="B20" s="6"/>
      <c r="C20" s="21" t="s">
        <v>4</v>
      </c>
      <c r="D20" s="30">
        <f>Data!D24</f>
        <v>0</v>
      </c>
      <c r="E20" s="30">
        <f>Data!E24</f>
        <v>0</v>
      </c>
      <c r="F20" s="30">
        <f>Data!F24</f>
        <v>0</v>
      </c>
      <c r="G20" s="30">
        <f>Data!G24</f>
        <v>0</v>
      </c>
    </row>
    <row r="21" spans="1:10" x14ac:dyDescent="0.25">
      <c r="A21" s="5"/>
      <c r="B21" s="8"/>
      <c r="C21" s="22" t="s">
        <v>5</v>
      </c>
      <c r="D21" s="31">
        <f>Data!D26</f>
        <v>0</v>
      </c>
      <c r="E21" s="31">
        <f>Data!E26</f>
        <v>0</v>
      </c>
      <c r="F21" s="31">
        <f>Data!F26</f>
        <v>0</v>
      </c>
      <c r="G21" s="31">
        <f>Data!G26</f>
        <v>0</v>
      </c>
      <c r="J21" s="7"/>
    </row>
    <row r="22" spans="1:10" x14ac:dyDescent="0.25">
      <c r="A22" s="5"/>
      <c r="B22" s="6"/>
      <c r="C22" s="21" t="s">
        <v>16</v>
      </c>
      <c r="D22" s="30">
        <f t="shared" ref="D22:G22" si="6">AVERAGE(D19:D21)</f>
        <v>0</v>
      </c>
      <c r="E22" s="30">
        <f t="shared" si="6"/>
        <v>0</v>
      </c>
      <c r="F22" s="30">
        <f t="shared" si="6"/>
        <v>0</v>
      </c>
      <c r="G22" s="30">
        <f t="shared" si="6"/>
        <v>0</v>
      </c>
      <c r="J22" s="7"/>
    </row>
    <row r="23" spans="1:10" x14ac:dyDescent="0.25">
      <c r="A23" s="5"/>
      <c r="B23" s="8"/>
      <c r="C23" s="23" t="s">
        <v>3</v>
      </c>
      <c r="D23" s="31">
        <f t="shared" ref="D23:G23" si="7">STDEV(D19:D21)/SQRT(3)</f>
        <v>0</v>
      </c>
      <c r="E23" s="31">
        <f t="shared" si="7"/>
        <v>0</v>
      </c>
      <c r="F23" s="31">
        <f t="shared" si="7"/>
        <v>0</v>
      </c>
      <c r="G23" s="31">
        <f t="shared" si="7"/>
        <v>0</v>
      </c>
      <c r="J23" s="7"/>
    </row>
    <row r="24" spans="1:10" x14ac:dyDescent="0.25">
      <c r="A24" s="5"/>
      <c r="B24" s="6" t="s">
        <v>10</v>
      </c>
      <c r="C24" s="21" t="s">
        <v>2</v>
      </c>
      <c r="D24" s="30"/>
      <c r="E24" s="30">
        <f>Data!E28</f>
        <v>0</v>
      </c>
      <c r="F24" s="30">
        <f>Data!F28</f>
        <v>0</v>
      </c>
      <c r="G24" s="30"/>
      <c r="J24" s="7"/>
    </row>
    <row r="25" spans="1:10" x14ac:dyDescent="0.25">
      <c r="A25" s="5"/>
      <c r="B25" s="6"/>
      <c r="C25" s="21" t="s">
        <v>4</v>
      </c>
      <c r="D25" s="30"/>
      <c r="E25" s="30">
        <f>Data!E30</f>
        <v>0</v>
      </c>
      <c r="F25" s="30">
        <f>Data!F30</f>
        <v>0</v>
      </c>
      <c r="G25" s="30"/>
    </row>
    <row r="26" spans="1:10" x14ac:dyDescent="0.25">
      <c r="A26" s="5"/>
      <c r="B26" s="8"/>
      <c r="C26" s="22" t="s">
        <v>5</v>
      </c>
      <c r="D26" s="31"/>
      <c r="E26" s="31">
        <f>Data!E32</f>
        <v>0</v>
      </c>
      <c r="F26" s="31">
        <f>Data!F32</f>
        <v>0</v>
      </c>
      <c r="G26" s="31"/>
    </row>
    <row r="27" spans="1:10" x14ac:dyDescent="0.25">
      <c r="A27" s="5"/>
      <c r="B27" s="6"/>
      <c r="C27" s="21" t="s">
        <v>16</v>
      </c>
      <c r="D27" s="30"/>
      <c r="E27" s="30">
        <f>AVERAGE(E24:E26)</f>
        <v>0</v>
      </c>
      <c r="F27" s="30">
        <f>AVERAGE(F24:F26)</f>
        <v>0</v>
      </c>
      <c r="G27" s="30"/>
    </row>
    <row r="28" spans="1:10" x14ac:dyDescent="0.25">
      <c r="A28" s="5"/>
      <c r="B28" s="8"/>
      <c r="C28" s="23" t="s">
        <v>3</v>
      </c>
      <c r="D28" s="31"/>
      <c r="E28" s="31">
        <f>STDEV(E24:E26)/SQRT(3)</f>
        <v>0</v>
      </c>
      <c r="F28" s="31">
        <f>STDEV(F24:F26)/SQRT(3)</f>
        <v>0</v>
      </c>
      <c r="G28" s="31"/>
    </row>
    <row r="29" spans="1:10" x14ac:dyDescent="0.25">
      <c r="A29" s="5"/>
      <c r="B29" s="10" t="s">
        <v>11</v>
      </c>
      <c r="C29" s="21" t="s">
        <v>2</v>
      </c>
      <c r="D29" s="30"/>
      <c r="E29" s="30">
        <f>Data!E34</f>
        <v>0</v>
      </c>
      <c r="F29" s="30">
        <f>Data!F34</f>
        <v>0</v>
      </c>
      <c r="G29" s="30"/>
    </row>
    <row r="30" spans="1:10" x14ac:dyDescent="0.25">
      <c r="A30" s="5"/>
      <c r="B30" s="6"/>
      <c r="C30" s="21" t="s">
        <v>4</v>
      </c>
      <c r="D30" s="30"/>
      <c r="E30" s="30">
        <f>Data!E36</f>
        <v>0</v>
      </c>
      <c r="F30" s="30">
        <f>Data!F36</f>
        <v>0</v>
      </c>
      <c r="G30" s="30"/>
    </row>
    <row r="31" spans="1:10" x14ac:dyDescent="0.25">
      <c r="A31" s="5"/>
      <c r="B31" s="8"/>
      <c r="C31" s="22" t="s">
        <v>5</v>
      </c>
      <c r="D31" s="31"/>
      <c r="E31" s="31">
        <f>Data!E38</f>
        <v>0</v>
      </c>
      <c r="F31" s="31">
        <f>Data!F38</f>
        <v>0</v>
      </c>
      <c r="G31" s="31"/>
    </row>
    <row r="32" spans="1:10" x14ac:dyDescent="0.25">
      <c r="A32" s="5"/>
      <c r="B32" s="6"/>
      <c r="C32" s="21" t="s">
        <v>16</v>
      </c>
      <c r="D32" s="30"/>
      <c r="E32" s="30">
        <f>AVERAGE(E29:E31)</f>
        <v>0</v>
      </c>
      <c r="F32" s="30">
        <f>AVERAGE(F29:F31)</f>
        <v>0</v>
      </c>
      <c r="G32" s="30"/>
    </row>
    <row r="33" spans="1:7" x14ac:dyDescent="0.25">
      <c r="A33" s="5"/>
      <c r="B33" s="8"/>
      <c r="C33" s="23" t="s">
        <v>3</v>
      </c>
      <c r="D33" s="31"/>
      <c r="E33" s="31">
        <f>STDEV(E29:E31)/SQRT(3)</f>
        <v>0</v>
      </c>
      <c r="F33" s="31">
        <f>STDEV(F29:F31)/SQRT(3)</f>
        <v>0</v>
      </c>
      <c r="G33" s="31"/>
    </row>
    <row r="34" spans="1:7" x14ac:dyDescent="0.25">
      <c r="A34" s="5"/>
      <c r="B34" s="10" t="s">
        <v>12</v>
      </c>
      <c r="C34" s="21" t="s">
        <v>2</v>
      </c>
      <c r="D34" s="30">
        <f>Data!D40</f>
        <v>0</v>
      </c>
      <c r="E34" s="30">
        <f>Data!E40</f>
        <v>0</v>
      </c>
      <c r="F34" s="30">
        <f>Data!F40</f>
        <v>0</v>
      </c>
      <c r="G34" s="30">
        <f>Data!G40</f>
        <v>0</v>
      </c>
    </row>
    <row r="35" spans="1:7" x14ac:dyDescent="0.25">
      <c r="A35" s="5"/>
      <c r="B35" s="6"/>
      <c r="C35" s="21" t="s">
        <v>4</v>
      </c>
      <c r="D35" s="30">
        <f>Data!D42</f>
        <v>0</v>
      </c>
      <c r="E35" s="30">
        <f>Data!E42</f>
        <v>0</v>
      </c>
      <c r="F35" s="30">
        <f>Data!F42</f>
        <v>0</v>
      </c>
      <c r="G35" s="30">
        <f>Data!G42</f>
        <v>0</v>
      </c>
    </row>
    <row r="36" spans="1:7" x14ac:dyDescent="0.25">
      <c r="A36" s="5"/>
      <c r="B36" s="8"/>
      <c r="C36" s="22" t="s">
        <v>5</v>
      </c>
      <c r="D36" s="31">
        <f>Data!D44</f>
        <v>0</v>
      </c>
      <c r="E36" s="31">
        <f>Data!E44</f>
        <v>0</v>
      </c>
      <c r="F36" s="31">
        <f>Data!F44</f>
        <v>0</v>
      </c>
      <c r="G36" s="31">
        <f>Data!G44</f>
        <v>0</v>
      </c>
    </row>
    <row r="37" spans="1:7" x14ac:dyDescent="0.25">
      <c r="A37" s="5"/>
      <c r="B37" s="6"/>
      <c r="C37" s="21" t="s">
        <v>16</v>
      </c>
      <c r="D37" s="30">
        <f t="shared" ref="D37:G37" si="8">AVERAGE(D34:D36)</f>
        <v>0</v>
      </c>
      <c r="E37" s="30">
        <f t="shared" si="8"/>
        <v>0</v>
      </c>
      <c r="F37" s="30">
        <f t="shared" si="8"/>
        <v>0</v>
      </c>
      <c r="G37" s="30">
        <f t="shared" si="8"/>
        <v>0</v>
      </c>
    </row>
    <row r="38" spans="1:7" x14ac:dyDescent="0.25">
      <c r="A38" s="5"/>
      <c r="B38" s="8"/>
      <c r="C38" s="23" t="s">
        <v>3</v>
      </c>
      <c r="D38" s="31">
        <f t="shared" ref="D38:G38" si="9">STDEV(D34:D36)/SQRT(3)</f>
        <v>0</v>
      </c>
      <c r="E38" s="31">
        <f t="shared" si="9"/>
        <v>0</v>
      </c>
      <c r="F38" s="31">
        <f t="shared" si="9"/>
        <v>0</v>
      </c>
      <c r="G38" s="31">
        <f t="shared" si="9"/>
        <v>0</v>
      </c>
    </row>
    <row r="39" spans="1:7" x14ac:dyDescent="0.25">
      <c r="A39" s="5"/>
      <c r="B39" s="6" t="s">
        <v>13</v>
      </c>
      <c r="C39" s="21" t="s">
        <v>2</v>
      </c>
      <c r="D39" s="30"/>
      <c r="E39" s="30"/>
      <c r="F39" s="30">
        <f>Data!F46</f>
        <v>0</v>
      </c>
      <c r="G39" s="30"/>
    </row>
    <row r="40" spans="1:7" x14ac:dyDescent="0.25">
      <c r="A40" s="5"/>
      <c r="B40" s="6"/>
      <c r="C40" s="21" t="s">
        <v>4</v>
      </c>
      <c r="D40" s="30"/>
      <c r="E40" s="30"/>
      <c r="F40" s="30">
        <f>Data!F48</f>
        <v>0</v>
      </c>
      <c r="G40" s="30"/>
    </row>
    <row r="41" spans="1:7" x14ac:dyDescent="0.25">
      <c r="A41" s="5"/>
      <c r="B41" s="8"/>
      <c r="C41" s="22" t="s">
        <v>5</v>
      </c>
      <c r="D41" s="31"/>
      <c r="E41" s="31"/>
      <c r="F41" s="31">
        <f>Data!F50</f>
        <v>0</v>
      </c>
      <c r="G41" s="31"/>
    </row>
    <row r="42" spans="1:7" x14ac:dyDescent="0.25">
      <c r="A42" s="5"/>
      <c r="C42" s="21" t="s">
        <v>16</v>
      </c>
      <c r="D42" s="30"/>
      <c r="E42" s="30"/>
      <c r="F42" s="30">
        <f>AVERAGE(F39:F41)</f>
        <v>0</v>
      </c>
      <c r="G42" s="30"/>
    </row>
    <row r="43" spans="1:7" x14ac:dyDescent="0.25">
      <c r="A43" s="5"/>
      <c r="B43" s="11"/>
      <c r="C43" s="23" t="s">
        <v>3</v>
      </c>
      <c r="D43" s="31"/>
      <c r="E43" s="31"/>
      <c r="F43" s="31">
        <f>STDEV(F39:F41)/SQRT(3)</f>
        <v>0</v>
      </c>
      <c r="G43" s="31"/>
    </row>
    <row r="44" spans="1:7" x14ac:dyDescent="0.25">
      <c r="A44" s="5"/>
      <c r="B44" s="7" t="s">
        <v>14</v>
      </c>
      <c r="C44" s="21" t="s">
        <v>2</v>
      </c>
      <c r="D44" s="32"/>
      <c r="E44" s="32">
        <f>Data!E52</f>
        <v>0</v>
      </c>
      <c r="F44" s="32">
        <f>Data!F52</f>
        <v>0</v>
      </c>
      <c r="G44" s="32"/>
    </row>
    <row r="45" spans="1:7" x14ac:dyDescent="0.25">
      <c r="A45" s="5"/>
      <c r="C45" s="21" t="s">
        <v>4</v>
      </c>
      <c r="D45" s="32"/>
      <c r="E45" s="32">
        <f>Data!E53</f>
        <v>0</v>
      </c>
      <c r="F45" s="32">
        <f>Data!F53</f>
        <v>0</v>
      </c>
      <c r="G45" s="32"/>
    </row>
    <row r="46" spans="1:7" x14ac:dyDescent="0.25">
      <c r="A46" s="5"/>
      <c r="B46" s="11"/>
      <c r="C46" s="22" t="s">
        <v>5</v>
      </c>
      <c r="D46" s="39"/>
      <c r="E46" s="39">
        <f>Data!E54</f>
        <v>0</v>
      </c>
      <c r="F46" s="39">
        <f>Data!F54</f>
        <v>0</v>
      </c>
      <c r="G46" s="39"/>
    </row>
    <row r="47" spans="1:7" x14ac:dyDescent="0.25">
      <c r="A47" s="5"/>
      <c r="C47" s="21" t="s">
        <v>16</v>
      </c>
      <c r="D47" s="30"/>
      <c r="E47" s="30">
        <f>AVERAGE(E44:E46)</f>
        <v>0</v>
      </c>
      <c r="F47" s="30">
        <f>AVERAGE(F44:F46)</f>
        <v>0</v>
      </c>
      <c r="G47" s="30"/>
    </row>
    <row r="48" spans="1:7" x14ac:dyDescent="0.25">
      <c r="A48" s="5"/>
      <c r="B48" s="11"/>
      <c r="C48" s="23" t="s">
        <v>3</v>
      </c>
      <c r="D48" s="31"/>
      <c r="E48" s="31">
        <f>STDEV(E44:E46)/SQRT(3)</f>
        <v>0</v>
      </c>
      <c r="F48" s="31">
        <f>STDEV(F44:F46)/SQRT(3)</f>
        <v>0</v>
      </c>
      <c r="G48" s="31"/>
    </row>
    <row r="49" spans="1:7" x14ac:dyDescent="0.25">
      <c r="A49" s="5"/>
      <c r="B49" s="7" t="s">
        <v>15</v>
      </c>
      <c r="C49" s="21" t="s">
        <v>2</v>
      </c>
      <c r="D49" s="30">
        <f>Data!D55</f>
        <v>0</v>
      </c>
      <c r="E49" s="30">
        <f>Data!E55</f>
        <v>0</v>
      </c>
      <c r="F49" s="30">
        <f>Data!F55</f>
        <v>0</v>
      </c>
      <c r="G49" s="30">
        <f>Data!G55</f>
        <v>0</v>
      </c>
    </row>
    <row r="50" spans="1:7" x14ac:dyDescent="0.25">
      <c r="A50" s="5"/>
      <c r="C50" s="21" t="s">
        <v>4</v>
      </c>
      <c r="D50" s="30">
        <f>Data!D57</f>
        <v>0</v>
      </c>
      <c r="E50" s="30">
        <f>Data!E57</f>
        <v>0</v>
      </c>
      <c r="F50" s="30">
        <f>Data!F57</f>
        <v>0</v>
      </c>
      <c r="G50" s="30">
        <f>Data!G57</f>
        <v>0</v>
      </c>
    </row>
    <row r="51" spans="1:7" x14ac:dyDescent="0.25">
      <c r="A51" s="5"/>
      <c r="B51" s="11"/>
      <c r="C51" s="22" t="s">
        <v>5</v>
      </c>
      <c r="D51" s="31">
        <f>Data!D59</f>
        <v>0</v>
      </c>
      <c r="E51" s="31">
        <f>Data!E59</f>
        <v>0</v>
      </c>
      <c r="F51" s="31">
        <f>Data!F59</f>
        <v>0</v>
      </c>
      <c r="G51" s="31">
        <f>Data!G59</f>
        <v>0</v>
      </c>
    </row>
    <row r="52" spans="1:7" x14ac:dyDescent="0.25">
      <c r="A52" s="1"/>
      <c r="B52" s="15"/>
      <c r="C52" s="21" t="s">
        <v>16</v>
      </c>
      <c r="D52" s="30">
        <f t="shared" ref="D52:G52" si="10">AVERAGE(D49:D51)</f>
        <v>0</v>
      </c>
      <c r="E52" s="30">
        <f t="shared" si="10"/>
        <v>0</v>
      </c>
      <c r="F52" s="30">
        <f t="shared" si="10"/>
        <v>0</v>
      </c>
      <c r="G52" s="30">
        <f t="shared" si="10"/>
        <v>0</v>
      </c>
    </row>
    <row r="53" spans="1:7" x14ac:dyDescent="0.25">
      <c r="A53" s="1"/>
      <c r="B53" s="16"/>
      <c r="C53" s="23" t="s">
        <v>3</v>
      </c>
      <c r="D53" s="31">
        <f t="shared" ref="D53:G53" si="11">STDEV(D49:D51)/SQRT(3)</f>
        <v>0</v>
      </c>
      <c r="E53" s="31">
        <f t="shared" si="11"/>
        <v>0</v>
      </c>
      <c r="F53" s="31">
        <f t="shared" si="11"/>
        <v>0</v>
      </c>
      <c r="G53" s="31">
        <f t="shared" si="11"/>
        <v>0</v>
      </c>
    </row>
    <row r="54" spans="1:7" x14ac:dyDescent="0.25">
      <c r="A54" s="1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phoneticPr fontId="1" type="noConversion"/>
  <pageMargins left="0.75" right="0.75" top="1" bottom="1" header="0.5" footer="0.5"/>
  <pageSetup orientation="portrait" horizontalDpi="4294967293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</vt:vector>
  </HeadingPairs>
  <TitlesOfParts>
    <vt:vector size="6" baseType="lpstr">
      <vt:lpstr>Data</vt:lpstr>
      <vt:lpstr>ANOVA</vt:lpstr>
      <vt:lpstr>SOD</vt:lpstr>
      <vt:lpstr>28</vt:lpstr>
      <vt:lpstr>AvgSOD</vt:lpstr>
      <vt:lpstr>AvgDNF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McCarthy</dc:creator>
  <cp:lastModifiedBy>Mike Back</cp:lastModifiedBy>
  <cp:lastPrinted>2006-10-13T20:29:07Z</cp:lastPrinted>
  <dcterms:created xsi:type="dcterms:W3CDTF">2006-06-21T17:56:57Z</dcterms:created>
  <dcterms:modified xsi:type="dcterms:W3CDTF">2023-03-27T17:22:19Z</dcterms:modified>
</cp:coreProperties>
</file>