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13_ncr:1_{BC054C66-0652-41B8-9AEE-63516FCCF38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ata" sheetId="1" r:id="rId1"/>
    <sheet name="Regs" sheetId="4" r:id="rId2"/>
    <sheet name="28N2-O2" sheetId="5" r:id="rId3"/>
    <sheet name="30N2" sheetId="6" r:id="rId4"/>
    <sheet name="29N2" sheetId="7" r:id="rId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3" i="5" l="1"/>
  <c r="M82" i="5"/>
  <c r="N82" i="5"/>
  <c r="N79" i="5"/>
  <c r="M79" i="5"/>
  <c r="M76" i="5"/>
  <c r="M85" i="5"/>
  <c r="M40" i="5"/>
  <c r="M22" i="5"/>
  <c r="Q19" i="5"/>
  <c r="P19" i="5"/>
  <c r="O19" i="5"/>
  <c r="N19" i="5"/>
  <c r="M19" i="5"/>
  <c r="Q22" i="5"/>
  <c r="P22" i="5"/>
  <c r="O22" i="5"/>
  <c r="N22" i="5"/>
  <c r="N25" i="5"/>
  <c r="E258" i="5"/>
  <c r="F258" i="5"/>
  <c r="D258" i="5"/>
  <c r="E257" i="5"/>
  <c r="F257" i="5"/>
  <c r="D257" i="5"/>
  <c r="E256" i="5"/>
  <c r="F256" i="5"/>
  <c r="D256" i="5"/>
  <c r="E255" i="5"/>
  <c r="F255" i="5"/>
  <c r="D255" i="5"/>
  <c r="E254" i="5"/>
  <c r="F254" i="5"/>
  <c r="D254" i="5"/>
  <c r="E253" i="5"/>
  <c r="F253" i="5"/>
  <c r="D253" i="5"/>
  <c r="E243" i="5"/>
  <c r="F243" i="5"/>
  <c r="D243" i="5"/>
  <c r="E242" i="5"/>
  <c r="F242" i="5"/>
  <c r="D242" i="5"/>
  <c r="E241" i="5"/>
  <c r="F241" i="5"/>
  <c r="D241" i="5"/>
  <c r="E240" i="5"/>
  <c r="F240" i="5"/>
  <c r="D240" i="5"/>
  <c r="E239" i="5"/>
  <c r="F239" i="5"/>
  <c r="D239" i="5"/>
  <c r="E238" i="5"/>
  <c r="F238" i="5"/>
  <c r="D238" i="5"/>
  <c r="E228" i="5"/>
  <c r="F228" i="5"/>
  <c r="D228" i="5"/>
  <c r="E227" i="5"/>
  <c r="F227" i="5"/>
  <c r="D227" i="5"/>
  <c r="E226" i="5"/>
  <c r="F226" i="5"/>
  <c r="D226" i="5"/>
  <c r="E225" i="5"/>
  <c r="F225" i="5"/>
  <c r="D225" i="5"/>
  <c r="E224" i="5"/>
  <c r="F224" i="5"/>
  <c r="D224" i="5"/>
  <c r="E223" i="5"/>
  <c r="F223" i="5"/>
  <c r="D223" i="5"/>
  <c r="E213" i="5"/>
  <c r="F213" i="5"/>
  <c r="D213" i="5"/>
  <c r="E212" i="5"/>
  <c r="F212" i="5"/>
  <c r="D212" i="5"/>
  <c r="E211" i="5"/>
  <c r="F211" i="5"/>
  <c r="D211" i="5"/>
  <c r="E210" i="5"/>
  <c r="F210" i="5"/>
  <c r="D210" i="5"/>
  <c r="E209" i="5"/>
  <c r="F209" i="5"/>
  <c r="D209" i="5"/>
  <c r="E208" i="5"/>
  <c r="F208" i="5"/>
  <c r="D208" i="5"/>
  <c r="E198" i="5"/>
  <c r="F198" i="5"/>
  <c r="D198" i="5"/>
  <c r="E197" i="5"/>
  <c r="F197" i="5"/>
  <c r="D197" i="5"/>
  <c r="E196" i="5"/>
  <c r="F196" i="5"/>
  <c r="D196" i="5"/>
  <c r="E195" i="5"/>
  <c r="F195" i="5"/>
  <c r="D195" i="5"/>
  <c r="E194" i="5"/>
  <c r="F194" i="5"/>
  <c r="D194" i="5"/>
  <c r="E193" i="5"/>
  <c r="F193" i="5"/>
  <c r="D193" i="5"/>
  <c r="E183" i="5"/>
  <c r="F183" i="5"/>
  <c r="D183" i="5"/>
  <c r="E182" i="5"/>
  <c r="F182" i="5"/>
  <c r="D182" i="5"/>
  <c r="E181" i="5"/>
  <c r="F181" i="5"/>
  <c r="D181" i="5"/>
  <c r="E180" i="5"/>
  <c r="F180" i="5"/>
  <c r="D180" i="5"/>
  <c r="E179" i="5"/>
  <c r="F179" i="5"/>
  <c r="D179" i="5"/>
  <c r="E178" i="5"/>
  <c r="F178" i="5"/>
  <c r="D178" i="5"/>
  <c r="E168" i="5"/>
  <c r="F168" i="5"/>
  <c r="D168" i="5"/>
  <c r="E167" i="5"/>
  <c r="F167" i="5"/>
  <c r="D167" i="5"/>
  <c r="E166" i="5"/>
  <c r="F166" i="5"/>
  <c r="D166" i="5"/>
  <c r="E165" i="5"/>
  <c r="F165" i="5"/>
  <c r="D165" i="5"/>
  <c r="E164" i="5"/>
  <c r="F164" i="5"/>
  <c r="D164" i="5"/>
  <c r="E163" i="5"/>
  <c r="F163" i="5"/>
  <c r="D163" i="5"/>
  <c r="E153" i="5"/>
  <c r="F153" i="5"/>
  <c r="D153" i="5"/>
  <c r="E152" i="5"/>
  <c r="F152" i="5"/>
  <c r="D152" i="5"/>
  <c r="E151" i="5"/>
  <c r="F151" i="5"/>
  <c r="D151" i="5"/>
  <c r="E150" i="5"/>
  <c r="F150" i="5"/>
  <c r="D150" i="5"/>
  <c r="E149" i="5"/>
  <c r="F149" i="5"/>
  <c r="D149" i="5"/>
  <c r="E148" i="5"/>
  <c r="F148" i="5"/>
  <c r="D148" i="5"/>
  <c r="E138" i="5"/>
  <c r="F138" i="5"/>
  <c r="D138" i="5"/>
  <c r="E137" i="5"/>
  <c r="F137" i="5"/>
  <c r="D137" i="5"/>
  <c r="E136" i="5"/>
  <c r="F136" i="5"/>
  <c r="D136" i="5"/>
  <c r="E135" i="5"/>
  <c r="F135" i="5"/>
  <c r="D135" i="5"/>
  <c r="E134" i="5"/>
  <c r="F134" i="5"/>
  <c r="D134" i="5"/>
  <c r="E133" i="5"/>
  <c r="F133" i="5"/>
  <c r="D133" i="5"/>
  <c r="E123" i="5"/>
  <c r="F123" i="5"/>
  <c r="D123" i="5"/>
  <c r="E122" i="5"/>
  <c r="F122" i="5"/>
  <c r="D122" i="5"/>
  <c r="E121" i="5"/>
  <c r="F121" i="5"/>
  <c r="D121" i="5"/>
  <c r="E120" i="5"/>
  <c r="F120" i="5"/>
  <c r="D120" i="5"/>
  <c r="E119" i="5"/>
  <c r="F119" i="5"/>
  <c r="D119" i="5"/>
  <c r="E118" i="5"/>
  <c r="F118" i="5"/>
  <c r="D118" i="5"/>
  <c r="E108" i="5"/>
  <c r="F108" i="5"/>
  <c r="D108" i="5"/>
  <c r="E107" i="5"/>
  <c r="F107" i="5"/>
  <c r="D107" i="5"/>
  <c r="E106" i="5"/>
  <c r="F106" i="5"/>
  <c r="D106" i="5"/>
  <c r="E105" i="5"/>
  <c r="F105" i="5"/>
  <c r="D105" i="5"/>
  <c r="E104" i="5"/>
  <c r="F104" i="5"/>
  <c r="D104" i="5"/>
  <c r="E103" i="5"/>
  <c r="F103" i="5"/>
  <c r="D103" i="5"/>
  <c r="E93" i="5"/>
  <c r="F93" i="5"/>
  <c r="D93" i="5"/>
  <c r="E92" i="5"/>
  <c r="F92" i="5"/>
  <c r="D92" i="5"/>
  <c r="E91" i="5"/>
  <c r="F91" i="5"/>
  <c r="D91" i="5"/>
  <c r="E90" i="5"/>
  <c r="F90" i="5"/>
  <c r="D90" i="5"/>
  <c r="E89" i="5"/>
  <c r="F89" i="5"/>
  <c r="D89" i="5"/>
  <c r="E88" i="5"/>
  <c r="F88" i="5"/>
  <c r="D88" i="5"/>
  <c r="E78" i="5"/>
  <c r="F78" i="5"/>
  <c r="D78" i="5"/>
  <c r="E77" i="5"/>
  <c r="F77" i="5"/>
  <c r="D77" i="5"/>
  <c r="E76" i="5"/>
  <c r="F76" i="5"/>
  <c r="D76" i="5"/>
  <c r="E75" i="5"/>
  <c r="F75" i="5"/>
  <c r="D75" i="5"/>
  <c r="E74" i="5"/>
  <c r="F74" i="5"/>
  <c r="D74" i="5"/>
  <c r="E73" i="5"/>
  <c r="F73" i="5"/>
  <c r="D73" i="5"/>
  <c r="E63" i="5"/>
  <c r="F63" i="5"/>
  <c r="D63" i="5"/>
  <c r="E62" i="5"/>
  <c r="F62" i="5"/>
  <c r="D62" i="5"/>
  <c r="E61" i="5"/>
  <c r="F61" i="5"/>
  <c r="D61" i="5"/>
  <c r="E60" i="5"/>
  <c r="F60" i="5"/>
  <c r="D60" i="5"/>
  <c r="E59" i="5"/>
  <c r="F59" i="5"/>
  <c r="D59" i="5"/>
  <c r="E58" i="5"/>
  <c r="F58" i="5"/>
  <c r="D58" i="5"/>
  <c r="E48" i="5"/>
  <c r="F48" i="5"/>
  <c r="D48" i="5"/>
  <c r="E47" i="5"/>
  <c r="F47" i="5"/>
  <c r="D47" i="5"/>
  <c r="E46" i="5"/>
  <c r="F46" i="5"/>
  <c r="D46" i="5"/>
  <c r="E45" i="5"/>
  <c r="F45" i="5"/>
  <c r="D45" i="5"/>
  <c r="E44" i="5"/>
  <c r="F44" i="5"/>
  <c r="D44" i="5"/>
  <c r="E43" i="5"/>
  <c r="F43" i="5"/>
  <c r="D43" i="5"/>
  <c r="E33" i="5"/>
  <c r="F33" i="5"/>
  <c r="D33" i="5"/>
  <c r="E32" i="5"/>
  <c r="F32" i="5"/>
  <c r="D32" i="5"/>
  <c r="E31" i="5"/>
  <c r="F31" i="5"/>
  <c r="D31" i="5"/>
  <c r="E30" i="5"/>
  <c r="F30" i="5"/>
  <c r="D30" i="5"/>
  <c r="E29" i="5"/>
  <c r="F29" i="5"/>
  <c r="D29" i="5"/>
  <c r="E28" i="5"/>
  <c r="F28" i="5"/>
  <c r="D28" i="5"/>
  <c r="B7" i="5"/>
  <c r="B8" i="5"/>
  <c r="C7" i="5"/>
  <c r="A211" i="5"/>
  <c r="B211" i="5"/>
  <c r="C211" i="5"/>
  <c r="G3" i="5"/>
  <c r="G4" i="5"/>
  <c r="G211" i="5"/>
  <c r="H3" i="5"/>
  <c r="H4" i="5"/>
  <c r="H211" i="5"/>
  <c r="C13" i="5"/>
  <c r="D13" i="5"/>
  <c r="C14" i="5"/>
  <c r="D14" i="5"/>
  <c r="C15" i="5"/>
  <c r="D15" i="5"/>
  <c r="C208" i="5"/>
  <c r="C209" i="5"/>
  <c r="C210" i="5"/>
  <c r="B6" i="5"/>
  <c r="B9" i="5"/>
  <c r="I211" i="5"/>
  <c r="E13" i="5"/>
  <c r="F13" i="5"/>
  <c r="E14" i="5"/>
  <c r="F14" i="5"/>
  <c r="E15" i="5"/>
  <c r="F15" i="5"/>
  <c r="E19" i="5"/>
  <c r="F19" i="5"/>
  <c r="E20" i="5"/>
  <c r="F20" i="5"/>
  <c r="E21" i="5"/>
  <c r="F21" i="5"/>
  <c r="E79" i="5"/>
  <c r="F79" i="5"/>
  <c r="E80" i="5"/>
  <c r="F80" i="5"/>
  <c r="E81" i="5"/>
  <c r="F81" i="5"/>
  <c r="E139" i="5"/>
  <c r="F139" i="5"/>
  <c r="E140" i="5"/>
  <c r="F140" i="5"/>
  <c r="E141" i="5"/>
  <c r="F141" i="5"/>
  <c r="E199" i="5"/>
  <c r="F199" i="5"/>
  <c r="E200" i="5"/>
  <c r="F200" i="5"/>
  <c r="E201" i="5"/>
  <c r="F201" i="5"/>
  <c r="E205" i="5"/>
  <c r="F205" i="5"/>
  <c r="E206" i="5"/>
  <c r="F206" i="5"/>
  <c r="E207" i="5"/>
  <c r="F207" i="5"/>
  <c r="J211" i="5"/>
  <c r="K211" i="5"/>
  <c r="L211" i="5"/>
  <c r="C212" i="5"/>
  <c r="B212" i="5"/>
  <c r="G212" i="5"/>
  <c r="I212" i="5"/>
  <c r="K212" i="5"/>
  <c r="C213" i="5"/>
  <c r="B213" i="5"/>
  <c r="G213" i="5"/>
  <c r="I213" i="5"/>
  <c r="K213" i="5"/>
  <c r="M211" i="5"/>
  <c r="H212" i="5"/>
  <c r="J212" i="5"/>
  <c r="L212" i="5"/>
  <c r="H213" i="5"/>
  <c r="J213" i="5"/>
  <c r="L213" i="5"/>
  <c r="N211" i="5"/>
  <c r="O211" i="5"/>
  <c r="P211" i="5"/>
  <c r="Q211" i="5"/>
  <c r="A214" i="5"/>
  <c r="B214" i="5"/>
  <c r="C214" i="5"/>
  <c r="D214" i="5"/>
  <c r="E214" i="5"/>
  <c r="F214" i="5"/>
  <c r="G214" i="5"/>
  <c r="H214" i="5"/>
  <c r="I214" i="5"/>
  <c r="J214" i="5"/>
  <c r="K214" i="5"/>
  <c r="L214" i="5"/>
  <c r="C215" i="5"/>
  <c r="B215" i="5"/>
  <c r="G215" i="5"/>
  <c r="I215" i="5"/>
  <c r="K215" i="5"/>
  <c r="C216" i="5"/>
  <c r="B216" i="5"/>
  <c r="G216" i="5"/>
  <c r="I216" i="5"/>
  <c r="K216" i="5"/>
  <c r="M214" i="5"/>
  <c r="E215" i="5"/>
  <c r="H215" i="5"/>
  <c r="J215" i="5"/>
  <c r="L215" i="5"/>
  <c r="E216" i="5"/>
  <c r="H216" i="5"/>
  <c r="J216" i="5"/>
  <c r="L216" i="5"/>
  <c r="N214" i="5"/>
  <c r="O214" i="5"/>
  <c r="P214" i="5"/>
  <c r="Q214" i="5"/>
  <c r="D215" i="5"/>
  <c r="F215" i="5"/>
  <c r="D216" i="5"/>
  <c r="F216" i="5"/>
  <c r="A217" i="5"/>
  <c r="B217" i="5"/>
  <c r="C217" i="5"/>
  <c r="D217" i="5"/>
  <c r="E217" i="5"/>
  <c r="F217" i="5"/>
  <c r="G217" i="5"/>
  <c r="H217" i="5"/>
  <c r="I217" i="5"/>
  <c r="J217" i="5"/>
  <c r="K217" i="5"/>
  <c r="L217" i="5"/>
  <c r="C218" i="5"/>
  <c r="B218" i="5"/>
  <c r="G218" i="5"/>
  <c r="I218" i="5"/>
  <c r="K218" i="5"/>
  <c r="C219" i="5"/>
  <c r="B219" i="5"/>
  <c r="G219" i="5"/>
  <c r="I219" i="5"/>
  <c r="K219" i="5"/>
  <c r="M217" i="5"/>
  <c r="E218" i="5"/>
  <c r="H218" i="5"/>
  <c r="J218" i="5"/>
  <c r="L218" i="5"/>
  <c r="E219" i="5"/>
  <c r="H219" i="5"/>
  <c r="J219" i="5"/>
  <c r="L219" i="5"/>
  <c r="N217" i="5"/>
  <c r="O217" i="5"/>
  <c r="P217" i="5"/>
  <c r="Q217" i="5"/>
  <c r="D218" i="5"/>
  <c r="F218" i="5"/>
  <c r="D219" i="5"/>
  <c r="F219" i="5"/>
  <c r="A220" i="5"/>
  <c r="B220" i="5"/>
  <c r="C220" i="5"/>
  <c r="D220" i="5"/>
  <c r="E220" i="5"/>
  <c r="F220" i="5"/>
  <c r="G220" i="5"/>
  <c r="H220" i="5"/>
  <c r="I220" i="5"/>
  <c r="J220" i="5"/>
  <c r="K220" i="5"/>
  <c r="L220" i="5"/>
  <c r="C221" i="5"/>
  <c r="B221" i="5"/>
  <c r="G221" i="5"/>
  <c r="I221" i="5"/>
  <c r="K221" i="5"/>
  <c r="C222" i="5"/>
  <c r="B222" i="5"/>
  <c r="G222" i="5"/>
  <c r="I222" i="5"/>
  <c r="K222" i="5"/>
  <c r="M220" i="5"/>
  <c r="E221" i="5"/>
  <c r="H221" i="5"/>
  <c r="J221" i="5"/>
  <c r="L221" i="5"/>
  <c r="E222" i="5"/>
  <c r="H222" i="5"/>
  <c r="J222" i="5"/>
  <c r="L222" i="5"/>
  <c r="N220" i="5"/>
  <c r="O220" i="5"/>
  <c r="P220" i="5"/>
  <c r="Q220" i="5"/>
  <c r="D221" i="5"/>
  <c r="F221" i="5"/>
  <c r="D222" i="5"/>
  <c r="F222" i="5"/>
  <c r="A223" i="5"/>
  <c r="B223" i="5"/>
  <c r="C223" i="5"/>
  <c r="G223" i="5"/>
  <c r="H223" i="5"/>
  <c r="I223" i="5"/>
  <c r="J223" i="5"/>
  <c r="K223" i="5"/>
  <c r="L223" i="5"/>
  <c r="C224" i="5"/>
  <c r="B224" i="5"/>
  <c r="G224" i="5"/>
  <c r="I224" i="5"/>
  <c r="K224" i="5"/>
  <c r="C225" i="5"/>
  <c r="B225" i="5"/>
  <c r="G225" i="5"/>
  <c r="I225" i="5"/>
  <c r="K225" i="5"/>
  <c r="M223" i="5"/>
  <c r="H224" i="5"/>
  <c r="J224" i="5"/>
  <c r="L224" i="5"/>
  <c r="H225" i="5"/>
  <c r="J225" i="5"/>
  <c r="L225" i="5"/>
  <c r="N223" i="5"/>
  <c r="O223" i="5"/>
  <c r="P223" i="5"/>
  <c r="Q223" i="5"/>
  <c r="A226" i="5"/>
  <c r="B226" i="5"/>
  <c r="C226" i="5"/>
  <c r="G226" i="5"/>
  <c r="H226" i="5"/>
  <c r="I226" i="5"/>
  <c r="J226" i="5"/>
  <c r="K226" i="5"/>
  <c r="L226" i="5"/>
  <c r="C227" i="5"/>
  <c r="B227" i="5"/>
  <c r="G227" i="5"/>
  <c r="I227" i="5"/>
  <c r="K227" i="5"/>
  <c r="C228" i="5"/>
  <c r="B228" i="5"/>
  <c r="G228" i="5"/>
  <c r="I228" i="5"/>
  <c r="K228" i="5"/>
  <c r="M226" i="5"/>
  <c r="H227" i="5"/>
  <c r="J227" i="5"/>
  <c r="L227" i="5"/>
  <c r="H228" i="5"/>
  <c r="J228" i="5"/>
  <c r="L228" i="5"/>
  <c r="N226" i="5"/>
  <c r="O226" i="5"/>
  <c r="P226" i="5"/>
  <c r="Q226" i="5"/>
  <c r="A229" i="5"/>
  <c r="B229" i="5"/>
  <c r="C229" i="5"/>
  <c r="D229" i="5"/>
  <c r="E229" i="5"/>
  <c r="F229" i="5"/>
  <c r="G229" i="5"/>
  <c r="H229" i="5"/>
  <c r="I229" i="5"/>
  <c r="J229" i="5"/>
  <c r="K229" i="5"/>
  <c r="L229" i="5"/>
  <c r="C230" i="5"/>
  <c r="B230" i="5"/>
  <c r="G230" i="5"/>
  <c r="I230" i="5"/>
  <c r="K230" i="5"/>
  <c r="C231" i="5"/>
  <c r="B231" i="5"/>
  <c r="G231" i="5"/>
  <c r="I231" i="5"/>
  <c r="K231" i="5"/>
  <c r="M229" i="5"/>
  <c r="E230" i="5"/>
  <c r="H230" i="5"/>
  <c r="J230" i="5"/>
  <c r="L230" i="5"/>
  <c r="E231" i="5"/>
  <c r="H231" i="5"/>
  <c r="J231" i="5"/>
  <c r="L231" i="5"/>
  <c r="N229" i="5"/>
  <c r="O229" i="5"/>
  <c r="P229" i="5"/>
  <c r="Q229" i="5"/>
  <c r="D230" i="5"/>
  <c r="F230" i="5"/>
  <c r="D231" i="5"/>
  <c r="F231" i="5"/>
  <c r="A232" i="5"/>
  <c r="B232" i="5"/>
  <c r="C232" i="5"/>
  <c r="D232" i="5"/>
  <c r="E232" i="5"/>
  <c r="F232" i="5"/>
  <c r="G232" i="5"/>
  <c r="H232" i="5"/>
  <c r="I232" i="5"/>
  <c r="J232" i="5"/>
  <c r="K232" i="5"/>
  <c r="L232" i="5"/>
  <c r="C233" i="5"/>
  <c r="B233" i="5"/>
  <c r="G233" i="5"/>
  <c r="I233" i="5"/>
  <c r="K233" i="5"/>
  <c r="C234" i="5"/>
  <c r="B234" i="5"/>
  <c r="G234" i="5"/>
  <c r="I234" i="5"/>
  <c r="K234" i="5"/>
  <c r="M232" i="5"/>
  <c r="E233" i="5"/>
  <c r="H233" i="5"/>
  <c r="J233" i="5"/>
  <c r="L233" i="5"/>
  <c r="E234" i="5"/>
  <c r="H234" i="5"/>
  <c r="J234" i="5"/>
  <c r="L234" i="5"/>
  <c r="N232" i="5"/>
  <c r="O232" i="5"/>
  <c r="P232" i="5"/>
  <c r="Q232" i="5"/>
  <c r="D233" i="5"/>
  <c r="F233" i="5"/>
  <c r="D234" i="5"/>
  <c r="F234" i="5"/>
  <c r="A235" i="5"/>
  <c r="B235" i="5"/>
  <c r="C235" i="5"/>
  <c r="D235" i="5"/>
  <c r="E235" i="5"/>
  <c r="F235" i="5"/>
  <c r="G235" i="5"/>
  <c r="H235" i="5"/>
  <c r="I235" i="5"/>
  <c r="J235" i="5"/>
  <c r="K235" i="5"/>
  <c r="L235" i="5"/>
  <c r="C236" i="5"/>
  <c r="B236" i="5"/>
  <c r="G236" i="5"/>
  <c r="I236" i="5"/>
  <c r="K236" i="5"/>
  <c r="C237" i="5"/>
  <c r="B237" i="5"/>
  <c r="G237" i="5"/>
  <c r="I237" i="5"/>
  <c r="K237" i="5"/>
  <c r="M235" i="5"/>
  <c r="E236" i="5"/>
  <c r="H236" i="5"/>
  <c r="J236" i="5"/>
  <c r="L236" i="5"/>
  <c r="E237" i="5"/>
  <c r="H237" i="5"/>
  <c r="J237" i="5"/>
  <c r="L237" i="5"/>
  <c r="N235" i="5"/>
  <c r="O235" i="5"/>
  <c r="P235" i="5"/>
  <c r="Q235" i="5"/>
  <c r="D236" i="5"/>
  <c r="F236" i="5"/>
  <c r="D237" i="5"/>
  <c r="F237" i="5"/>
  <c r="A238" i="5"/>
  <c r="B238" i="5"/>
  <c r="C238" i="5"/>
  <c r="G238" i="5"/>
  <c r="H238" i="5"/>
  <c r="I238" i="5"/>
  <c r="J238" i="5"/>
  <c r="K238" i="5"/>
  <c r="L238" i="5"/>
  <c r="C239" i="5"/>
  <c r="B239" i="5"/>
  <c r="G239" i="5"/>
  <c r="I239" i="5"/>
  <c r="K239" i="5"/>
  <c r="C240" i="5"/>
  <c r="B240" i="5"/>
  <c r="G240" i="5"/>
  <c r="I240" i="5"/>
  <c r="K240" i="5"/>
  <c r="M238" i="5"/>
  <c r="H239" i="5"/>
  <c r="J239" i="5"/>
  <c r="L239" i="5"/>
  <c r="H240" i="5"/>
  <c r="J240" i="5"/>
  <c r="L240" i="5"/>
  <c r="N238" i="5"/>
  <c r="O238" i="5"/>
  <c r="P238" i="5"/>
  <c r="Q238" i="5"/>
  <c r="A241" i="5"/>
  <c r="B241" i="5"/>
  <c r="C241" i="5"/>
  <c r="G241" i="5"/>
  <c r="H241" i="5"/>
  <c r="I241" i="5"/>
  <c r="J241" i="5"/>
  <c r="K241" i="5"/>
  <c r="L241" i="5"/>
  <c r="C242" i="5"/>
  <c r="B242" i="5"/>
  <c r="G242" i="5"/>
  <c r="I242" i="5"/>
  <c r="K242" i="5"/>
  <c r="C243" i="5"/>
  <c r="B243" i="5"/>
  <c r="G243" i="5"/>
  <c r="I243" i="5"/>
  <c r="K243" i="5"/>
  <c r="M241" i="5"/>
  <c r="H242" i="5"/>
  <c r="J242" i="5"/>
  <c r="L242" i="5"/>
  <c r="H243" i="5"/>
  <c r="J243" i="5"/>
  <c r="L243" i="5"/>
  <c r="N241" i="5"/>
  <c r="O241" i="5"/>
  <c r="P241" i="5"/>
  <c r="Q241" i="5"/>
  <c r="A244" i="5"/>
  <c r="B244" i="5"/>
  <c r="C244" i="5"/>
  <c r="D244" i="5"/>
  <c r="E244" i="5"/>
  <c r="F244" i="5"/>
  <c r="G244" i="5"/>
  <c r="H244" i="5"/>
  <c r="I244" i="5"/>
  <c r="J244" i="5"/>
  <c r="K244" i="5"/>
  <c r="L244" i="5"/>
  <c r="C245" i="5"/>
  <c r="B245" i="5"/>
  <c r="G245" i="5"/>
  <c r="I245" i="5"/>
  <c r="K245" i="5"/>
  <c r="C246" i="5"/>
  <c r="B246" i="5"/>
  <c r="G246" i="5"/>
  <c r="I246" i="5"/>
  <c r="K246" i="5"/>
  <c r="M244" i="5"/>
  <c r="E245" i="5"/>
  <c r="H245" i="5"/>
  <c r="J245" i="5"/>
  <c r="L245" i="5"/>
  <c r="E246" i="5"/>
  <c r="H246" i="5"/>
  <c r="J246" i="5"/>
  <c r="L246" i="5"/>
  <c r="N244" i="5"/>
  <c r="O244" i="5"/>
  <c r="P244" i="5"/>
  <c r="Q244" i="5"/>
  <c r="D245" i="5"/>
  <c r="F245" i="5"/>
  <c r="D246" i="5"/>
  <c r="F246" i="5"/>
  <c r="A247" i="5"/>
  <c r="B247" i="5"/>
  <c r="C247" i="5"/>
  <c r="D247" i="5"/>
  <c r="E247" i="5"/>
  <c r="F247" i="5"/>
  <c r="G247" i="5"/>
  <c r="H247" i="5"/>
  <c r="I247" i="5"/>
  <c r="J247" i="5"/>
  <c r="K247" i="5"/>
  <c r="L247" i="5"/>
  <c r="C248" i="5"/>
  <c r="B248" i="5"/>
  <c r="G248" i="5"/>
  <c r="I248" i="5"/>
  <c r="K248" i="5"/>
  <c r="C249" i="5"/>
  <c r="B249" i="5"/>
  <c r="G249" i="5"/>
  <c r="I249" i="5"/>
  <c r="K249" i="5"/>
  <c r="M247" i="5"/>
  <c r="E248" i="5"/>
  <c r="H248" i="5"/>
  <c r="J248" i="5"/>
  <c r="L248" i="5"/>
  <c r="E249" i="5"/>
  <c r="H249" i="5"/>
  <c r="J249" i="5"/>
  <c r="L249" i="5"/>
  <c r="N247" i="5"/>
  <c r="O247" i="5"/>
  <c r="P247" i="5"/>
  <c r="Q247" i="5"/>
  <c r="D248" i="5"/>
  <c r="F248" i="5"/>
  <c r="D249" i="5"/>
  <c r="F249" i="5"/>
  <c r="A250" i="5"/>
  <c r="B250" i="5"/>
  <c r="C250" i="5"/>
  <c r="D250" i="5"/>
  <c r="E250" i="5"/>
  <c r="F250" i="5"/>
  <c r="G250" i="5"/>
  <c r="H250" i="5"/>
  <c r="I250" i="5"/>
  <c r="J250" i="5"/>
  <c r="K250" i="5"/>
  <c r="L250" i="5"/>
  <c r="C251" i="5"/>
  <c r="B251" i="5"/>
  <c r="G251" i="5"/>
  <c r="I251" i="5"/>
  <c r="K251" i="5"/>
  <c r="C252" i="5"/>
  <c r="B252" i="5"/>
  <c r="G252" i="5"/>
  <c r="I252" i="5"/>
  <c r="K252" i="5"/>
  <c r="M250" i="5"/>
  <c r="E251" i="5"/>
  <c r="H251" i="5"/>
  <c r="J251" i="5"/>
  <c r="L251" i="5"/>
  <c r="E252" i="5"/>
  <c r="H252" i="5"/>
  <c r="J252" i="5"/>
  <c r="L252" i="5"/>
  <c r="N250" i="5"/>
  <c r="O250" i="5"/>
  <c r="P250" i="5"/>
  <c r="Q250" i="5"/>
  <c r="D251" i="5"/>
  <c r="F251" i="5"/>
  <c r="D252" i="5"/>
  <c r="F252" i="5"/>
  <c r="A253" i="5"/>
  <c r="B253" i="5"/>
  <c r="C253" i="5"/>
  <c r="G253" i="5"/>
  <c r="H253" i="5"/>
  <c r="I253" i="5"/>
  <c r="J253" i="5"/>
  <c r="K253" i="5"/>
  <c r="L253" i="5"/>
  <c r="C254" i="5"/>
  <c r="B254" i="5"/>
  <c r="G254" i="5"/>
  <c r="I254" i="5"/>
  <c r="K254" i="5"/>
  <c r="C255" i="5"/>
  <c r="B255" i="5"/>
  <c r="G255" i="5"/>
  <c r="I255" i="5"/>
  <c r="K255" i="5"/>
  <c r="M253" i="5"/>
  <c r="H254" i="5"/>
  <c r="J254" i="5"/>
  <c r="L254" i="5"/>
  <c r="H255" i="5"/>
  <c r="J255" i="5"/>
  <c r="L255" i="5"/>
  <c r="N253" i="5"/>
  <c r="O253" i="5"/>
  <c r="P253" i="5"/>
  <c r="Q253" i="5"/>
  <c r="A256" i="5"/>
  <c r="B256" i="5"/>
  <c r="C256" i="5"/>
  <c r="G256" i="5"/>
  <c r="H256" i="5"/>
  <c r="I256" i="5"/>
  <c r="J256" i="5"/>
  <c r="K256" i="5"/>
  <c r="L256" i="5"/>
  <c r="C257" i="5"/>
  <c r="B257" i="5"/>
  <c r="G257" i="5"/>
  <c r="I257" i="5"/>
  <c r="K257" i="5"/>
  <c r="C258" i="5"/>
  <c r="B258" i="5"/>
  <c r="G258" i="5"/>
  <c r="I258" i="5"/>
  <c r="K258" i="5"/>
  <c r="M256" i="5"/>
  <c r="H257" i="5"/>
  <c r="J257" i="5"/>
  <c r="L257" i="5"/>
  <c r="H258" i="5"/>
  <c r="J258" i="5"/>
  <c r="L258" i="5"/>
  <c r="N256" i="5"/>
  <c r="O256" i="5"/>
  <c r="P256" i="5"/>
  <c r="Q256" i="5"/>
  <c r="A86" i="4"/>
  <c r="B86" i="4"/>
  <c r="A87" i="4"/>
  <c r="B87" i="4"/>
  <c r="B85" i="4"/>
  <c r="A85" i="4"/>
  <c r="A83" i="4"/>
  <c r="B83" i="4"/>
  <c r="A84" i="4"/>
  <c r="B84" i="4"/>
  <c r="B82" i="4"/>
  <c r="A82" i="4"/>
  <c r="A80" i="4"/>
  <c r="B80" i="4"/>
  <c r="A81" i="4"/>
  <c r="B81" i="4"/>
  <c r="B79" i="4"/>
  <c r="A79" i="4"/>
  <c r="A77" i="4"/>
  <c r="B77" i="4"/>
  <c r="A78" i="4"/>
  <c r="B78" i="4"/>
  <c r="B76" i="4"/>
  <c r="A76" i="4"/>
  <c r="A74" i="4"/>
  <c r="B74" i="4"/>
  <c r="A75" i="4"/>
  <c r="B75" i="4"/>
  <c r="B73" i="4"/>
  <c r="A73" i="4"/>
  <c r="A64" i="4"/>
  <c r="B64" i="4"/>
  <c r="A65" i="4"/>
  <c r="B65" i="4"/>
  <c r="B63" i="4"/>
  <c r="A63" i="4"/>
  <c r="A61" i="4"/>
  <c r="B61" i="4"/>
  <c r="A62" i="4"/>
  <c r="B62" i="4"/>
  <c r="B60" i="4"/>
  <c r="A60" i="4"/>
  <c r="A58" i="4"/>
  <c r="B58" i="4"/>
  <c r="A59" i="4"/>
  <c r="B59" i="4"/>
  <c r="B57" i="4"/>
  <c r="A57" i="4"/>
  <c r="A55" i="4"/>
  <c r="B55" i="4"/>
  <c r="A56" i="4"/>
  <c r="B56" i="4"/>
  <c r="B54" i="4"/>
  <c r="A54" i="4"/>
  <c r="A52" i="4"/>
  <c r="B52" i="4"/>
  <c r="A53" i="4"/>
  <c r="B53" i="4"/>
  <c r="B51" i="4"/>
  <c r="A51" i="4"/>
  <c r="A36" i="4"/>
  <c r="A37" i="4"/>
  <c r="A35" i="4"/>
  <c r="A42" i="4"/>
  <c r="B42" i="4"/>
  <c r="A43" i="4"/>
  <c r="B43" i="4"/>
  <c r="B41" i="4"/>
  <c r="A41" i="4"/>
  <c r="A39" i="4"/>
  <c r="B39" i="4"/>
  <c r="A40" i="4"/>
  <c r="B40" i="4"/>
  <c r="B38" i="4"/>
  <c r="A38" i="4"/>
  <c r="B36" i="4"/>
  <c r="B37" i="4"/>
  <c r="B35" i="4"/>
  <c r="A33" i="4"/>
  <c r="B33" i="4"/>
  <c r="A34" i="4"/>
  <c r="B34" i="4"/>
  <c r="B32" i="4"/>
  <c r="B30" i="4"/>
  <c r="B31" i="4"/>
  <c r="B29" i="4"/>
  <c r="A32" i="4"/>
  <c r="A31" i="4"/>
  <c r="A30" i="4"/>
  <c r="A29" i="4"/>
  <c r="B20" i="4"/>
  <c r="B21" i="4"/>
  <c r="B19" i="4"/>
  <c r="B17" i="4"/>
  <c r="B18" i="4"/>
  <c r="B16" i="4"/>
  <c r="B14" i="4"/>
  <c r="B15" i="4"/>
  <c r="B13" i="4"/>
  <c r="B11" i="4"/>
  <c r="B12" i="4"/>
  <c r="B10" i="4"/>
  <c r="B8" i="4"/>
  <c r="B9" i="4"/>
  <c r="B7" i="4"/>
  <c r="B4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10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C203" i="5"/>
  <c r="D203" i="5"/>
  <c r="C204" i="5"/>
  <c r="D204" i="5"/>
  <c r="C202" i="5"/>
  <c r="D202" i="5"/>
  <c r="C143" i="5"/>
  <c r="D143" i="5"/>
  <c r="C144" i="5"/>
  <c r="D144" i="5"/>
  <c r="C142" i="5"/>
  <c r="D142" i="5"/>
  <c r="C83" i="5"/>
  <c r="D83" i="5"/>
  <c r="C84" i="5"/>
  <c r="D84" i="5"/>
  <c r="C82" i="5"/>
  <c r="D82" i="5"/>
  <c r="C23" i="5"/>
  <c r="D23" i="5"/>
  <c r="C24" i="5"/>
  <c r="D24" i="5"/>
  <c r="C22" i="5"/>
  <c r="D22" i="5"/>
  <c r="C17" i="5"/>
  <c r="D17" i="5"/>
  <c r="C18" i="5"/>
  <c r="D18" i="5"/>
  <c r="C16" i="5"/>
  <c r="D16" i="5"/>
  <c r="I207" i="1"/>
  <c r="I12" i="1"/>
  <c r="I11" i="1"/>
  <c r="I10" i="1"/>
  <c r="I25" i="1"/>
  <c r="B28" i="5"/>
  <c r="I33" i="1"/>
  <c r="B36" i="5"/>
  <c r="C36" i="5"/>
  <c r="G36" i="5"/>
  <c r="C139" i="5"/>
  <c r="D139" i="5"/>
  <c r="I136" i="1"/>
  <c r="B139" i="5"/>
  <c r="G139" i="5"/>
  <c r="C19" i="5"/>
  <c r="D19" i="5"/>
  <c r="C20" i="5"/>
  <c r="D20" i="5"/>
  <c r="C21" i="5"/>
  <c r="D21" i="5"/>
  <c r="C79" i="5"/>
  <c r="D79" i="5"/>
  <c r="C80" i="5"/>
  <c r="D80" i="5"/>
  <c r="C81" i="5"/>
  <c r="D81" i="5"/>
  <c r="C140" i="5"/>
  <c r="D140" i="5"/>
  <c r="C141" i="5"/>
  <c r="D141" i="5"/>
  <c r="C199" i="5"/>
  <c r="D199" i="5"/>
  <c r="C200" i="5"/>
  <c r="D200" i="5"/>
  <c r="C201" i="5"/>
  <c r="D201" i="5"/>
  <c r="C205" i="5"/>
  <c r="D205" i="5"/>
  <c r="C206" i="5"/>
  <c r="D206" i="5"/>
  <c r="C207" i="5"/>
  <c r="D207" i="5"/>
  <c r="I138" i="1"/>
  <c r="B141" i="5"/>
  <c r="G141" i="5"/>
  <c r="I137" i="1"/>
  <c r="B140" i="5"/>
  <c r="G140" i="5"/>
  <c r="H141" i="5"/>
  <c r="J141" i="5"/>
  <c r="L141" i="5"/>
  <c r="H139" i="5"/>
  <c r="J139" i="5"/>
  <c r="L139" i="5"/>
  <c r="H140" i="5"/>
  <c r="J140" i="5"/>
  <c r="L140" i="5"/>
  <c r="N139" i="5"/>
  <c r="I139" i="1"/>
  <c r="B142" i="5"/>
  <c r="G142" i="5"/>
  <c r="I140" i="1"/>
  <c r="B143" i="5"/>
  <c r="G143" i="5"/>
  <c r="I141" i="1"/>
  <c r="B144" i="5"/>
  <c r="G144" i="5"/>
  <c r="E142" i="5"/>
  <c r="H142" i="5"/>
  <c r="J142" i="5"/>
  <c r="L142" i="5"/>
  <c r="E143" i="5"/>
  <c r="H143" i="5"/>
  <c r="J143" i="5"/>
  <c r="L143" i="5"/>
  <c r="E144" i="5"/>
  <c r="H144" i="5"/>
  <c r="J144" i="5"/>
  <c r="L144" i="5"/>
  <c r="N142" i="5"/>
  <c r="C145" i="5"/>
  <c r="I142" i="1"/>
  <c r="B145" i="5"/>
  <c r="G145" i="5"/>
  <c r="C146" i="5"/>
  <c r="I143" i="1"/>
  <c r="B146" i="5"/>
  <c r="G146" i="5"/>
  <c r="C147" i="5"/>
  <c r="I144" i="1"/>
  <c r="B147" i="5"/>
  <c r="G147" i="5"/>
  <c r="E145" i="5"/>
  <c r="E146" i="5"/>
  <c r="H146" i="5"/>
  <c r="J146" i="5"/>
  <c r="L146" i="5"/>
  <c r="E147" i="5"/>
  <c r="H147" i="5"/>
  <c r="J147" i="5"/>
  <c r="L147" i="5"/>
  <c r="C148" i="5"/>
  <c r="I145" i="1"/>
  <c r="B148" i="5"/>
  <c r="C149" i="5"/>
  <c r="I146" i="1"/>
  <c r="B149" i="5"/>
  <c r="G149" i="5"/>
  <c r="C150" i="5"/>
  <c r="I147" i="1"/>
  <c r="B150" i="5"/>
  <c r="G150" i="5"/>
  <c r="H150" i="5"/>
  <c r="J150" i="5"/>
  <c r="H148" i="5"/>
  <c r="J148" i="5"/>
  <c r="L148" i="5"/>
  <c r="H149" i="5"/>
  <c r="J149" i="5"/>
  <c r="L149" i="5"/>
  <c r="L150" i="5"/>
  <c r="N148" i="5"/>
  <c r="C151" i="5"/>
  <c r="I148" i="1"/>
  <c r="B151" i="5"/>
  <c r="C152" i="5"/>
  <c r="I149" i="1"/>
  <c r="B152" i="5"/>
  <c r="H152" i="5"/>
  <c r="C153" i="5"/>
  <c r="I150" i="1"/>
  <c r="B153" i="5"/>
  <c r="J152" i="5"/>
  <c r="L152" i="5"/>
  <c r="H153" i="5"/>
  <c r="J153" i="5"/>
  <c r="L153" i="5"/>
  <c r="C154" i="5"/>
  <c r="I151" i="1"/>
  <c r="B154" i="5"/>
  <c r="G154" i="5"/>
  <c r="C155" i="5"/>
  <c r="I152" i="1"/>
  <c r="B155" i="5"/>
  <c r="G155" i="5"/>
  <c r="C156" i="5"/>
  <c r="I153" i="1"/>
  <c r="B156" i="5"/>
  <c r="G156" i="5"/>
  <c r="E154" i="5"/>
  <c r="E155" i="5"/>
  <c r="H155" i="5"/>
  <c r="J155" i="5"/>
  <c r="L155" i="5"/>
  <c r="E156" i="5"/>
  <c r="C157" i="5"/>
  <c r="I154" i="1"/>
  <c r="B157" i="5"/>
  <c r="C158" i="5"/>
  <c r="I155" i="1"/>
  <c r="B158" i="5"/>
  <c r="G158" i="5"/>
  <c r="C159" i="5"/>
  <c r="I156" i="1"/>
  <c r="B159" i="5"/>
  <c r="G159" i="5"/>
  <c r="E157" i="5"/>
  <c r="H157" i="5"/>
  <c r="J157" i="5"/>
  <c r="L157" i="5"/>
  <c r="E158" i="5"/>
  <c r="H158" i="5"/>
  <c r="J158" i="5"/>
  <c r="L158" i="5"/>
  <c r="E159" i="5"/>
  <c r="H159" i="5"/>
  <c r="J159" i="5"/>
  <c r="L159" i="5"/>
  <c r="N157" i="5"/>
  <c r="C160" i="5"/>
  <c r="I157" i="1"/>
  <c r="B160" i="5"/>
  <c r="G160" i="5"/>
  <c r="C161" i="5"/>
  <c r="I158" i="1"/>
  <c r="B161" i="5"/>
  <c r="E161" i="5"/>
  <c r="H161" i="5"/>
  <c r="J161" i="5"/>
  <c r="C162" i="5"/>
  <c r="I159" i="1"/>
  <c r="B162" i="5"/>
  <c r="G162" i="5"/>
  <c r="E160" i="5"/>
  <c r="H160" i="5"/>
  <c r="J160" i="5"/>
  <c r="L160" i="5"/>
  <c r="L161" i="5"/>
  <c r="E162" i="5"/>
  <c r="H162" i="5"/>
  <c r="J162" i="5"/>
  <c r="L162" i="5"/>
  <c r="N160" i="5"/>
  <c r="C163" i="5"/>
  <c r="I160" i="1"/>
  <c r="B163" i="5"/>
  <c r="C164" i="5"/>
  <c r="I161" i="1"/>
  <c r="B164" i="5"/>
  <c r="C165" i="5"/>
  <c r="I162" i="1"/>
  <c r="B165" i="5"/>
  <c r="H165" i="5"/>
  <c r="G165" i="5"/>
  <c r="J165" i="5"/>
  <c r="L165" i="5"/>
  <c r="C166" i="5"/>
  <c r="I163" i="1"/>
  <c r="B166" i="5"/>
  <c r="G166" i="5"/>
  <c r="C167" i="5"/>
  <c r="I164" i="1"/>
  <c r="B167" i="5"/>
  <c r="C168" i="5"/>
  <c r="I165" i="1"/>
  <c r="B168" i="5"/>
  <c r="H166" i="5"/>
  <c r="J166" i="5"/>
  <c r="L166" i="5"/>
  <c r="H167" i="5"/>
  <c r="J167" i="5"/>
  <c r="L167" i="5"/>
  <c r="H168" i="5"/>
  <c r="J168" i="5"/>
  <c r="L168" i="5"/>
  <c r="N166" i="5"/>
  <c r="C169" i="5"/>
  <c r="I166" i="1"/>
  <c r="B169" i="5"/>
  <c r="G169" i="5"/>
  <c r="C170" i="5"/>
  <c r="I167" i="1"/>
  <c r="B170" i="5"/>
  <c r="G170" i="5"/>
  <c r="C171" i="5"/>
  <c r="I168" i="1"/>
  <c r="B171" i="5"/>
  <c r="G171" i="5"/>
  <c r="E169" i="5"/>
  <c r="H169" i="5"/>
  <c r="J169" i="5"/>
  <c r="L169" i="5"/>
  <c r="E170" i="5"/>
  <c r="H170" i="5"/>
  <c r="J170" i="5"/>
  <c r="L170" i="5"/>
  <c r="E171" i="5"/>
  <c r="H171" i="5"/>
  <c r="J171" i="5"/>
  <c r="L171" i="5"/>
  <c r="N169" i="5"/>
  <c r="C172" i="5"/>
  <c r="I169" i="1"/>
  <c r="B172" i="5"/>
  <c r="E172" i="5"/>
  <c r="H172" i="5"/>
  <c r="C173" i="5"/>
  <c r="I170" i="1"/>
  <c r="B173" i="5"/>
  <c r="E173" i="5"/>
  <c r="H173" i="5"/>
  <c r="J173" i="5"/>
  <c r="L173" i="5"/>
  <c r="G173" i="5"/>
  <c r="C174" i="5"/>
  <c r="I171" i="1"/>
  <c r="B174" i="5"/>
  <c r="J172" i="5"/>
  <c r="L172" i="5"/>
  <c r="E174" i="5"/>
  <c r="H174" i="5"/>
  <c r="J174" i="5"/>
  <c r="L174" i="5"/>
  <c r="N172" i="5"/>
  <c r="C175" i="5"/>
  <c r="I172" i="1"/>
  <c r="B175" i="5"/>
  <c r="G175" i="5"/>
  <c r="C176" i="5"/>
  <c r="I173" i="1"/>
  <c r="B176" i="5"/>
  <c r="C177" i="5"/>
  <c r="I174" i="1"/>
  <c r="B177" i="5"/>
  <c r="E175" i="5"/>
  <c r="H175" i="5"/>
  <c r="J175" i="5"/>
  <c r="L175" i="5"/>
  <c r="E176" i="5"/>
  <c r="H176" i="5"/>
  <c r="J176" i="5"/>
  <c r="L176" i="5"/>
  <c r="E177" i="5"/>
  <c r="H177" i="5"/>
  <c r="J177" i="5"/>
  <c r="L177" i="5"/>
  <c r="N175" i="5"/>
  <c r="C178" i="5"/>
  <c r="I175" i="1"/>
  <c r="B178" i="5"/>
  <c r="G178" i="5"/>
  <c r="C179" i="5"/>
  <c r="I176" i="1"/>
  <c r="B179" i="5"/>
  <c r="C180" i="5"/>
  <c r="I177" i="1"/>
  <c r="B180" i="5"/>
  <c r="G180" i="5"/>
  <c r="H180" i="5"/>
  <c r="J180" i="5"/>
  <c r="L180" i="5"/>
  <c r="C181" i="5"/>
  <c r="I178" i="1"/>
  <c r="B181" i="5"/>
  <c r="G181" i="5"/>
  <c r="H181" i="5"/>
  <c r="J181" i="5"/>
  <c r="L181" i="5"/>
  <c r="C182" i="5"/>
  <c r="I179" i="1"/>
  <c r="B182" i="5"/>
  <c r="C183" i="5"/>
  <c r="I180" i="1"/>
  <c r="B183" i="5"/>
  <c r="G183" i="5"/>
  <c r="H183" i="5"/>
  <c r="H182" i="5"/>
  <c r="J182" i="5"/>
  <c r="L182" i="5"/>
  <c r="J183" i="5"/>
  <c r="L183" i="5"/>
  <c r="N181" i="5"/>
  <c r="C184" i="5"/>
  <c r="I181" i="1"/>
  <c r="B184" i="5"/>
  <c r="G184" i="5"/>
  <c r="C185" i="5"/>
  <c r="I182" i="1"/>
  <c r="B185" i="5"/>
  <c r="G185" i="5"/>
  <c r="C186" i="5"/>
  <c r="I183" i="1"/>
  <c r="B186" i="5"/>
  <c r="G186" i="5"/>
  <c r="E184" i="5"/>
  <c r="H184" i="5"/>
  <c r="E185" i="5"/>
  <c r="H185" i="5"/>
  <c r="J185" i="5"/>
  <c r="L185" i="5"/>
  <c r="E186" i="5"/>
  <c r="C187" i="5"/>
  <c r="I184" i="1"/>
  <c r="B187" i="5"/>
  <c r="E187" i="5"/>
  <c r="H187" i="5"/>
  <c r="J187" i="5"/>
  <c r="L187" i="5"/>
  <c r="C188" i="5"/>
  <c r="I185" i="1"/>
  <c r="B188" i="5"/>
  <c r="G188" i="5"/>
  <c r="C189" i="5"/>
  <c r="I186" i="1"/>
  <c r="B189" i="5"/>
  <c r="E189" i="5"/>
  <c r="H189" i="5"/>
  <c r="J189" i="5"/>
  <c r="L189" i="5"/>
  <c r="G189" i="5"/>
  <c r="E188" i="5"/>
  <c r="H188" i="5"/>
  <c r="J188" i="5"/>
  <c r="L188" i="5"/>
  <c r="N187" i="5"/>
  <c r="C190" i="5"/>
  <c r="I187" i="1"/>
  <c r="B190" i="5"/>
  <c r="G190" i="5"/>
  <c r="C191" i="5"/>
  <c r="I188" i="1"/>
  <c r="B191" i="5"/>
  <c r="C192" i="5"/>
  <c r="I189" i="1"/>
  <c r="B192" i="5"/>
  <c r="G192" i="5"/>
  <c r="E190" i="5"/>
  <c r="E191" i="5"/>
  <c r="H191" i="5"/>
  <c r="J191" i="5"/>
  <c r="L191" i="5"/>
  <c r="E192" i="5"/>
  <c r="C193" i="5"/>
  <c r="I190" i="1"/>
  <c r="B193" i="5"/>
  <c r="C194" i="5"/>
  <c r="I191" i="1"/>
  <c r="B194" i="5"/>
  <c r="G194" i="5"/>
  <c r="H194" i="5"/>
  <c r="J194" i="5"/>
  <c r="L194" i="5"/>
  <c r="C195" i="5"/>
  <c r="I192" i="1"/>
  <c r="B195" i="5"/>
  <c r="G195" i="5"/>
  <c r="C196" i="5"/>
  <c r="I193" i="1"/>
  <c r="B196" i="5"/>
  <c r="G196" i="5"/>
  <c r="H196" i="5"/>
  <c r="J196" i="5"/>
  <c r="L196" i="5"/>
  <c r="I194" i="1"/>
  <c r="B197" i="5"/>
  <c r="H197" i="5"/>
  <c r="J197" i="5"/>
  <c r="L197" i="5"/>
  <c r="I195" i="1"/>
  <c r="B198" i="5"/>
  <c r="H198" i="5"/>
  <c r="J198" i="5"/>
  <c r="L198" i="5"/>
  <c r="N196" i="5"/>
  <c r="C197" i="5"/>
  <c r="G197" i="5"/>
  <c r="C198" i="5"/>
  <c r="G198" i="5"/>
  <c r="I196" i="1"/>
  <c r="B199" i="5"/>
  <c r="G199" i="5"/>
  <c r="I197" i="1"/>
  <c r="B200" i="5"/>
  <c r="I198" i="1"/>
  <c r="B201" i="5"/>
  <c r="H201" i="5"/>
  <c r="J201" i="5"/>
  <c r="L201" i="5"/>
  <c r="G201" i="5"/>
  <c r="H199" i="5"/>
  <c r="J199" i="5"/>
  <c r="L199" i="5"/>
  <c r="H200" i="5"/>
  <c r="J200" i="5"/>
  <c r="L200" i="5"/>
  <c r="N199" i="5"/>
  <c r="I199" i="1"/>
  <c r="I200" i="1"/>
  <c r="B203" i="5"/>
  <c r="G203" i="5"/>
  <c r="I201" i="1"/>
  <c r="B204" i="5"/>
  <c r="G204" i="5"/>
  <c r="E202" i="5"/>
  <c r="E203" i="5"/>
  <c r="H203" i="5"/>
  <c r="J203" i="5"/>
  <c r="L203" i="5"/>
  <c r="E204" i="5"/>
  <c r="H204" i="5"/>
  <c r="J204" i="5"/>
  <c r="L204" i="5"/>
  <c r="I202" i="1"/>
  <c r="B205" i="5"/>
  <c r="G205" i="5"/>
  <c r="I203" i="1"/>
  <c r="B206" i="5"/>
  <c r="I204" i="1"/>
  <c r="B207" i="5"/>
  <c r="H205" i="5"/>
  <c r="J205" i="5"/>
  <c r="L205" i="5"/>
  <c r="H206" i="5"/>
  <c r="J206" i="5"/>
  <c r="L206" i="5"/>
  <c r="H207" i="5"/>
  <c r="J207" i="5"/>
  <c r="L207" i="5"/>
  <c r="N205" i="5"/>
  <c r="I205" i="1"/>
  <c r="B208" i="5"/>
  <c r="G208" i="5"/>
  <c r="I206" i="1"/>
  <c r="B209" i="5"/>
  <c r="B210" i="5"/>
  <c r="G210" i="5"/>
  <c r="H208" i="5"/>
  <c r="J208" i="5"/>
  <c r="L208" i="5"/>
  <c r="H209" i="5"/>
  <c r="J209" i="5"/>
  <c r="L209" i="5"/>
  <c r="H210" i="5"/>
  <c r="J210" i="5"/>
  <c r="L210" i="5"/>
  <c r="N208" i="5"/>
  <c r="A46" i="6"/>
  <c r="H46" i="7"/>
  <c r="A49" i="6"/>
  <c r="H49" i="7"/>
  <c r="A52" i="6"/>
  <c r="H52" i="7"/>
  <c r="A55" i="6"/>
  <c r="H55" i="7"/>
  <c r="A58" i="6"/>
  <c r="H58" i="7"/>
  <c r="A61" i="6"/>
  <c r="H61" i="7"/>
  <c r="A64" i="6"/>
  <c r="H64" i="7"/>
  <c r="A67" i="6"/>
  <c r="H67" i="7"/>
  <c r="A70" i="6"/>
  <c r="H70" i="7"/>
  <c r="A73" i="6"/>
  <c r="H73" i="7"/>
  <c r="A76" i="6"/>
  <c r="H76" i="7"/>
  <c r="A79" i="6"/>
  <c r="H79" i="7"/>
  <c r="A82" i="6"/>
  <c r="H82" i="7"/>
  <c r="A85" i="6"/>
  <c r="H85" i="7"/>
  <c r="A88" i="6"/>
  <c r="H88" i="7"/>
  <c r="A91" i="6"/>
  <c r="H91" i="7"/>
  <c r="A94" i="6"/>
  <c r="H94" i="7"/>
  <c r="A97" i="6"/>
  <c r="H97" i="7"/>
  <c r="A100" i="6"/>
  <c r="H100" i="7"/>
  <c r="A103" i="6"/>
  <c r="H103" i="7"/>
  <c r="A106" i="6"/>
  <c r="H106" i="7"/>
  <c r="A109" i="6"/>
  <c r="H109" i="7"/>
  <c r="A112" i="6"/>
  <c r="H112" i="7"/>
  <c r="A115" i="6"/>
  <c r="H115" i="7"/>
  <c r="A118" i="6"/>
  <c r="H118" i="7"/>
  <c r="A121" i="6"/>
  <c r="H121" i="7"/>
  <c r="A124" i="6"/>
  <c r="H124" i="7"/>
  <c r="A127" i="6"/>
  <c r="H127" i="7"/>
  <c r="A130" i="6"/>
  <c r="H130" i="7"/>
  <c r="A133" i="6"/>
  <c r="H133" i="7"/>
  <c r="A136" i="6"/>
  <c r="H136" i="7"/>
  <c r="A139" i="6"/>
  <c r="H139" i="7"/>
  <c r="A142" i="6"/>
  <c r="H142" i="7"/>
  <c r="A145" i="6"/>
  <c r="H145" i="7"/>
  <c r="A148" i="6"/>
  <c r="H148" i="7"/>
  <c r="A151" i="6"/>
  <c r="H151" i="7"/>
  <c r="A154" i="6"/>
  <c r="H154" i="7"/>
  <c r="A157" i="6"/>
  <c r="H157" i="7"/>
  <c r="A160" i="6"/>
  <c r="H160" i="7"/>
  <c r="A163" i="6"/>
  <c r="H163" i="7"/>
  <c r="A166" i="6"/>
  <c r="H166" i="7"/>
  <c r="A169" i="6"/>
  <c r="H169" i="7"/>
  <c r="A172" i="6"/>
  <c r="H172" i="7"/>
  <c r="A175" i="6"/>
  <c r="H175" i="7"/>
  <c r="A178" i="6"/>
  <c r="H178" i="7"/>
  <c r="A181" i="6"/>
  <c r="H181" i="7"/>
  <c r="A184" i="6"/>
  <c r="H184" i="7"/>
  <c r="A187" i="6"/>
  <c r="H187" i="7"/>
  <c r="A190" i="6"/>
  <c r="H190" i="7"/>
  <c r="A193" i="6"/>
  <c r="H193" i="7"/>
  <c r="A196" i="6"/>
  <c r="H196" i="7"/>
  <c r="A199" i="6"/>
  <c r="H199" i="7"/>
  <c r="A202" i="6"/>
  <c r="H202" i="7"/>
  <c r="A43" i="6"/>
  <c r="H43" i="7"/>
  <c r="B32" i="7"/>
  <c r="C32" i="7"/>
  <c r="D32" i="7"/>
  <c r="A2" i="6"/>
  <c r="A2" i="7"/>
  <c r="E32" i="7"/>
  <c r="A1" i="7"/>
  <c r="B33" i="7"/>
  <c r="C33" i="7"/>
  <c r="D33" i="7"/>
  <c r="B34" i="7"/>
  <c r="C34" i="7"/>
  <c r="D34" i="7"/>
  <c r="E34" i="7"/>
  <c r="B35" i="7"/>
  <c r="C35" i="7"/>
  <c r="D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B42" i="7"/>
  <c r="C42" i="7"/>
  <c r="D42" i="7"/>
  <c r="E42" i="7"/>
  <c r="C31" i="7"/>
  <c r="B31" i="7"/>
  <c r="A37" i="6"/>
  <c r="A37" i="7"/>
  <c r="A40" i="6"/>
  <c r="A40" i="7"/>
  <c r="B154" i="6"/>
  <c r="C154" i="6"/>
  <c r="D154" i="6"/>
  <c r="E154" i="6"/>
  <c r="F154" i="6"/>
  <c r="D155" i="6"/>
  <c r="B155" i="6"/>
  <c r="C155" i="6"/>
  <c r="E155" i="6"/>
  <c r="F155" i="6"/>
  <c r="D156" i="6"/>
  <c r="B156" i="6"/>
  <c r="C156" i="6"/>
  <c r="E156" i="6"/>
  <c r="F156" i="6"/>
  <c r="H154" i="6"/>
  <c r="G154" i="6"/>
  <c r="I154" i="6"/>
  <c r="B157" i="6"/>
  <c r="C157" i="6"/>
  <c r="D157" i="6"/>
  <c r="E157" i="6"/>
  <c r="F157" i="6"/>
  <c r="D158" i="6"/>
  <c r="B158" i="6"/>
  <c r="C158" i="6"/>
  <c r="E158" i="6"/>
  <c r="F158" i="6"/>
  <c r="D159" i="6"/>
  <c r="B159" i="6"/>
  <c r="C159" i="6"/>
  <c r="E159" i="6"/>
  <c r="F159" i="6"/>
  <c r="I157" i="6"/>
  <c r="B160" i="6"/>
  <c r="C160" i="6"/>
  <c r="D160" i="6"/>
  <c r="E160" i="6"/>
  <c r="F160" i="6"/>
  <c r="D161" i="6"/>
  <c r="B161" i="6"/>
  <c r="C161" i="6"/>
  <c r="E161" i="6"/>
  <c r="F161" i="6"/>
  <c r="D162" i="6"/>
  <c r="B162" i="6"/>
  <c r="C162" i="6"/>
  <c r="I160" i="6"/>
  <c r="B163" i="6"/>
  <c r="C163" i="6"/>
  <c r="D163" i="6"/>
  <c r="D164" i="6"/>
  <c r="B164" i="6"/>
  <c r="C164" i="6"/>
  <c r="E164" i="6"/>
  <c r="F164" i="6"/>
  <c r="D165" i="6"/>
  <c r="B165" i="6"/>
  <c r="C165" i="6"/>
  <c r="E165" i="6"/>
  <c r="F165" i="6"/>
  <c r="I163" i="6"/>
  <c r="B166" i="6"/>
  <c r="C166" i="6"/>
  <c r="D166" i="6"/>
  <c r="E166" i="6"/>
  <c r="F166" i="6"/>
  <c r="D167" i="6"/>
  <c r="B167" i="6"/>
  <c r="C167" i="6"/>
  <c r="E167" i="6"/>
  <c r="F167" i="6"/>
  <c r="D168" i="6"/>
  <c r="B168" i="6"/>
  <c r="C168" i="6"/>
  <c r="I166" i="6"/>
  <c r="B169" i="6"/>
  <c r="C169" i="6"/>
  <c r="D169" i="6"/>
  <c r="D170" i="6"/>
  <c r="B170" i="6"/>
  <c r="C170" i="6"/>
  <c r="E170" i="6"/>
  <c r="F170" i="6"/>
  <c r="D171" i="6"/>
  <c r="B171" i="6"/>
  <c r="C171" i="6"/>
  <c r="E171" i="6"/>
  <c r="F171" i="6"/>
  <c r="I169" i="6"/>
  <c r="B172" i="6"/>
  <c r="C172" i="6"/>
  <c r="D172" i="6"/>
  <c r="E172" i="6"/>
  <c r="F172" i="6"/>
  <c r="D173" i="6"/>
  <c r="B173" i="6"/>
  <c r="C173" i="6"/>
  <c r="E173" i="6"/>
  <c r="F173" i="6"/>
  <c r="D174" i="6"/>
  <c r="B174" i="6"/>
  <c r="C174" i="6"/>
  <c r="I172" i="6"/>
  <c r="B175" i="6"/>
  <c r="C175" i="6"/>
  <c r="D175" i="6"/>
  <c r="E175" i="6"/>
  <c r="F175" i="6"/>
  <c r="D176" i="6"/>
  <c r="B176" i="6"/>
  <c r="C176" i="6"/>
  <c r="E176" i="6"/>
  <c r="F176" i="6"/>
  <c r="D177" i="6"/>
  <c r="B177" i="6"/>
  <c r="C177" i="6"/>
  <c r="E177" i="6"/>
  <c r="F177" i="6"/>
  <c r="G175" i="6"/>
  <c r="I175" i="6"/>
  <c r="B178" i="6"/>
  <c r="C178" i="6"/>
  <c r="D178" i="6"/>
  <c r="E178" i="6"/>
  <c r="F178" i="6"/>
  <c r="D179" i="6"/>
  <c r="B179" i="6"/>
  <c r="C179" i="6"/>
  <c r="E179" i="6"/>
  <c r="F179" i="6"/>
  <c r="D180" i="6"/>
  <c r="B180" i="6"/>
  <c r="C180" i="6"/>
  <c r="E180" i="6"/>
  <c r="F180" i="6"/>
  <c r="G178" i="6"/>
  <c r="I178" i="6"/>
  <c r="B181" i="6"/>
  <c r="C181" i="6"/>
  <c r="D181" i="6"/>
  <c r="D182" i="6"/>
  <c r="B182" i="6"/>
  <c r="C182" i="6"/>
  <c r="E182" i="6"/>
  <c r="F182" i="6"/>
  <c r="D183" i="6"/>
  <c r="B183" i="6"/>
  <c r="C183" i="6"/>
  <c r="E183" i="6"/>
  <c r="F183" i="6"/>
  <c r="I181" i="6"/>
  <c r="B184" i="6"/>
  <c r="C184" i="6"/>
  <c r="D184" i="6"/>
  <c r="E184" i="6"/>
  <c r="F184" i="6"/>
  <c r="D185" i="6"/>
  <c r="B185" i="6"/>
  <c r="C185" i="6"/>
  <c r="E185" i="6"/>
  <c r="F185" i="6"/>
  <c r="D186" i="6"/>
  <c r="B186" i="6"/>
  <c r="C186" i="6"/>
  <c r="E186" i="6"/>
  <c r="F186" i="6"/>
  <c r="H184" i="6"/>
  <c r="G184" i="6"/>
  <c r="I184" i="6"/>
  <c r="B187" i="6"/>
  <c r="C187" i="6"/>
  <c r="D187" i="6"/>
  <c r="E187" i="6"/>
  <c r="F187" i="6"/>
  <c r="D188" i="6"/>
  <c r="B188" i="6"/>
  <c r="C188" i="6"/>
  <c r="E188" i="6"/>
  <c r="F188" i="6"/>
  <c r="D189" i="6"/>
  <c r="B189" i="6"/>
  <c r="C189" i="6"/>
  <c r="E189" i="6"/>
  <c r="F189" i="6"/>
  <c r="G187" i="6"/>
  <c r="H187" i="6"/>
  <c r="I187" i="6"/>
  <c r="B190" i="6"/>
  <c r="C190" i="6"/>
  <c r="D190" i="6"/>
  <c r="E190" i="6"/>
  <c r="F190" i="6"/>
  <c r="D191" i="6"/>
  <c r="B191" i="6"/>
  <c r="C191" i="6"/>
  <c r="E191" i="6"/>
  <c r="F191" i="6"/>
  <c r="D192" i="6"/>
  <c r="B192" i="6"/>
  <c r="C192" i="6"/>
  <c r="E192" i="6"/>
  <c r="F192" i="6"/>
  <c r="I190" i="6"/>
  <c r="B193" i="6"/>
  <c r="C193" i="6"/>
  <c r="D193" i="6"/>
  <c r="E193" i="6"/>
  <c r="F193" i="6"/>
  <c r="D194" i="6"/>
  <c r="B194" i="6"/>
  <c r="C194" i="6"/>
  <c r="E194" i="6"/>
  <c r="D195" i="6"/>
  <c r="B195" i="6"/>
  <c r="C195" i="6"/>
  <c r="I193" i="6"/>
  <c r="B196" i="6"/>
  <c r="C196" i="6"/>
  <c r="D196" i="6"/>
  <c r="D197" i="6"/>
  <c r="B197" i="6"/>
  <c r="C197" i="6"/>
  <c r="E197" i="6"/>
  <c r="F197" i="6"/>
  <c r="D198" i="6"/>
  <c r="B198" i="6"/>
  <c r="C198" i="6"/>
  <c r="E198" i="6"/>
  <c r="F198" i="6"/>
  <c r="I196" i="6"/>
  <c r="B199" i="6"/>
  <c r="C199" i="6"/>
  <c r="D199" i="6"/>
  <c r="D200" i="6"/>
  <c r="B200" i="6"/>
  <c r="C200" i="6"/>
  <c r="E200" i="6"/>
  <c r="F200" i="6"/>
  <c r="D201" i="6"/>
  <c r="B201" i="6"/>
  <c r="C201" i="6"/>
  <c r="E201" i="6"/>
  <c r="F201" i="6"/>
  <c r="I199" i="6"/>
  <c r="B202" i="6"/>
  <c r="C202" i="6"/>
  <c r="D202" i="6"/>
  <c r="E202" i="6"/>
  <c r="F202" i="6"/>
  <c r="D203" i="6"/>
  <c r="B203" i="6"/>
  <c r="C203" i="6"/>
  <c r="E203" i="6"/>
  <c r="F203" i="6"/>
  <c r="D204" i="6"/>
  <c r="B204" i="6"/>
  <c r="C204" i="6"/>
  <c r="E204" i="6"/>
  <c r="F204" i="6"/>
  <c r="I202" i="6"/>
  <c r="B152" i="6"/>
  <c r="C152" i="6"/>
  <c r="D152" i="6"/>
  <c r="E152" i="6"/>
  <c r="F152" i="6"/>
  <c r="B153" i="6"/>
  <c r="C153" i="6"/>
  <c r="D153" i="6"/>
  <c r="E153" i="6"/>
  <c r="F153" i="6"/>
  <c r="I151" i="6"/>
  <c r="D151" i="6"/>
  <c r="B151" i="6"/>
  <c r="C151" i="6"/>
  <c r="E151" i="6"/>
  <c r="F151" i="6"/>
  <c r="B32" i="6"/>
  <c r="C32" i="6"/>
  <c r="D32" i="6"/>
  <c r="B33" i="6"/>
  <c r="C33" i="6"/>
  <c r="D33" i="6"/>
  <c r="E33" i="6"/>
  <c r="F33" i="6"/>
  <c r="B34" i="6"/>
  <c r="C34" i="6"/>
  <c r="D34" i="6"/>
  <c r="E34" i="6"/>
  <c r="F34" i="6"/>
  <c r="B35" i="6"/>
  <c r="C35" i="6"/>
  <c r="D35" i="6"/>
  <c r="E35" i="6"/>
  <c r="F35" i="6"/>
  <c r="B36" i="6"/>
  <c r="C36" i="6"/>
  <c r="D36" i="6"/>
  <c r="E36" i="6"/>
  <c r="F36" i="6"/>
  <c r="B37" i="6"/>
  <c r="C37" i="6"/>
  <c r="D37" i="6"/>
  <c r="E37" i="6"/>
  <c r="F37" i="6"/>
  <c r="B38" i="6"/>
  <c r="C38" i="6"/>
  <c r="D38" i="6"/>
  <c r="E38" i="6"/>
  <c r="F38" i="6"/>
  <c r="B39" i="6"/>
  <c r="C39" i="6"/>
  <c r="D39" i="6"/>
  <c r="E39" i="6"/>
  <c r="F39" i="6"/>
  <c r="B40" i="6"/>
  <c r="C40" i="6"/>
  <c r="D40" i="6"/>
  <c r="B41" i="6"/>
  <c r="C41" i="6"/>
  <c r="D41" i="6"/>
  <c r="E41" i="6"/>
  <c r="F41" i="6"/>
  <c r="B42" i="6"/>
  <c r="C42" i="6"/>
  <c r="D42" i="6"/>
  <c r="D31" i="6"/>
  <c r="B31" i="6"/>
  <c r="C31" i="6"/>
  <c r="E31" i="6"/>
  <c r="A34" i="6"/>
  <c r="A31" i="6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76" i="5"/>
  <c r="O79" i="5"/>
  <c r="O82" i="5"/>
  <c r="O85" i="5"/>
  <c r="O88" i="5"/>
  <c r="O91" i="5"/>
  <c r="O94" i="5"/>
  <c r="O97" i="5"/>
  <c r="O100" i="5"/>
  <c r="O103" i="5"/>
  <c r="O106" i="5"/>
  <c r="O109" i="5"/>
  <c r="O112" i="5"/>
  <c r="O115" i="5"/>
  <c r="O118" i="5"/>
  <c r="O121" i="5"/>
  <c r="O124" i="5"/>
  <c r="O127" i="5"/>
  <c r="O130" i="5"/>
  <c r="O133" i="5"/>
  <c r="O136" i="5"/>
  <c r="O139" i="5"/>
  <c r="O142" i="5"/>
  <c r="O145" i="5"/>
  <c r="O148" i="5"/>
  <c r="O151" i="5"/>
  <c r="O154" i="5"/>
  <c r="O157" i="5"/>
  <c r="O160" i="5"/>
  <c r="O163" i="5"/>
  <c r="O166" i="5"/>
  <c r="O169" i="5"/>
  <c r="O172" i="5"/>
  <c r="O175" i="5"/>
  <c r="O178" i="5"/>
  <c r="O181" i="5"/>
  <c r="O184" i="5"/>
  <c r="O187" i="5"/>
  <c r="O190" i="5"/>
  <c r="O193" i="5"/>
  <c r="O196" i="5"/>
  <c r="O199" i="5"/>
  <c r="O202" i="5"/>
  <c r="O205" i="5"/>
  <c r="O208" i="5"/>
  <c r="C28" i="5"/>
  <c r="G28" i="5"/>
  <c r="C29" i="5"/>
  <c r="I26" i="1"/>
  <c r="B29" i="5"/>
  <c r="G29" i="5"/>
  <c r="C30" i="5"/>
  <c r="I27" i="1"/>
  <c r="B30" i="5"/>
  <c r="G30" i="5"/>
  <c r="H28" i="5"/>
  <c r="J28" i="5"/>
  <c r="L28" i="5"/>
  <c r="H29" i="5"/>
  <c r="J29" i="5"/>
  <c r="L29" i="5"/>
  <c r="H30" i="5"/>
  <c r="J30" i="5"/>
  <c r="L30" i="5"/>
  <c r="Q28" i="5"/>
  <c r="C31" i="5"/>
  <c r="I28" i="1"/>
  <c r="B31" i="5"/>
  <c r="G31" i="5"/>
  <c r="C32" i="5"/>
  <c r="I29" i="1"/>
  <c r="B32" i="5"/>
  <c r="G32" i="5"/>
  <c r="C33" i="5"/>
  <c r="I30" i="1"/>
  <c r="B33" i="5"/>
  <c r="G33" i="5"/>
  <c r="H32" i="5"/>
  <c r="J32" i="5"/>
  <c r="L32" i="5"/>
  <c r="C34" i="5"/>
  <c r="I31" i="1"/>
  <c r="B34" i="5"/>
  <c r="G34" i="5"/>
  <c r="C35" i="5"/>
  <c r="I32" i="1"/>
  <c r="B35" i="5"/>
  <c r="G35" i="5"/>
  <c r="E34" i="5"/>
  <c r="H34" i="5"/>
  <c r="J34" i="5"/>
  <c r="L34" i="5"/>
  <c r="E35" i="5"/>
  <c r="H35" i="5"/>
  <c r="J35" i="5"/>
  <c r="L35" i="5"/>
  <c r="E36" i="5"/>
  <c r="H36" i="5"/>
  <c r="J36" i="5"/>
  <c r="L36" i="5"/>
  <c r="Q34" i="5"/>
  <c r="C37" i="5"/>
  <c r="I34" i="1"/>
  <c r="B37" i="5"/>
  <c r="G37" i="5"/>
  <c r="C38" i="5"/>
  <c r="I35" i="1"/>
  <c r="B38" i="5"/>
  <c r="C39" i="5"/>
  <c r="I36" i="1"/>
  <c r="B39" i="5"/>
  <c r="G39" i="5"/>
  <c r="E37" i="5"/>
  <c r="H37" i="5"/>
  <c r="J37" i="5"/>
  <c r="L37" i="5"/>
  <c r="E38" i="5"/>
  <c r="H38" i="5"/>
  <c r="J38" i="5"/>
  <c r="L38" i="5"/>
  <c r="E39" i="5"/>
  <c r="H39" i="5"/>
  <c r="J39" i="5"/>
  <c r="L39" i="5"/>
  <c r="Q37" i="5"/>
  <c r="C40" i="5"/>
  <c r="I37" i="1"/>
  <c r="B40" i="5"/>
  <c r="G40" i="5"/>
  <c r="C41" i="5"/>
  <c r="I38" i="1"/>
  <c r="B41" i="5"/>
  <c r="G41" i="5"/>
  <c r="C42" i="5"/>
  <c r="I39" i="1"/>
  <c r="B42" i="5"/>
  <c r="G42" i="5"/>
  <c r="E40" i="5"/>
  <c r="H40" i="5"/>
  <c r="J40" i="5"/>
  <c r="L40" i="5"/>
  <c r="E41" i="5"/>
  <c r="H41" i="5"/>
  <c r="J41" i="5"/>
  <c r="L41" i="5"/>
  <c r="E42" i="5"/>
  <c r="H42" i="5"/>
  <c r="J42" i="5"/>
  <c r="L42" i="5"/>
  <c r="Q40" i="5"/>
  <c r="C43" i="5"/>
  <c r="I40" i="1"/>
  <c r="B43" i="5"/>
  <c r="G43" i="5"/>
  <c r="C44" i="5"/>
  <c r="I41" i="1"/>
  <c r="B44" i="5"/>
  <c r="H44" i="5"/>
  <c r="J44" i="5"/>
  <c r="L44" i="5"/>
  <c r="G44" i="5"/>
  <c r="C45" i="5"/>
  <c r="I42" i="1"/>
  <c r="B45" i="5"/>
  <c r="G45" i="5"/>
  <c r="H43" i="5"/>
  <c r="J43" i="5"/>
  <c r="L43" i="5"/>
  <c r="H45" i="5"/>
  <c r="J45" i="5"/>
  <c r="L45" i="5"/>
  <c r="Q43" i="5"/>
  <c r="C46" i="5"/>
  <c r="I43" i="1"/>
  <c r="B46" i="5"/>
  <c r="G46" i="5"/>
  <c r="C47" i="5"/>
  <c r="I44" i="1"/>
  <c r="B47" i="5"/>
  <c r="G47" i="5"/>
  <c r="C48" i="5"/>
  <c r="I45" i="1"/>
  <c r="B48" i="5"/>
  <c r="G48" i="5"/>
  <c r="H46" i="5"/>
  <c r="J46" i="5"/>
  <c r="L46" i="5"/>
  <c r="H47" i="5"/>
  <c r="J47" i="5"/>
  <c r="L47" i="5"/>
  <c r="H48" i="5"/>
  <c r="J48" i="5"/>
  <c r="L48" i="5"/>
  <c r="Q46" i="5"/>
  <c r="C49" i="5"/>
  <c r="I46" i="1"/>
  <c r="B49" i="5"/>
  <c r="G49" i="5"/>
  <c r="C50" i="5"/>
  <c r="I47" i="1"/>
  <c r="B50" i="5"/>
  <c r="C51" i="5"/>
  <c r="I48" i="1"/>
  <c r="B51" i="5"/>
  <c r="G51" i="5"/>
  <c r="E49" i="5"/>
  <c r="H49" i="5"/>
  <c r="J49" i="5"/>
  <c r="L49" i="5"/>
  <c r="E50" i="5"/>
  <c r="H50" i="5"/>
  <c r="J50" i="5"/>
  <c r="L50" i="5"/>
  <c r="E51" i="5"/>
  <c r="H51" i="5"/>
  <c r="J51" i="5"/>
  <c r="L51" i="5"/>
  <c r="Q49" i="5"/>
  <c r="C52" i="5"/>
  <c r="I49" i="1"/>
  <c r="B52" i="5"/>
  <c r="C53" i="5"/>
  <c r="I50" i="1"/>
  <c r="B53" i="5"/>
  <c r="C54" i="5"/>
  <c r="I51" i="1"/>
  <c r="B54" i="5"/>
  <c r="G54" i="5"/>
  <c r="E52" i="5"/>
  <c r="E53" i="5"/>
  <c r="E54" i="5"/>
  <c r="H54" i="5"/>
  <c r="J54" i="5"/>
  <c r="L54" i="5"/>
  <c r="C55" i="5"/>
  <c r="I52" i="1"/>
  <c r="B55" i="5"/>
  <c r="C56" i="5"/>
  <c r="I53" i="1"/>
  <c r="B56" i="5"/>
  <c r="E56" i="5"/>
  <c r="H56" i="5"/>
  <c r="J56" i="5"/>
  <c r="L56" i="5"/>
  <c r="G56" i="5"/>
  <c r="C57" i="5"/>
  <c r="I54" i="1"/>
  <c r="B57" i="5"/>
  <c r="G57" i="5"/>
  <c r="E55" i="5"/>
  <c r="E57" i="5"/>
  <c r="C58" i="5"/>
  <c r="I55" i="1"/>
  <c r="B58" i="5"/>
  <c r="G58" i="5"/>
  <c r="C59" i="5"/>
  <c r="I56" i="1"/>
  <c r="B59" i="5"/>
  <c r="G59" i="5"/>
  <c r="C60" i="5"/>
  <c r="I57" i="1"/>
  <c r="B60" i="5"/>
  <c r="G60" i="5"/>
  <c r="H58" i="5"/>
  <c r="J58" i="5"/>
  <c r="L58" i="5"/>
  <c r="H59" i="5"/>
  <c r="J59" i="5"/>
  <c r="L59" i="5"/>
  <c r="C61" i="5"/>
  <c r="I58" i="1"/>
  <c r="B61" i="5"/>
  <c r="C62" i="5"/>
  <c r="I59" i="1"/>
  <c r="B62" i="5"/>
  <c r="C63" i="5"/>
  <c r="I60" i="1"/>
  <c r="B63" i="5"/>
  <c r="G63" i="5"/>
  <c r="H63" i="5"/>
  <c r="J63" i="5"/>
  <c r="L63" i="5"/>
  <c r="C64" i="5"/>
  <c r="I61" i="1"/>
  <c r="B64" i="5"/>
  <c r="G64" i="5"/>
  <c r="C65" i="5"/>
  <c r="I62" i="1"/>
  <c r="B65" i="5"/>
  <c r="G65" i="5"/>
  <c r="C66" i="5"/>
  <c r="I63" i="1"/>
  <c r="B66" i="5"/>
  <c r="G66" i="5"/>
  <c r="E64" i="5"/>
  <c r="H64" i="5"/>
  <c r="J64" i="5"/>
  <c r="L64" i="5"/>
  <c r="E65" i="5"/>
  <c r="H65" i="5"/>
  <c r="J65" i="5"/>
  <c r="L65" i="5"/>
  <c r="E66" i="5"/>
  <c r="H66" i="5"/>
  <c r="J66" i="5"/>
  <c r="L66" i="5"/>
  <c r="C67" i="5"/>
  <c r="I64" i="1"/>
  <c r="B67" i="5"/>
  <c r="G67" i="5"/>
  <c r="C68" i="5"/>
  <c r="I65" i="1"/>
  <c r="B68" i="5"/>
  <c r="E68" i="5"/>
  <c r="H68" i="5"/>
  <c r="J68" i="5"/>
  <c r="L68" i="5"/>
  <c r="C69" i="5"/>
  <c r="I66" i="1"/>
  <c r="B69" i="5"/>
  <c r="G69" i="5"/>
  <c r="E67" i="5"/>
  <c r="H67" i="5"/>
  <c r="J67" i="5"/>
  <c r="L67" i="5"/>
  <c r="E69" i="5"/>
  <c r="H69" i="5"/>
  <c r="J69" i="5"/>
  <c r="L69" i="5"/>
  <c r="Q67" i="5"/>
  <c r="C70" i="5"/>
  <c r="I67" i="1"/>
  <c r="B70" i="5"/>
  <c r="G70" i="5"/>
  <c r="C71" i="5"/>
  <c r="I68" i="1"/>
  <c r="B71" i="5"/>
  <c r="G71" i="5"/>
  <c r="C72" i="5"/>
  <c r="I69" i="1"/>
  <c r="B72" i="5"/>
  <c r="G72" i="5"/>
  <c r="E70" i="5"/>
  <c r="E71" i="5"/>
  <c r="H71" i="5"/>
  <c r="J71" i="5"/>
  <c r="L71" i="5"/>
  <c r="E72" i="5"/>
  <c r="H72" i="5"/>
  <c r="J72" i="5"/>
  <c r="L72" i="5"/>
  <c r="C73" i="5"/>
  <c r="I70" i="1"/>
  <c r="B73" i="5"/>
  <c r="G73" i="5"/>
  <c r="C74" i="5"/>
  <c r="I71" i="1"/>
  <c r="B74" i="5"/>
  <c r="G74" i="5"/>
  <c r="C75" i="5"/>
  <c r="I72" i="1"/>
  <c r="B75" i="5"/>
  <c r="G75" i="5"/>
  <c r="H73" i="5"/>
  <c r="J73" i="5"/>
  <c r="L73" i="5"/>
  <c r="H74" i="5"/>
  <c r="J74" i="5"/>
  <c r="L74" i="5"/>
  <c r="H75" i="5"/>
  <c r="J75" i="5"/>
  <c r="L75" i="5"/>
  <c r="Q73" i="5"/>
  <c r="C76" i="5"/>
  <c r="I73" i="1"/>
  <c r="B76" i="5"/>
  <c r="C77" i="5"/>
  <c r="I74" i="1"/>
  <c r="B77" i="5"/>
  <c r="C78" i="5"/>
  <c r="I75" i="1"/>
  <c r="B78" i="5"/>
  <c r="G78" i="5"/>
  <c r="H77" i="5"/>
  <c r="J77" i="5"/>
  <c r="L77" i="5"/>
  <c r="H78" i="5"/>
  <c r="J78" i="5"/>
  <c r="L78" i="5"/>
  <c r="I76" i="1"/>
  <c r="I77" i="1"/>
  <c r="B80" i="5"/>
  <c r="G80" i="5"/>
  <c r="I78" i="1"/>
  <c r="B81" i="5"/>
  <c r="H80" i="5"/>
  <c r="J80" i="5"/>
  <c r="L80" i="5"/>
  <c r="I79" i="1"/>
  <c r="B82" i="5"/>
  <c r="I80" i="1"/>
  <c r="B83" i="5"/>
  <c r="G83" i="5"/>
  <c r="I81" i="1"/>
  <c r="B84" i="5"/>
  <c r="E84" i="5"/>
  <c r="H84" i="5"/>
  <c r="G84" i="5"/>
  <c r="E82" i="5"/>
  <c r="E83" i="5"/>
  <c r="J84" i="5"/>
  <c r="L84" i="5"/>
  <c r="C85" i="5"/>
  <c r="I82" i="1"/>
  <c r="B85" i="5"/>
  <c r="G85" i="5"/>
  <c r="C86" i="5"/>
  <c r="I83" i="1"/>
  <c r="B86" i="5"/>
  <c r="E86" i="5"/>
  <c r="H86" i="5"/>
  <c r="J86" i="5"/>
  <c r="L86" i="5"/>
  <c r="C87" i="5"/>
  <c r="I84" i="1"/>
  <c r="B87" i="5"/>
  <c r="E85" i="5"/>
  <c r="H85" i="5"/>
  <c r="J85" i="5"/>
  <c r="L85" i="5"/>
  <c r="E87" i="5"/>
  <c r="H87" i="5"/>
  <c r="J87" i="5"/>
  <c r="L87" i="5"/>
  <c r="Q85" i="5"/>
  <c r="C88" i="5"/>
  <c r="I85" i="1"/>
  <c r="B88" i="5"/>
  <c r="G88" i="5"/>
  <c r="C89" i="5"/>
  <c r="I86" i="1"/>
  <c r="B89" i="5"/>
  <c r="G89" i="5"/>
  <c r="C90" i="5"/>
  <c r="I87" i="1"/>
  <c r="B90" i="5"/>
  <c r="G90" i="5"/>
  <c r="H88" i="5"/>
  <c r="J88" i="5"/>
  <c r="L88" i="5"/>
  <c r="H89" i="5"/>
  <c r="J89" i="5"/>
  <c r="L89" i="5"/>
  <c r="H90" i="5"/>
  <c r="J90" i="5"/>
  <c r="L90" i="5"/>
  <c r="C91" i="5"/>
  <c r="I88" i="1"/>
  <c r="B91" i="5"/>
  <c r="H91" i="5"/>
  <c r="J91" i="5"/>
  <c r="L91" i="5"/>
  <c r="I89" i="1"/>
  <c r="B92" i="5"/>
  <c r="H92" i="5"/>
  <c r="J92" i="5"/>
  <c r="L92" i="5"/>
  <c r="I90" i="1"/>
  <c r="B93" i="5"/>
  <c r="H93" i="5"/>
  <c r="J93" i="5"/>
  <c r="L93" i="5"/>
  <c r="Q91" i="5"/>
  <c r="C92" i="5"/>
  <c r="C93" i="5"/>
  <c r="C94" i="5"/>
  <c r="I91" i="1"/>
  <c r="B94" i="5"/>
  <c r="G94" i="5"/>
  <c r="C95" i="5"/>
  <c r="I92" i="1"/>
  <c r="B95" i="5"/>
  <c r="G95" i="5"/>
  <c r="C96" i="5"/>
  <c r="I93" i="1"/>
  <c r="B96" i="5"/>
  <c r="E94" i="5"/>
  <c r="E95" i="5"/>
  <c r="H95" i="5"/>
  <c r="J95" i="5"/>
  <c r="L95" i="5"/>
  <c r="E96" i="5"/>
  <c r="C97" i="5"/>
  <c r="I94" i="1"/>
  <c r="B97" i="5"/>
  <c r="C98" i="5"/>
  <c r="I95" i="1"/>
  <c r="B98" i="5"/>
  <c r="G98" i="5"/>
  <c r="C99" i="5"/>
  <c r="I96" i="1"/>
  <c r="B99" i="5"/>
  <c r="E97" i="5"/>
  <c r="E98" i="5"/>
  <c r="H98" i="5"/>
  <c r="J98" i="5"/>
  <c r="L98" i="5"/>
  <c r="E99" i="5"/>
  <c r="C100" i="5"/>
  <c r="I97" i="1"/>
  <c r="B100" i="5"/>
  <c r="C101" i="5"/>
  <c r="I98" i="1"/>
  <c r="B101" i="5"/>
  <c r="G101" i="5"/>
  <c r="C102" i="5"/>
  <c r="I99" i="1"/>
  <c r="B102" i="5"/>
  <c r="G102" i="5"/>
  <c r="E100" i="5"/>
  <c r="H100" i="5"/>
  <c r="J100" i="5"/>
  <c r="L100" i="5"/>
  <c r="E101" i="5"/>
  <c r="H101" i="5"/>
  <c r="J101" i="5"/>
  <c r="L101" i="5"/>
  <c r="E102" i="5"/>
  <c r="H102" i="5"/>
  <c r="J102" i="5"/>
  <c r="L102" i="5"/>
  <c r="Q100" i="5"/>
  <c r="C103" i="5"/>
  <c r="I100" i="1"/>
  <c r="B103" i="5"/>
  <c r="G103" i="5"/>
  <c r="C104" i="5"/>
  <c r="I101" i="1"/>
  <c r="B104" i="5"/>
  <c r="G104" i="5"/>
  <c r="C105" i="5"/>
  <c r="I102" i="1"/>
  <c r="B105" i="5"/>
  <c r="H103" i="5"/>
  <c r="J103" i="5"/>
  <c r="L103" i="5"/>
  <c r="H104" i="5"/>
  <c r="J104" i="5"/>
  <c r="L104" i="5"/>
  <c r="H105" i="5"/>
  <c r="J105" i="5"/>
  <c r="L105" i="5"/>
  <c r="Q103" i="5"/>
  <c r="C106" i="5"/>
  <c r="I103" i="1"/>
  <c r="B106" i="5"/>
  <c r="H106" i="5"/>
  <c r="J106" i="5"/>
  <c r="L106" i="5"/>
  <c r="C107" i="5"/>
  <c r="I104" i="1"/>
  <c r="B107" i="5"/>
  <c r="C108" i="5"/>
  <c r="I105" i="1"/>
  <c r="B108" i="5"/>
  <c r="H108" i="5"/>
  <c r="G108" i="5"/>
  <c r="J108" i="5"/>
  <c r="L108" i="5"/>
  <c r="C109" i="5"/>
  <c r="I106" i="1"/>
  <c r="B109" i="5"/>
  <c r="G109" i="5"/>
  <c r="C110" i="5"/>
  <c r="I107" i="1"/>
  <c r="B110" i="5"/>
  <c r="E110" i="5"/>
  <c r="H110" i="5"/>
  <c r="C111" i="5"/>
  <c r="I108" i="1"/>
  <c r="B111" i="5"/>
  <c r="G111" i="5"/>
  <c r="E109" i="5"/>
  <c r="H109" i="5"/>
  <c r="J109" i="5"/>
  <c r="L109" i="5"/>
  <c r="J110" i="5"/>
  <c r="L110" i="5"/>
  <c r="E111" i="5"/>
  <c r="H111" i="5"/>
  <c r="J111" i="5"/>
  <c r="L111" i="5"/>
  <c r="Q109" i="5"/>
  <c r="C112" i="5"/>
  <c r="I109" i="1"/>
  <c r="B112" i="5"/>
  <c r="G112" i="5"/>
  <c r="C113" i="5"/>
  <c r="I110" i="1"/>
  <c r="B113" i="5"/>
  <c r="E113" i="5"/>
  <c r="H113" i="5"/>
  <c r="J113" i="5"/>
  <c r="L113" i="5"/>
  <c r="G113" i="5"/>
  <c r="C114" i="5"/>
  <c r="I111" i="1"/>
  <c r="B114" i="5"/>
  <c r="G114" i="5"/>
  <c r="E112" i="5"/>
  <c r="E114" i="5"/>
  <c r="H114" i="5"/>
  <c r="J114" i="5"/>
  <c r="L114" i="5"/>
  <c r="C115" i="5"/>
  <c r="I112" i="1"/>
  <c r="B115" i="5"/>
  <c r="C116" i="5"/>
  <c r="I113" i="1"/>
  <c r="B116" i="5"/>
  <c r="E116" i="5"/>
  <c r="H116" i="5"/>
  <c r="J116" i="5"/>
  <c r="C117" i="5"/>
  <c r="I114" i="1"/>
  <c r="B117" i="5"/>
  <c r="E115" i="5"/>
  <c r="L116" i="5"/>
  <c r="E117" i="5"/>
  <c r="H117" i="5"/>
  <c r="J117" i="5"/>
  <c r="L117" i="5"/>
  <c r="C118" i="5"/>
  <c r="I115" i="1"/>
  <c r="B118" i="5"/>
  <c r="G118" i="5"/>
  <c r="C119" i="5"/>
  <c r="I116" i="1"/>
  <c r="B119" i="5"/>
  <c r="G119" i="5"/>
  <c r="C120" i="5"/>
  <c r="I117" i="1"/>
  <c r="B120" i="5"/>
  <c r="G120" i="5"/>
  <c r="H119" i="5"/>
  <c r="J119" i="5"/>
  <c r="L119" i="5"/>
  <c r="H120" i="5"/>
  <c r="J120" i="5"/>
  <c r="L120" i="5"/>
  <c r="C121" i="5"/>
  <c r="I118" i="1"/>
  <c r="B121" i="5"/>
  <c r="H121" i="5"/>
  <c r="J121" i="5"/>
  <c r="L121" i="5"/>
  <c r="C122" i="5"/>
  <c r="I119" i="1"/>
  <c r="B122" i="5"/>
  <c r="C123" i="5"/>
  <c r="I120" i="1"/>
  <c r="B123" i="5"/>
  <c r="H122" i="5"/>
  <c r="J122" i="5"/>
  <c r="L122" i="5"/>
  <c r="C124" i="5"/>
  <c r="I121" i="1"/>
  <c r="B124" i="5"/>
  <c r="G124" i="5"/>
  <c r="C125" i="5"/>
  <c r="I122" i="1"/>
  <c r="B125" i="5"/>
  <c r="C126" i="5"/>
  <c r="I123" i="1"/>
  <c r="B126" i="5"/>
  <c r="E124" i="5"/>
  <c r="E125" i="5"/>
  <c r="E126" i="5"/>
  <c r="H126" i="5"/>
  <c r="J126" i="5"/>
  <c r="L126" i="5"/>
  <c r="C127" i="5"/>
  <c r="I124" i="1"/>
  <c r="B127" i="5"/>
  <c r="C128" i="5"/>
  <c r="I125" i="1"/>
  <c r="B128" i="5"/>
  <c r="E128" i="5"/>
  <c r="H128" i="5"/>
  <c r="J128" i="5"/>
  <c r="L128" i="5"/>
  <c r="G128" i="5"/>
  <c r="C129" i="5"/>
  <c r="I126" i="1"/>
  <c r="B129" i="5"/>
  <c r="G129" i="5"/>
  <c r="E127" i="5"/>
  <c r="E129" i="5"/>
  <c r="H129" i="5"/>
  <c r="J129" i="5"/>
  <c r="L129" i="5"/>
  <c r="C130" i="5"/>
  <c r="I127" i="1"/>
  <c r="B130" i="5"/>
  <c r="G130" i="5"/>
  <c r="C131" i="5"/>
  <c r="I128" i="1"/>
  <c r="B131" i="5"/>
  <c r="G131" i="5"/>
  <c r="C132" i="5"/>
  <c r="I129" i="1"/>
  <c r="B132" i="5"/>
  <c r="E130" i="5"/>
  <c r="H130" i="5"/>
  <c r="J130" i="5"/>
  <c r="L130" i="5"/>
  <c r="E131" i="5"/>
  <c r="H131" i="5"/>
  <c r="J131" i="5"/>
  <c r="L131" i="5"/>
  <c r="E132" i="5"/>
  <c r="H132" i="5"/>
  <c r="J132" i="5"/>
  <c r="L132" i="5"/>
  <c r="C133" i="5"/>
  <c r="I130" i="1"/>
  <c r="B133" i="5"/>
  <c r="G133" i="5"/>
  <c r="C134" i="5"/>
  <c r="I131" i="1"/>
  <c r="B134" i="5"/>
  <c r="C135" i="5"/>
  <c r="I132" i="1"/>
  <c r="B135" i="5"/>
  <c r="H135" i="5"/>
  <c r="J135" i="5"/>
  <c r="L135" i="5"/>
  <c r="C136" i="5"/>
  <c r="I133" i="1"/>
  <c r="B136" i="5"/>
  <c r="G136" i="5"/>
  <c r="C137" i="5"/>
  <c r="I134" i="1"/>
  <c r="B137" i="5"/>
  <c r="C138" i="5"/>
  <c r="I135" i="1"/>
  <c r="B138" i="5"/>
  <c r="H136" i="5"/>
  <c r="J136" i="5"/>
  <c r="L136" i="5"/>
  <c r="Q139" i="5"/>
  <c r="Q142" i="5"/>
  <c r="Q148" i="5"/>
  <c r="Q157" i="5"/>
  <c r="Q160" i="5"/>
  <c r="Q166" i="5"/>
  <c r="Q169" i="5"/>
  <c r="Q172" i="5"/>
  <c r="Q175" i="5"/>
  <c r="Q181" i="5"/>
  <c r="Q187" i="5"/>
  <c r="Q196" i="5"/>
  <c r="Q199" i="5"/>
  <c r="Q205" i="5"/>
  <c r="Q208" i="5"/>
  <c r="E25" i="5"/>
  <c r="I22" i="1"/>
  <c r="B25" i="5"/>
  <c r="H25" i="5"/>
  <c r="J25" i="5"/>
  <c r="L25" i="5"/>
  <c r="E26" i="5"/>
  <c r="I23" i="1"/>
  <c r="B26" i="5"/>
  <c r="H26" i="5"/>
  <c r="J26" i="5"/>
  <c r="L26" i="5"/>
  <c r="E27" i="5"/>
  <c r="I24" i="1"/>
  <c r="B27" i="5"/>
  <c r="H27" i="5"/>
  <c r="J27" i="5"/>
  <c r="L27" i="5"/>
  <c r="Q25" i="5"/>
  <c r="C25" i="5"/>
  <c r="G25" i="5"/>
  <c r="C26" i="5"/>
  <c r="G26" i="5"/>
  <c r="C27" i="5"/>
  <c r="A154" i="5"/>
  <c r="A157" i="5"/>
  <c r="A160" i="5"/>
  <c r="A163" i="5"/>
  <c r="A166" i="5"/>
  <c r="A169" i="5"/>
  <c r="A172" i="5"/>
  <c r="A175" i="5"/>
  <c r="A178" i="5"/>
  <c r="A181" i="5"/>
  <c r="A184" i="5"/>
  <c r="A187" i="5"/>
  <c r="A190" i="5"/>
  <c r="A193" i="5"/>
  <c r="A196" i="5"/>
  <c r="A199" i="5"/>
  <c r="A202" i="5"/>
  <c r="F202" i="5"/>
  <c r="F203" i="5"/>
  <c r="A205" i="5"/>
  <c r="A208" i="5"/>
  <c r="A151" i="5"/>
  <c r="O13" i="5"/>
  <c r="O16" i="5"/>
  <c r="I145" i="6"/>
  <c r="I142" i="6"/>
  <c r="I139" i="6"/>
  <c r="I136" i="6"/>
  <c r="I133" i="6"/>
  <c r="I130" i="6"/>
  <c r="I127" i="6"/>
  <c r="I124" i="6"/>
  <c r="I121" i="6"/>
  <c r="I118" i="6"/>
  <c r="I115" i="6"/>
  <c r="I112" i="6"/>
  <c r="I109" i="6"/>
  <c r="I106" i="6"/>
  <c r="I103" i="6"/>
  <c r="I100" i="6"/>
  <c r="I97" i="6"/>
  <c r="I94" i="6"/>
  <c r="I91" i="6"/>
  <c r="I88" i="6"/>
  <c r="I85" i="6"/>
  <c r="I82" i="6"/>
  <c r="I79" i="6"/>
  <c r="I76" i="6"/>
  <c r="I73" i="6"/>
  <c r="I70" i="6"/>
  <c r="I67" i="6"/>
  <c r="I64" i="6"/>
  <c r="I61" i="6"/>
  <c r="I58" i="6"/>
  <c r="I55" i="6"/>
  <c r="I52" i="6"/>
  <c r="I49" i="6"/>
  <c r="I46" i="6"/>
  <c r="I43" i="6"/>
  <c r="I148" i="6"/>
  <c r="C202" i="7"/>
  <c r="B202" i="7"/>
  <c r="D202" i="7"/>
  <c r="E202" i="7"/>
  <c r="C203" i="7"/>
  <c r="B203" i="7"/>
  <c r="D203" i="7"/>
  <c r="E203" i="7"/>
  <c r="C204" i="7"/>
  <c r="B204" i="7"/>
  <c r="D204" i="7"/>
  <c r="E204" i="7"/>
  <c r="G202" i="7"/>
  <c r="C199" i="7"/>
  <c r="B199" i="7"/>
  <c r="D199" i="7"/>
  <c r="E199" i="7"/>
  <c r="C200" i="7"/>
  <c r="B200" i="7"/>
  <c r="D200" i="7"/>
  <c r="E200" i="7"/>
  <c r="C201" i="7"/>
  <c r="B201" i="7"/>
  <c r="D201" i="7"/>
  <c r="E201" i="7"/>
  <c r="C196" i="7"/>
  <c r="B196" i="7"/>
  <c r="D196" i="7"/>
  <c r="E196" i="7"/>
  <c r="C197" i="7"/>
  <c r="B197" i="7"/>
  <c r="D197" i="7"/>
  <c r="E197" i="7"/>
  <c r="C198" i="7"/>
  <c r="B198" i="7"/>
  <c r="D198" i="7"/>
  <c r="E198" i="7"/>
  <c r="G196" i="7"/>
  <c r="C193" i="7"/>
  <c r="B193" i="7"/>
  <c r="D193" i="7"/>
  <c r="E193" i="7"/>
  <c r="C194" i="7"/>
  <c r="B194" i="7"/>
  <c r="D194" i="7"/>
  <c r="E194" i="7"/>
  <c r="C195" i="7"/>
  <c r="B195" i="7"/>
  <c r="D195" i="7"/>
  <c r="E195" i="7"/>
  <c r="G193" i="7"/>
  <c r="C190" i="7"/>
  <c r="B190" i="7"/>
  <c r="D190" i="7"/>
  <c r="E190" i="7"/>
  <c r="C191" i="7"/>
  <c r="B191" i="7"/>
  <c r="D191" i="7"/>
  <c r="E191" i="7"/>
  <c r="C192" i="7"/>
  <c r="B192" i="7"/>
  <c r="D192" i="7"/>
  <c r="E192" i="7"/>
  <c r="G190" i="7"/>
  <c r="C187" i="7"/>
  <c r="B187" i="7"/>
  <c r="D187" i="7"/>
  <c r="E187" i="7"/>
  <c r="C188" i="7"/>
  <c r="B188" i="7"/>
  <c r="D188" i="7"/>
  <c r="E188" i="7"/>
  <c r="C189" i="7"/>
  <c r="B189" i="7"/>
  <c r="D189" i="7"/>
  <c r="E189" i="7"/>
  <c r="G187" i="7"/>
  <c r="C184" i="7"/>
  <c r="B184" i="7"/>
  <c r="D184" i="7"/>
  <c r="E184" i="7"/>
  <c r="C185" i="7"/>
  <c r="B185" i="7"/>
  <c r="D185" i="7"/>
  <c r="E185" i="7"/>
  <c r="C186" i="7"/>
  <c r="B186" i="7"/>
  <c r="D186" i="7"/>
  <c r="E186" i="7"/>
  <c r="G184" i="7"/>
  <c r="C181" i="7"/>
  <c r="B181" i="7"/>
  <c r="D181" i="7"/>
  <c r="E181" i="7"/>
  <c r="C182" i="7"/>
  <c r="B182" i="7"/>
  <c r="D182" i="7"/>
  <c r="E182" i="7"/>
  <c r="C183" i="7"/>
  <c r="B183" i="7"/>
  <c r="D183" i="7"/>
  <c r="E183" i="7"/>
  <c r="G181" i="7"/>
  <c r="C178" i="7"/>
  <c r="B178" i="7"/>
  <c r="D178" i="7"/>
  <c r="E178" i="7"/>
  <c r="C179" i="7"/>
  <c r="B179" i="7"/>
  <c r="D179" i="7"/>
  <c r="E179" i="7"/>
  <c r="C180" i="7"/>
  <c r="B180" i="7"/>
  <c r="D180" i="7"/>
  <c r="E180" i="7"/>
  <c r="G178" i="7"/>
  <c r="C175" i="7"/>
  <c r="B175" i="7"/>
  <c r="D175" i="7"/>
  <c r="E175" i="7"/>
  <c r="C176" i="7"/>
  <c r="B176" i="7"/>
  <c r="D176" i="7"/>
  <c r="E176" i="7"/>
  <c r="C177" i="7"/>
  <c r="B177" i="7"/>
  <c r="D177" i="7"/>
  <c r="E177" i="7"/>
  <c r="G175" i="7"/>
  <c r="C172" i="7"/>
  <c r="B172" i="7"/>
  <c r="D172" i="7"/>
  <c r="E172" i="7"/>
  <c r="C173" i="7"/>
  <c r="B173" i="7"/>
  <c r="D173" i="7"/>
  <c r="E173" i="7"/>
  <c r="C174" i="7"/>
  <c r="B174" i="7"/>
  <c r="C169" i="7"/>
  <c r="B169" i="7"/>
  <c r="D169" i="7"/>
  <c r="E169" i="7"/>
  <c r="C170" i="7"/>
  <c r="B170" i="7"/>
  <c r="D170" i="7"/>
  <c r="E170" i="7"/>
  <c r="C171" i="7"/>
  <c r="B171" i="7"/>
  <c r="D171" i="7"/>
  <c r="E171" i="7"/>
  <c r="C166" i="7"/>
  <c r="B166" i="7"/>
  <c r="D166" i="7"/>
  <c r="E166" i="7"/>
  <c r="C167" i="7"/>
  <c r="B167" i="7"/>
  <c r="D167" i="7"/>
  <c r="E167" i="7"/>
  <c r="C168" i="7"/>
  <c r="B168" i="7"/>
  <c r="D168" i="7"/>
  <c r="E168" i="7"/>
  <c r="G166" i="7"/>
  <c r="C163" i="7"/>
  <c r="B163" i="7"/>
  <c r="D163" i="7"/>
  <c r="E163" i="7"/>
  <c r="C164" i="7"/>
  <c r="B164" i="7"/>
  <c r="D164" i="7"/>
  <c r="E164" i="7"/>
  <c r="C165" i="7"/>
  <c r="B165" i="7"/>
  <c r="D165" i="7"/>
  <c r="E165" i="7"/>
  <c r="F163" i="7"/>
  <c r="C160" i="7"/>
  <c r="B160" i="7"/>
  <c r="D160" i="7"/>
  <c r="E160" i="7"/>
  <c r="C161" i="7"/>
  <c r="B161" i="7"/>
  <c r="C162" i="7"/>
  <c r="B162" i="7"/>
  <c r="D162" i="7"/>
  <c r="E162" i="7"/>
  <c r="D161" i="7"/>
  <c r="E161" i="7"/>
  <c r="G160" i="7"/>
  <c r="C157" i="7"/>
  <c r="B157" i="7"/>
  <c r="D157" i="7"/>
  <c r="E157" i="7"/>
  <c r="C158" i="7"/>
  <c r="B158" i="7"/>
  <c r="D158" i="7"/>
  <c r="E158" i="7"/>
  <c r="C159" i="7"/>
  <c r="B159" i="7"/>
  <c r="D159" i="7"/>
  <c r="E159" i="7"/>
  <c r="G157" i="7"/>
  <c r="C154" i="7"/>
  <c r="B154" i="7"/>
  <c r="D154" i="7"/>
  <c r="E154" i="7"/>
  <c r="C155" i="7"/>
  <c r="B155" i="7"/>
  <c r="D155" i="7"/>
  <c r="E155" i="7"/>
  <c r="C156" i="7"/>
  <c r="B156" i="7"/>
  <c r="D156" i="7"/>
  <c r="E156" i="7"/>
  <c r="G154" i="7"/>
  <c r="C151" i="7"/>
  <c r="B151" i="7"/>
  <c r="D151" i="7"/>
  <c r="E151" i="7"/>
  <c r="C152" i="7"/>
  <c r="B152" i="7"/>
  <c r="D152" i="7"/>
  <c r="E152" i="7"/>
  <c r="C153" i="7"/>
  <c r="B153" i="7"/>
  <c r="D153" i="7"/>
  <c r="E153" i="7"/>
  <c r="G151" i="7"/>
  <c r="C148" i="7"/>
  <c r="B148" i="7"/>
  <c r="C149" i="7"/>
  <c r="B149" i="7"/>
  <c r="D149" i="7"/>
  <c r="E149" i="7"/>
  <c r="C150" i="7"/>
  <c r="B150" i="7"/>
  <c r="D150" i="7"/>
  <c r="E150" i="7"/>
  <c r="C145" i="7"/>
  <c r="B145" i="7"/>
  <c r="D145" i="7"/>
  <c r="E145" i="7"/>
  <c r="C146" i="7"/>
  <c r="B146" i="7"/>
  <c r="D146" i="7"/>
  <c r="E146" i="7"/>
  <c r="C147" i="7"/>
  <c r="B147" i="7"/>
  <c r="D147" i="7"/>
  <c r="E147" i="7"/>
  <c r="G145" i="7"/>
  <c r="C142" i="7"/>
  <c r="B142" i="7"/>
  <c r="C143" i="7"/>
  <c r="B143" i="7"/>
  <c r="D143" i="7"/>
  <c r="E143" i="7"/>
  <c r="C144" i="7"/>
  <c r="B144" i="7"/>
  <c r="C139" i="7"/>
  <c r="B139" i="7"/>
  <c r="D139" i="7"/>
  <c r="E139" i="7"/>
  <c r="C140" i="7"/>
  <c r="B140" i="7"/>
  <c r="D140" i="7"/>
  <c r="E140" i="7"/>
  <c r="C141" i="7"/>
  <c r="B141" i="7"/>
  <c r="D141" i="7"/>
  <c r="E141" i="7"/>
  <c r="G139" i="7"/>
  <c r="C136" i="7"/>
  <c r="B136" i="7"/>
  <c r="D136" i="7"/>
  <c r="E136" i="7"/>
  <c r="C137" i="7"/>
  <c r="B137" i="7"/>
  <c r="D137" i="7"/>
  <c r="E137" i="7"/>
  <c r="C138" i="7"/>
  <c r="B138" i="7"/>
  <c r="D138" i="7"/>
  <c r="E138" i="7"/>
  <c r="G136" i="7"/>
  <c r="C133" i="7"/>
  <c r="B133" i="7"/>
  <c r="D133" i="7"/>
  <c r="E133" i="7"/>
  <c r="C134" i="7"/>
  <c r="B134" i="7"/>
  <c r="D134" i="7"/>
  <c r="E134" i="7"/>
  <c r="C135" i="7"/>
  <c r="B135" i="7"/>
  <c r="D135" i="7"/>
  <c r="E135" i="7"/>
  <c r="G133" i="7"/>
  <c r="C130" i="7"/>
  <c r="B130" i="7"/>
  <c r="D130" i="7"/>
  <c r="E130" i="7"/>
  <c r="C131" i="7"/>
  <c r="B131" i="7"/>
  <c r="D131" i="7"/>
  <c r="E131" i="7"/>
  <c r="C132" i="7"/>
  <c r="B132" i="7"/>
  <c r="D132" i="7"/>
  <c r="E132" i="7"/>
  <c r="G130" i="7"/>
  <c r="C127" i="7"/>
  <c r="B127" i="7"/>
  <c r="D127" i="7"/>
  <c r="E127" i="7"/>
  <c r="C128" i="7"/>
  <c r="B128" i="7"/>
  <c r="D128" i="7"/>
  <c r="E128" i="7"/>
  <c r="C129" i="7"/>
  <c r="B129" i="7"/>
  <c r="D129" i="7"/>
  <c r="E129" i="7"/>
  <c r="G127" i="7"/>
  <c r="C124" i="7"/>
  <c r="B124" i="7"/>
  <c r="D124" i="7"/>
  <c r="E124" i="7"/>
  <c r="C125" i="7"/>
  <c r="B125" i="7"/>
  <c r="D125" i="7"/>
  <c r="E125" i="7"/>
  <c r="C126" i="7"/>
  <c r="B126" i="7"/>
  <c r="D126" i="7"/>
  <c r="E126" i="7"/>
  <c r="G124" i="7"/>
  <c r="C121" i="7"/>
  <c r="B121" i="7"/>
  <c r="D121" i="7"/>
  <c r="E121" i="7"/>
  <c r="C122" i="7"/>
  <c r="B122" i="7"/>
  <c r="D122" i="7"/>
  <c r="E122" i="7"/>
  <c r="C123" i="7"/>
  <c r="B123" i="7"/>
  <c r="D123" i="7"/>
  <c r="E123" i="7"/>
  <c r="C118" i="7"/>
  <c r="B118" i="7"/>
  <c r="D118" i="7"/>
  <c r="E118" i="7"/>
  <c r="C119" i="7"/>
  <c r="B119" i="7"/>
  <c r="D119" i="7"/>
  <c r="E119" i="7"/>
  <c r="C120" i="7"/>
  <c r="B120" i="7"/>
  <c r="D120" i="7"/>
  <c r="E120" i="7"/>
  <c r="C115" i="7"/>
  <c r="B115" i="7"/>
  <c r="D115" i="7"/>
  <c r="E115" i="7"/>
  <c r="C116" i="7"/>
  <c r="B116" i="7"/>
  <c r="D116" i="7"/>
  <c r="E116" i="7"/>
  <c r="C117" i="7"/>
  <c r="B117" i="7"/>
  <c r="D117" i="7"/>
  <c r="E117" i="7"/>
  <c r="G115" i="7"/>
  <c r="C112" i="7"/>
  <c r="B112" i="7"/>
  <c r="D112" i="7"/>
  <c r="E112" i="7"/>
  <c r="C113" i="7"/>
  <c r="B113" i="7"/>
  <c r="D113" i="7"/>
  <c r="E113" i="7"/>
  <c r="C114" i="7"/>
  <c r="B114" i="7"/>
  <c r="D114" i="7"/>
  <c r="E114" i="7"/>
  <c r="G112" i="7"/>
  <c r="C109" i="7"/>
  <c r="B109" i="7"/>
  <c r="D109" i="7"/>
  <c r="E109" i="7"/>
  <c r="C110" i="7"/>
  <c r="B110" i="7"/>
  <c r="D110" i="7"/>
  <c r="E110" i="7"/>
  <c r="C111" i="7"/>
  <c r="B111" i="7"/>
  <c r="D111" i="7"/>
  <c r="E111" i="7"/>
  <c r="C106" i="7"/>
  <c r="B106" i="7"/>
  <c r="D106" i="7"/>
  <c r="E106" i="7"/>
  <c r="C107" i="7"/>
  <c r="B107" i="7"/>
  <c r="C108" i="7"/>
  <c r="B108" i="7"/>
  <c r="D108" i="7"/>
  <c r="E108" i="7"/>
  <c r="C103" i="7"/>
  <c r="B103" i="7"/>
  <c r="D103" i="7"/>
  <c r="E103" i="7"/>
  <c r="C104" i="7"/>
  <c r="B104" i="7"/>
  <c r="D104" i="7"/>
  <c r="E104" i="7"/>
  <c r="C105" i="7"/>
  <c r="B105" i="7"/>
  <c r="D105" i="7"/>
  <c r="E105" i="7"/>
  <c r="G103" i="7"/>
  <c r="C100" i="7"/>
  <c r="B100" i="7"/>
  <c r="C101" i="7"/>
  <c r="B101" i="7"/>
  <c r="D101" i="7"/>
  <c r="E101" i="7"/>
  <c r="C102" i="7"/>
  <c r="B102" i="7"/>
  <c r="D102" i="7"/>
  <c r="E102" i="7"/>
  <c r="C97" i="7"/>
  <c r="B97" i="7"/>
  <c r="D97" i="7"/>
  <c r="E97" i="7"/>
  <c r="C98" i="7"/>
  <c r="B98" i="7"/>
  <c r="D98" i="7"/>
  <c r="E98" i="7"/>
  <c r="C99" i="7"/>
  <c r="B99" i="7"/>
  <c r="D99" i="7"/>
  <c r="E99" i="7"/>
  <c r="F97" i="7"/>
  <c r="G97" i="7"/>
  <c r="C94" i="7"/>
  <c r="B94" i="7"/>
  <c r="C95" i="7"/>
  <c r="B95" i="7"/>
  <c r="D95" i="7"/>
  <c r="E95" i="7"/>
  <c r="C96" i="7"/>
  <c r="B96" i="7"/>
  <c r="C91" i="7"/>
  <c r="B91" i="7"/>
  <c r="D91" i="7"/>
  <c r="E91" i="7"/>
  <c r="C92" i="7"/>
  <c r="B92" i="7"/>
  <c r="D92" i="7"/>
  <c r="E92" i="7"/>
  <c r="C93" i="7"/>
  <c r="B93" i="7"/>
  <c r="D93" i="7"/>
  <c r="E93" i="7"/>
  <c r="C88" i="7"/>
  <c r="B88" i="7"/>
  <c r="D88" i="7"/>
  <c r="E88" i="7"/>
  <c r="C89" i="7"/>
  <c r="B89" i="7"/>
  <c r="D89" i="7"/>
  <c r="E89" i="7"/>
  <c r="C90" i="7"/>
  <c r="B90" i="7"/>
  <c r="D90" i="7"/>
  <c r="E90" i="7"/>
  <c r="C85" i="7"/>
  <c r="B85" i="7"/>
  <c r="D85" i="7"/>
  <c r="E85" i="7"/>
  <c r="C86" i="7"/>
  <c r="B86" i="7"/>
  <c r="D86" i="7"/>
  <c r="E86" i="7"/>
  <c r="C87" i="7"/>
  <c r="B87" i="7"/>
  <c r="D87" i="7"/>
  <c r="E87" i="7"/>
  <c r="G85" i="7"/>
  <c r="C82" i="7"/>
  <c r="B82" i="7"/>
  <c r="D82" i="7"/>
  <c r="E82" i="7"/>
  <c r="C83" i="7"/>
  <c r="B83" i="7"/>
  <c r="C84" i="7"/>
  <c r="B84" i="7"/>
  <c r="D84" i="7"/>
  <c r="E84" i="7"/>
  <c r="D83" i="7"/>
  <c r="E83" i="7"/>
  <c r="G82" i="7"/>
  <c r="C79" i="7"/>
  <c r="B79" i="7"/>
  <c r="D79" i="7"/>
  <c r="E79" i="7"/>
  <c r="C80" i="7"/>
  <c r="B80" i="7"/>
  <c r="D80" i="7"/>
  <c r="E80" i="7"/>
  <c r="C81" i="7"/>
  <c r="B81" i="7"/>
  <c r="D81" i="7"/>
  <c r="E81" i="7"/>
  <c r="C76" i="7"/>
  <c r="B76" i="7"/>
  <c r="D76" i="7"/>
  <c r="E76" i="7"/>
  <c r="C77" i="7"/>
  <c r="B77" i="7"/>
  <c r="D77" i="7"/>
  <c r="E77" i="7"/>
  <c r="C78" i="7"/>
  <c r="B78" i="7"/>
  <c r="D78" i="7"/>
  <c r="E78" i="7"/>
  <c r="C73" i="7"/>
  <c r="B73" i="7"/>
  <c r="D73" i="7"/>
  <c r="E73" i="7"/>
  <c r="C74" i="7"/>
  <c r="B74" i="7"/>
  <c r="D74" i="7"/>
  <c r="E74" i="7"/>
  <c r="C75" i="7"/>
  <c r="B75" i="7"/>
  <c r="D75" i="7"/>
  <c r="E75" i="7"/>
  <c r="G73" i="7"/>
  <c r="C70" i="7"/>
  <c r="B70" i="7"/>
  <c r="C71" i="7"/>
  <c r="B71" i="7"/>
  <c r="C72" i="7"/>
  <c r="B72" i="7"/>
  <c r="C67" i="7"/>
  <c r="B67" i="7"/>
  <c r="C68" i="7"/>
  <c r="B68" i="7"/>
  <c r="D68" i="7"/>
  <c r="E68" i="7"/>
  <c r="C69" i="7"/>
  <c r="B69" i="7"/>
  <c r="D69" i="7"/>
  <c r="E69" i="7"/>
  <c r="C64" i="7"/>
  <c r="B64" i="7"/>
  <c r="D64" i="7"/>
  <c r="E64" i="7"/>
  <c r="C65" i="7"/>
  <c r="B65" i="7"/>
  <c r="D65" i="7"/>
  <c r="E65" i="7"/>
  <c r="C66" i="7"/>
  <c r="B66" i="7"/>
  <c r="D66" i="7"/>
  <c r="E66" i="7"/>
  <c r="F64" i="7"/>
  <c r="C61" i="7"/>
  <c r="B61" i="7"/>
  <c r="D61" i="7"/>
  <c r="E61" i="7"/>
  <c r="C62" i="7"/>
  <c r="B62" i="7"/>
  <c r="D62" i="7"/>
  <c r="E62" i="7"/>
  <c r="C63" i="7"/>
  <c r="B63" i="7"/>
  <c r="D63" i="7"/>
  <c r="E63" i="7"/>
  <c r="G61" i="7"/>
  <c r="C58" i="7"/>
  <c r="B58" i="7"/>
  <c r="D58" i="7"/>
  <c r="E58" i="7"/>
  <c r="C59" i="7"/>
  <c r="B59" i="7"/>
  <c r="D59" i="7"/>
  <c r="E59" i="7"/>
  <c r="C60" i="7"/>
  <c r="B60" i="7"/>
  <c r="D60" i="7"/>
  <c r="E60" i="7"/>
  <c r="C55" i="7"/>
  <c r="B55" i="7"/>
  <c r="D55" i="7"/>
  <c r="E55" i="7"/>
  <c r="C56" i="7"/>
  <c r="B56" i="7"/>
  <c r="D56" i="7"/>
  <c r="E56" i="7"/>
  <c r="C57" i="7"/>
  <c r="B57" i="7"/>
  <c r="D57" i="7"/>
  <c r="E57" i="7"/>
  <c r="G55" i="7"/>
  <c r="C52" i="7"/>
  <c r="B52" i="7"/>
  <c r="C53" i="7"/>
  <c r="B53" i="7"/>
  <c r="D53" i="7"/>
  <c r="E53" i="7"/>
  <c r="C54" i="7"/>
  <c r="B54" i="7"/>
  <c r="C49" i="7"/>
  <c r="B49" i="7"/>
  <c r="D49" i="7"/>
  <c r="E49" i="7"/>
  <c r="C50" i="7"/>
  <c r="B50" i="7"/>
  <c r="D50" i="7"/>
  <c r="E50" i="7"/>
  <c r="C51" i="7"/>
  <c r="B51" i="7"/>
  <c r="D51" i="7"/>
  <c r="E51" i="7"/>
  <c r="F49" i="7"/>
  <c r="C46" i="7"/>
  <c r="B46" i="7"/>
  <c r="C47" i="7"/>
  <c r="B47" i="7"/>
  <c r="D47" i="7"/>
  <c r="E47" i="7"/>
  <c r="C48" i="7"/>
  <c r="B48" i="7"/>
  <c r="C43" i="7"/>
  <c r="B43" i="7"/>
  <c r="D43" i="7"/>
  <c r="E43" i="7"/>
  <c r="C44" i="7"/>
  <c r="B44" i="7"/>
  <c r="D44" i="7"/>
  <c r="E44" i="7"/>
  <c r="C45" i="7"/>
  <c r="B45" i="7"/>
  <c r="D45" i="7"/>
  <c r="E45" i="7"/>
  <c r="D148" i="6"/>
  <c r="B148" i="6"/>
  <c r="C148" i="6"/>
  <c r="E148" i="6"/>
  <c r="F148" i="6"/>
  <c r="D149" i="6"/>
  <c r="B149" i="6"/>
  <c r="C149" i="6"/>
  <c r="E149" i="6"/>
  <c r="F149" i="6"/>
  <c r="D150" i="6"/>
  <c r="B150" i="6"/>
  <c r="C150" i="6"/>
  <c r="E150" i="6"/>
  <c r="F150" i="6"/>
  <c r="H148" i="6"/>
  <c r="D145" i="6"/>
  <c r="B145" i="6"/>
  <c r="C145" i="6"/>
  <c r="E145" i="6"/>
  <c r="F145" i="6"/>
  <c r="D146" i="6"/>
  <c r="B146" i="6"/>
  <c r="C146" i="6"/>
  <c r="E146" i="6"/>
  <c r="F146" i="6"/>
  <c r="D147" i="6"/>
  <c r="B147" i="6"/>
  <c r="C147" i="6"/>
  <c r="E147" i="6"/>
  <c r="F147" i="6"/>
  <c r="H145" i="6"/>
  <c r="D142" i="6"/>
  <c r="B142" i="6"/>
  <c r="C142" i="6"/>
  <c r="E142" i="6"/>
  <c r="F142" i="6"/>
  <c r="D143" i="6"/>
  <c r="B143" i="6"/>
  <c r="C143" i="6"/>
  <c r="E143" i="6"/>
  <c r="F143" i="6"/>
  <c r="D144" i="6"/>
  <c r="B144" i="6"/>
  <c r="C144" i="6"/>
  <c r="D139" i="6"/>
  <c r="B139" i="6"/>
  <c r="C139" i="6"/>
  <c r="E139" i="6"/>
  <c r="F139" i="6"/>
  <c r="D140" i="6"/>
  <c r="B140" i="6"/>
  <c r="C140" i="6"/>
  <c r="D141" i="6"/>
  <c r="B141" i="6"/>
  <c r="C141" i="6"/>
  <c r="E141" i="6"/>
  <c r="F141" i="6"/>
  <c r="D136" i="6"/>
  <c r="B136" i="6"/>
  <c r="C136" i="6"/>
  <c r="E136" i="6"/>
  <c r="F136" i="6"/>
  <c r="D137" i="6"/>
  <c r="B137" i="6"/>
  <c r="C137" i="6"/>
  <c r="E137" i="6"/>
  <c r="F137" i="6"/>
  <c r="D138" i="6"/>
  <c r="B138" i="6"/>
  <c r="C138" i="6"/>
  <c r="E138" i="6"/>
  <c r="F138" i="6"/>
  <c r="H136" i="6"/>
  <c r="D133" i="6"/>
  <c r="B133" i="6"/>
  <c r="C133" i="6"/>
  <c r="E133" i="6"/>
  <c r="F133" i="6"/>
  <c r="D134" i="6"/>
  <c r="B134" i="6"/>
  <c r="C134" i="6"/>
  <c r="E134" i="6"/>
  <c r="F134" i="6"/>
  <c r="D135" i="6"/>
  <c r="B135" i="6"/>
  <c r="C135" i="6"/>
  <c r="E135" i="6"/>
  <c r="F135" i="6"/>
  <c r="G133" i="6"/>
  <c r="H133" i="6"/>
  <c r="D130" i="6"/>
  <c r="B130" i="6"/>
  <c r="C130" i="6"/>
  <c r="E130" i="6"/>
  <c r="F130" i="6"/>
  <c r="D131" i="6"/>
  <c r="B131" i="6"/>
  <c r="C131" i="6"/>
  <c r="E131" i="6"/>
  <c r="F131" i="6"/>
  <c r="D132" i="6"/>
  <c r="B132" i="6"/>
  <c r="C132" i="6"/>
  <c r="E132" i="6"/>
  <c r="F132" i="6"/>
  <c r="H130" i="6"/>
  <c r="D127" i="6"/>
  <c r="B127" i="6"/>
  <c r="C127" i="6"/>
  <c r="E127" i="6"/>
  <c r="F127" i="6"/>
  <c r="D128" i="6"/>
  <c r="B128" i="6"/>
  <c r="C128" i="6"/>
  <c r="D129" i="6"/>
  <c r="B129" i="6"/>
  <c r="C129" i="6"/>
  <c r="E129" i="6"/>
  <c r="F129" i="6"/>
  <c r="D124" i="6"/>
  <c r="B124" i="6"/>
  <c r="C124" i="6"/>
  <c r="E124" i="6"/>
  <c r="F124" i="6"/>
  <c r="D125" i="6"/>
  <c r="B125" i="6"/>
  <c r="C125" i="6"/>
  <c r="D126" i="6"/>
  <c r="B126" i="6"/>
  <c r="C126" i="6"/>
  <c r="E126" i="6"/>
  <c r="F126" i="6"/>
  <c r="D121" i="6"/>
  <c r="B121" i="6"/>
  <c r="C121" i="6"/>
  <c r="E121" i="6"/>
  <c r="F121" i="6"/>
  <c r="D122" i="6"/>
  <c r="B122" i="6"/>
  <c r="C122" i="6"/>
  <c r="D123" i="6"/>
  <c r="B123" i="6"/>
  <c r="C123" i="6"/>
  <c r="E123" i="6"/>
  <c r="F123" i="6"/>
  <c r="D118" i="6"/>
  <c r="B118" i="6"/>
  <c r="C118" i="6"/>
  <c r="E118" i="6"/>
  <c r="F118" i="6"/>
  <c r="D119" i="6"/>
  <c r="B119" i="6"/>
  <c r="C119" i="6"/>
  <c r="E119" i="6"/>
  <c r="F119" i="6"/>
  <c r="D120" i="6"/>
  <c r="B120" i="6"/>
  <c r="C120" i="6"/>
  <c r="E120" i="6"/>
  <c r="F120" i="6"/>
  <c r="D115" i="6"/>
  <c r="B115" i="6"/>
  <c r="C115" i="6"/>
  <c r="E115" i="6"/>
  <c r="F115" i="6"/>
  <c r="D116" i="6"/>
  <c r="B116" i="6"/>
  <c r="C116" i="6"/>
  <c r="E116" i="6"/>
  <c r="F116" i="6"/>
  <c r="D117" i="6"/>
  <c r="B117" i="6"/>
  <c r="C117" i="6"/>
  <c r="E117" i="6"/>
  <c r="F117" i="6"/>
  <c r="H115" i="6"/>
  <c r="D112" i="6"/>
  <c r="B112" i="6"/>
  <c r="C112" i="6"/>
  <c r="E112" i="6"/>
  <c r="F112" i="6"/>
  <c r="D113" i="6"/>
  <c r="B113" i="6"/>
  <c r="C113" i="6"/>
  <c r="E113" i="6"/>
  <c r="F113" i="6"/>
  <c r="D114" i="6"/>
  <c r="B114" i="6"/>
  <c r="C114" i="6"/>
  <c r="E114" i="6"/>
  <c r="F114" i="6"/>
  <c r="D109" i="6"/>
  <c r="B109" i="6"/>
  <c r="C109" i="6"/>
  <c r="E109" i="6"/>
  <c r="F109" i="6"/>
  <c r="D110" i="6"/>
  <c r="B110" i="6"/>
  <c r="C110" i="6"/>
  <c r="E110" i="6"/>
  <c r="F110" i="6"/>
  <c r="D111" i="6"/>
  <c r="B111" i="6"/>
  <c r="C111" i="6"/>
  <c r="E111" i="6"/>
  <c r="F111" i="6"/>
  <c r="G109" i="6"/>
  <c r="H109" i="6"/>
  <c r="D106" i="6"/>
  <c r="B106" i="6"/>
  <c r="C106" i="6"/>
  <c r="E106" i="6"/>
  <c r="F106" i="6"/>
  <c r="D107" i="6"/>
  <c r="B107" i="6"/>
  <c r="C107" i="6"/>
  <c r="E107" i="6"/>
  <c r="F107" i="6"/>
  <c r="D108" i="6"/>
  <c r="B108" i="6"/>
  <c r="C108" i="6"/>
  <c r="E108" i="6"/>
  <c r="F108" i="6"/>
  <c r="G106" i="6"/>
  <c r="D103" i="6"/>
  <c r="B103" i="6"/>
  <c r="C103" i="6"/>
  <c r="E103" i="6"/>
  <c r="F103" i="6"/>
  <c r="D104" i="6"/>
  <c r="B104" i="6"/>
  <c r="C104" i="6"/>
  <c r="D105" i="6"/>
  <c r="B105" i="6"/>
  <c r="C105" i="6"/>
  <c r="E105" i="6"/>
  <c r="F105" i="6"/>
  <c r="D100" i="6"/>
  <c r="B100" i="6"/>
  <c r="C100" i="6"/>
  <c r="E100" i="6"/>
  <c r="F100" i="6"/>
  <c r="D101" i="6"/>
  <c r="B101" i="6"/>
  <c r="C101" i="6"/>
  <c r="D102" i="6"/>
  <c r="B102" i="6"/>
  <c r="C102" i="6"/>
  <c r="E102" i="6"/>
  <c r="F102" i="6"/>
  <c r="D97" i="6"/>
  <c r="B97" i="6"/>
  <c r="C97" i="6"/>
  <c r="E97" i="6"/>
  <c r="F97" i="6"/>
  <c r="D98" i="6"/>
  <c r="B98" i="6"/>
  <c r="C98" i="6"/>
  <c r="D99" i="6"/>
  <c r="B99" i="6"/>
  <c r="C99" i="6"/>
  <c r="E99" i="6"/>
  <c r="F99" i="6"/>
  <c r="D94" i="6"/>
  <c r="B94" i="6"/>
  <c r="C94" i="6"/>
  <c r="E94" i="6"/>
  <c r="F94" i="6"/>
  <c r="D95" i="6"/>
  <c r="B95" i="6"/>
  <c r="C95" i="6"/>
  <c r="E95" i="6"/>
  <c r="F95" i="6"/>
  <c r="D96" i="6"/>
  <c r="B96" i="6"/>
  <c r="C96" i="6"/>
  <c r="D91" i="6"/>
  <c r="B91" i="6"/>
  <c r="C91" i="6"/>
  <c r="E91" i="6"/>
  <c r="F91" i="6"/>
  <c r="D92" i="6"/>
  <c r="B92" i="6"/>
  <c r="C92" i="6"/>
  <c r="E92" i="6"/>
  <c r="F92" i="6"/>
  <c r="D93" i="6"/>
  <c r="B93" i="6"/>
  <c r="C93" i="6"/>
  <c r="E93" i="6"/>
  <c r="F93" i="6"/>
  <c r="G91" i="6"/>
  <c r="D88" i="6"/>
  <c r="B88" i="6"/>
  <c r="C88" i="6"/>
  <c r="E88" i="6"/>
  <c r="F88" i="6"/>
  <c r="D89" i="6"/>
  <c r="B89" i="6"/>
  <c r="C89" i="6"/>
  <c r="E89" i="6"/>
  <c r="F89" i="6"/>
  <c r="D90" i="6"/>
  <c r="B90" i="6"/>
  <c r="C90" i="6"/>
  <c r="E90" i="6"/>
  <c r="F90" i="6"/>
  <c r="D85" i="6"/>
  <c r="B85" i="6"/>
  <c r="C85" i="6"/>
  <c r="E85" i="6"/>
  <c r="F85" i="6"/>
  <c r="D86" i="6"/>
  <c r="B86" i="6"/>
  <c r="C86" i="6"/>
  <c r="E86" i="6"/>
  <c r="F86" i="6"/>
  <c r="D87" i="6"/>
  <c r="B87" i="6"/>
  <c r="C87" i="6"/>
  <c r="E87" i="6"/>
  <c r="F87" i="6"/>
  <c r="G85" i="6"/>
  <c r="H85" i="6"/>
  <c r="D82" i="6"/>
  <c r="B82" i="6"/>
  <c r="C82" i="6"/>
  <c r="E82" i="6"/>
  <c r="F82" i="6"/>
  <c r="D83" i="6"/>
  <c r="B83" i="6"/>
  <c r="C83" i="6"/>
  <c r="E83" i="6"/>
  <c r="F83" i="6"/>
  <c r="D84" i="6"/>
  <c r="B84" i="6"/>
  <c r="C84" i="6"/>
  <c r="E84" i="6"/>
  <c r="F84" i="6"/>
  <c r="H82" i="6"/>
  <c r="D79" i="6"/>
  <c r="B79" i="6"/>
  <c r="C79" i="6"/>
  <c r="E79" i="6"/>
  <c r="F79" i="6"/>
  <c r="D80" i="6"/>
  <c r="B80" i="6"/>
  <c r="C80" i="6"/>
  <c r="E80" i="6"/>
  <c r="F80" i="6"/>
  <c r="D81" i="6"/>
  <c r="B81" i="6"/>
  <c r="C81" i="6"/>
  <c r="E81" i="6"/>
  <c r="F81" i="6"/>
  <c r="H79" i="6"/>
  <c r="D76" i="6"/>
  <c r="B76" i="6"/>
  <c r="C76" i="6"/>
  <c r="E76" i="6"/>
  <c r="F76" i="6"/>
  <c r="D77" i="6"/>
  <c r="B77" i="6"/>
  <c r="C77" i="6"/>
  <c r="D78" i="6"/>
  <c r="B78" i="6"/>
  <c r="C78" i="6"/>
  <c r="D73" i="6"/>
  <c r="B73" i="6"/>
  <c r="C73" i="6"/>
  <c r="E73" i="6"/>
  <c r="F73" i="6"/>
  <c r="D74" i="6"/>
  <c r="B74" i="6"/>
  <c r="C74" i="6"/>
  <c r="D75" i="6"/>
  <c r="B75" i="6"/>
  <c r="C75" i="6"/>
  <c r="E75" i="6"/>
  <c r="F75" i="6"/>
  <c r="D70" i="6"/>
  <c r="B70" i="6"/>
  <c r="C70" i="6"/>
  <c r="E70" i="6"/>
  <c r="F70" i="6"/>
  <c r="D71" i="6"/>
  <c r="B71" i="6"/>
  <c r="C71" i="6"/>
  <c r="E71" i="6"/>
  <c r="F71" i="6"/>
  <c r="D72" i="6"/>
  <c r="B72" i="6"/>
  <c r="C72" i="6"/>
  <c r="D67" i="6"/>
  <c r="B67" i="6"/>
  <c r="C67" i="6"/>
  <c r="E67" i="6"/>
  <c r="F67" i="6"/>
  <c r="D68" i="6"/>
  <c r="B68" i="6"/>
  <c r="C68" i="6"/>
  <c r="D69" i="6"/>
  <c r="B69" i="6"/>
  <c r="C69" i="6"/>
  <c r="E69" i="6"/>
  <c r="F69" i="6"/>
  <c r="D64" i="6"/>
  <c r="B64" i="6"/>
  <c r="C64" i="6"/>
  <c r="E64" i="6"/>
  <c r="F64" i="6"/>
  <c r="D65" i="6"/>
  <c r="B65" i="6"/>
  <c r="C65" i="6"/>
  <c r="D66" i="6"/>
  <c r="B66" i="6"/>
  <c r="C66" i="6"/>
  <c r="E66" i="6"/>
  <c r="F66" i="6"/>
  <c r="D61" i="6"/>
  <c r="B61" i="6"/>
  <c r="C61" i="6"/>
  <c r="E61" i="6"/>
  <c r="F61" i="6"/>
  <c r="D62" i="6"/>
  <c r="B62" i="6"/>
  <c r="C62" i="6"/>
  <c r="E62" i="6"/>
  <c r="F62" i="6"/>
  <c r="D63" i="6"/>
  <c r="B63" i="6"/>
  <c r="C63" i="6"/>
  <c r="E63" i="6"/>
  <c r="F63" i="6"/>
  <c r="G61" i="6"/>
  <c r="H61" i="6"/>
  <c r="D58" i="6"/>
  <c r="B58" i="6"/>
  <c r="C58" i="6"/>
  <c r="E58" i="6"/>
  <c r="F58" i="6"/>
  <c r="D59" i="6"/>
  <c r="B59" i="6"/>
  <c r="C59" i="6"/>
  <c r="E59" i="6"/>
  <c r="F59" i="6"/>
  <c r="D60" i="6"/>
  <c r="B60" i="6"/>
  <c r="C60" i="6"/>
  <c r="E60" i="6"/>
  <c r="F60" i="6"/>
  <c r="G58" i="6"/>
  <c r="H58" i="6"/>
  <c r="D55" i="6"/>
  <c r="B55" i="6"/>
  <c r="C55" i="6"/>
  <c r="E55" i="6"/>
  <c r="F55" i="6"/>
  <c r="D56" i="6"/>
  <c r="B56" i="6"/>
  <c r="C56" i="6"/>
  <c r="E56" i="6"/>
  <c r="F56" i="6"/>
  <c r="D57" i="6"/>
  <c r="B57" i="6"/>
  <c r="C57" i="6"/>
  <c r="E57" i="6"/>
  <c r="F57" i="6"/>
  <c r="H55" i="6"/>
  <c r="D52" i="6"/>
  <c r="B52" i="6"/>
  <c r="C52" i="6"/>
  <c r="E52" i="6"/>
  <c r="F52" i="6"/>
  <c r="D53" i="6"/>
  <c r="B53" i="6"/>
  <c r="C53" i="6"/>
  <c r="E53" i="6"/>
  <c r="F53" i="6"/>
  <c r="D54" i="6"/>
  <c r="B54" i="6"/>
  <c r="C54" i="6"/>
  <c r="E54" i="6"/>
  <c r="F54" i="6"/>
  <c r="H52" i="6"/>
  <c r="D49" i="6"/>
  <c r="B49" i="6"/>
  <c r="C49" i="6"/>
  <c r="E49" i="6"/>
  <c r="F49" i="6"/>
  <c r="D50" i="6"/>
  <c r="B50" i="6"/>
  <c r="C50" i="6"/>
  <c r="D51" i="6"/>
  <c r="B51" i="6"/>
  <c r="C51" i="6"/>
  <c r="E51" i="6"/>
  <c r="F51" i="6"/>
  <c r="D46" i="6"/>
  <c r="B46" i="6"/>
  <c r="C46" i="6"/>
  <c r="E46" i="6"/>
  <c r="F46" i="6"/>
  <c r="D47" i="6"/>
  <c r="B47" i="6"/>
  <c r="C47" i="6"/>
  <c r="E47" i="6"/>
  <c r="F47" i="6"/>
  <c r="D48" i="6"/>
  <c r="B48" i="6"/>
  <c r="C48" i="6"/>
  <c r="D43" i="6"/>
  <c r="B43" i="6"/>
  <c r="C43" i="6"/>
  <c r="E43" i="6"/>
  <c r="F43" i="6"/>
  <c r="D44" i="6"/>
  <c r="B44" i="6"/>
  <c r="C44" i="6"/>
  <c r="E44" i="6"/>
  <c r="F44" i="6"/>
  <c r="D45" i="6"/>
  <c r="B45" i="6"/>
  <c r="C45" i="6"/>
  <c r="E45" i="6"/>
  <c r="F45" i="6"/>
  <c r="G43" i="6"/>
  <c r="B26" i="7"/>
  <c r="C26" i="7"/>
  <c r="D26" i="7"/>
  <c r="E26" i="7"/>
  <c r="B27" i="7"/>
  <c r="C27" i="7"/>
  <c r="D27" i="7"/>
  <c r="E27" i="7"/>
  <c r="B28" i="7"/>
  <c r="C28" i="7"/>
  <c r="B29" i="7"/>
  <c r="C29" i="7"/>
  <c r="D29" i="7"/>
  <c r="B30" i="7"/>
  <c r="C30" i="7"/>
  <c r="D30" i="7"/>
  <c r="E30" i="7"/>
  <c r="C25" i="7"/>
  <c r="B25" i="7"/>
  <c r="B20" i="7"/>
  <c r="C20" i="7"/>
  <c r="B21" i="7"/>
  <c r="C21" i="7"/>
  <c r="D21" i="7"/>
  <c r="E21" i="7"/>
  <c r="B22" i="7"/>
  <c r="C22" i="7"/>
  <c r="B23" i="7"/>
  <c r="C23" i="7"/>
  <c r="D23" i="7"/>
  <c r="E23" i="7"/>
  <c r="B24" i="7"/>
  <c r="C24" i="7"/>
  <c r="C19" i="7"/>
  <c r="B19" i="7"/>
  <c r="D19" i="7"/>
  <c r="A28" i="6"/>
  <c r="A28" i="7"/>
  <c r="D28" i="7"/>
  <c r="E28" i="7"/>
  <c r="E29" i="7"/>
  <c r="A31" i="7"/>
  <c r="D31" i="7"/>
  <c r="E31" i="7"/>
  <c r="A34" i="7"/>
  <c r="D28" i="6"/>
  <c r="B28" i="6"/>
  <c r="C28" i="6"/>
  <c r="E28" i="6"/>
  <c r="F28" i="6"/>
  <c r="D29" i="6"/>
  <c r="B29" i="6"/>
  <c r="C29" i="6"/>
  <c r="D30" i="6"/>
  <c r="B30" i="6"/>
  <c r="C30" i="6"/>
  <c r="E30" i="6"/>
  <c r="F30" i="6"/>
  <c r="D27" i="6"/>
  <c r="D26" i="6"/>
  <c r="D25" i="6"/>
  <c r="B27" i="6"/>
  <c r="C27" i="6"/>
  <c r="E27" i="6"/>
  <c r="F27" i="6"/>
  <c r="B26" i="6"/>
  <c r="C26" i="6"/>
  <c r="B25" i="6"/>
  <c r="A25" i="6"/>
  <c r="D24" i="6"/>
  <c r="B24" i="6"/>
  <c r="C24" i="6"/>
  <c r="E24" i="6"/>
  <c r="F24" i="6"/>
  <c r="D23" i="6"/>
  <c r="D22" i="6"/>
  <c r="B22" i="6"/>
  <c r="C22" i="6"/>
  <c r="E22" i="6"/>
  <c r="F22" i="6"/>
  <c r="B23" i="6"/>
  <c r="A22" i="6"/>
  <c r="D21" i="6"/>
  <c r="D20" i="6"/>
  <c r="B20" i="6"/>
  <c r="C20" i="6"/>
  <c r="E20" i="6"/>
  <c r="F20" i="6"/>
  <c r="D19" i="6"/>
  <c r="B21" i="6"/>
  <c r="B19" i="6"/>
  <c r="A19" i="6"/>
  <c r="N85" i="5"/>
  <c r="A48" i="4"/>
  <c r="A49" i="4"/>
  <c r="A50" i="4"/>
  <c r="G145" i="6"/>
  <c r="G148" i="6"/>
  <c r="G79" i="6"/>
  <c r="B8" i="7"/>
  <c r="C8" i="7"/>
  <c r="B9" i="7"/>
  <c r="C9" i="7"/>
  <c r="B10" i="7"/>
  <c r="C10" i="7"/>
  <c r="B11" i="7"/>
  <c r="C11" i="7"/>
  <c r="D11" i="7"/>
  <c r="E11" i="7"/>
  <c r="B12" i="7"/>
  <c r="C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B17" i="7"/>
  <c r="C17" i="7"/>
  <c r="B18" i="7"/>
  <c r="C18" i="7"/>
  <c r="C7" i="7"/>
  <c r="B7" i="7"/>
  <c r="D7" i="7"/>
  <c r="E7" i="7"/>
  <c r="C25" i="6"/>
  <c r="E25" i="6"/>
  <c r="C21" i="6"/>
  <c r="C23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B11" i="6"/>
  <c r="C11" i="6"/>
  <c r="D11" i="6"/>
  <c r="B12" i="6"/>
  <c r="C12" i="6"/>
  <c r="D12" i="6"/>
  <c r="B13" i="6"/>
  <c r="C13" i="6"/>
  <c r="D13" i="6"/>
  <c r="E13" i="6"/>
  <c r="B14" i="6"/>
  <c r="C14" i="6"/>
  <c r="D14" i="6"/>
  <c r="E14" i="6"/>
  <c r="F14" i="6"/>
  <c r="B15" i="6"/>
  <c r="C15" i="6"/>
  <c r="D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A10" i="6"/>
  <c r="A13" i="6"/>
  <c r="A16" i="6"/>
  <c r="A16" i="7"/>
  <c r="C19" i="6"/>
  <c r="D7" i="6"/>
  <c r="B7" i="6"/>
  <c r="C7" i="6"/>
  <c r="E7" i="6"/>
  <c r="F7" i="6"/>
  <c r="E26" i="6"/>
  <c r="E12" i="6"/>
  <c r="F12" i="6"/>
  <c r="E21" i="6"/>
  <c r="E11" i="6"/>
  <c r="E19" i="6"/>
  <c r="A154" i="7"/>
  <c r="A157" i="7"/>
  <c r="A160" i="7"/>
  <c r="A172" i="7"/>
  <c r="A175" i="7"/>
  <c r="A178" i="7"/>
  <c r="A181" i="7"/>
  <c r="A184" i="7"/>
  <c r="F84" i="5"/>
  <c r="B14" i="5"/>
  <c r="B15" i="5"/>
  <c r="I13" i="1"/>
  <c r="I14" i="1"/>
  <c r="B17" i="5"/>
  <c r="I15" i="1"/>
  <c r="B18" i="5"/>
  <c r="I16" i="1"/>
  <c r="B19" i="5"/>
  <c r="G19" i="5"/>
  <c r="I17" i="1"/>
  <c r="B20" i="5"/>
  <c r="G20" i="5"/>
  <c r="I18" i="1"/>
  <c r="B21" i="5"/>
  <c r="I19" i="1"/>
  <c r="I20" i="1"/>
  <c r="I21" i="1"/>
  <c r="B48" i="4"/>
  <c r="E16" i="5"/>
  <c r="F16" i="5"/>
  <c r="E17" i="5"/>
  <c r="H17" i="5"/>
  <c r="J17" i="5"/>
  <c r="L17" i="5"/>
  <c r="E18" i="5"/>
  <c r="H18" i="5"/>
  <c r="E22" i="5"/>
  <c r="F22" i="5"/>
  <c r="E23" i="5"/>
  <c r="F23" i="5"/>
  <c r="E24" i="5"/>
  <c r="F24" i="5"/>
  <c r="F142" i="5"/>
  <c r="A71" i="4"/>
  <c r="A72" i="4"/>
  <c r="A70" i="4"/>
  <c r="A27" i="4"/>
  <c r="A28" i="4"/>
  <c r="A26" i="4"/>
  <c r="A5" i="4"/>
  <c r="A6" i="4"/>
  <c r="A4" i="4"/>
  <c r="A169" i="7"/>
  <c r="A166" i="7"/>
  <c r="A163" i="7"/>
  <c r="A151" i="7"/>
  <c r="A148" i="7"/>
  <c r="A145" i="7"/>
  <c r="A142" i="7"/>
  <c r="A61" i="7"/>
  <c r="A64" i="7"/>
  <c r="A67" i="7"/>
  <c r="A70" i="7"/>
  <c r="A73" i="7"/>
  <c r="A76" i="7"/>
  <c r="A79" i="7"/>
  <c r="A82" i="7"/>
  <c r="A85" i="7"/>
  <c r="A88" i="7"/>
  <c r="A91" i="7"/>
  <c r="A94" i="7"/>
  <c r="A190" i="7"/>
  <c r="A193" i="7"/>
  <c r="A196" i="7"/>
  <c r="A199" i="7"/>
  <c r="A202" i="7"/>
  <c r="A187" i="7"/>
  <c r="A139" i="7"/>
  <c r="A136" i="7"/>
  <c r="A133" i="7"/>
  <c r="A130" i="7"/>
  <c r="A127" i="7"/>
  <c r="A124" i="7"/>
  <c r="A121" i="7"/>
  <c r="A118" i="7"/>
  <c r="A115" i="7"/>
  <c r="A112" i="7"/>
  <c r="A109" i="7"/>
  <c r="A106" i="7"/>
  <c r="A103" i="7"/>
  <c r="A100" i="7"/>
  <c r="A97" i="7"/>
  <c r="F144" i="5"/>
  <c r="F83" i="5"/>
  <c r="A148" i="5"/>
  <c r="A145" i="5"/>
  <c r="A142" i="5"/>
  <c r="A139" i="5"/>
  <c r="A25" i="7"/>
  <c r="A121" i="5"/>
  <c r="A124" i="5"/>
  <c r="A127" i="5"/>
  <c r="A130" i="5"/>
  <c r="A133" i="5"/>
  <c r="A136" i="5"/>
  <c r="G2" i="5"/>
  <c r="H2" i="5"/>
  <c r="F17" i="5"/>
  <c r="F18" i="5"/>
  <c r="A97" i="5"/>
  <c r="A16" i="5"/>
  <c r="A19" i="5"/>
  <c r="A22" i="5"/>
  <c r="A25" i="5"/>
  <c r="A28" i="5"/>
  <c r="A31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A91" i="5"/>
  <c r="A94" i="5"/>
  <c r="A100" i="5"/>
  <c r="A103" i="5"/>
  <c r="A106" i="5"/>
  <c r="A109" i="5"/>
  <c r="A112" i="5"/>
  <c r="A115" i="5"/>
  <c r="A118" i="5"/>
  <c r="A13" i="5"/>
  <c r="D8" i="7"/>
  <c r="D9" i="7"/>
  <c r="E9" i="7"/>
  <c r="D10" i="7"/>
  <c r="D12" i="7"/>
  <c r="E12" i="7"/>
  <c r="D16" i="7"/>
  <c r="E16" i="7"/>
  <c r="D17" i="7"/>
  <c r="E17" i="7"/>
  <c r="D18" i="7"/>
  <c r="E18" i="7"/>
  <c r="D20" i="7"/>
  <c r="E20" i="7"/>
  <c r="D22" i="7"/>
  <c r="D24" i="7"/>
  <c r="D25" i="7"/>
  <c r="E25" i="7"/>
  <c r="A10" i="7"/>
  <c r="A13" i="7"/>
  <c r="A19" i="7"/>
  <c r="A22" i="7"/>
  <c r="A43" i="7"/>
  <c r="A46" i="7"/>
  <c r="A49" i="7"/>
  <c r="A52" i="7"/>
  <c r="A55" i="7"/>
  <c r="A58" i="7"/>
  <c r="A7" i="6"/>
  <c r="A7" i="7"/>
  <c r="D5" i="1"/>
  <c r="B13" i="5"/>
  <c r="G13" i="5"/>
  <c r="H13" i="5"/>
  <c r="F25" i="6"/>
  <c r="F19" i="6"/>
  <c r="F11" i="6"/>
  <c r="G21" i="5"/>
  <c r="G15" i="5"/>
  <c r="B24" i="5"/>
  <c r="G24" i="5"/>
  <c r="B22" i="5"/>
  <c r="G22" i="5"/>
  <c r="H22" i="5"/>
  <c r="J22" i="5"/>
  <c r="B50" i="4"/>
  <c r="B16" i="5"/>
  <c r="G16" i="5"/>
  <c r="B6" i="4"/>
  <c r="B49" i="4"/>
  <c r="B5" i="4"/>
  <c r="B72" i="4"/>
  <c r="B28" i="4"/>
  <c r="B71" i="4"/>
  <c r="B27" i="4"/>
  <c r="H15" i="5"/>
  <c r="J15" i="5"/>
  <c r="L15" i="5"/>
  <c r="B23" i="5"/>
  <c r="G23" i="5"/>
  <c r="H21" i="5"/>
  <c r="J21" i="5"/>
  <c r="L21" i="5"/>
  <c r="F82" i="5"/>
  <c r="E10" i="7"/>
  <c r="E8" i="7"/>
  <c r="F143" i="5"/>
  <c r="E24" i="7"/>
  <c r="E19" i="7"/>
  <c r="G17" i="5"/>
  <c r="E22" i="7"/>
  <c r="H19" i="5"/>
  <c r="J19" i="5"/>
  <c r="L19" i="5"/>
  <c r="F31" i="6"/>
  <c r="F26" i="6"/>
  <c r="F10" i="6"/>
  <c r="F21" i="6"/>
  <c r="F13" i="6"/>
  <c r="F190" i="7"/>
  <c r="F61" i="7"/>
  <c r="F82" i="7"/>
  <c r="F181" i="7"/>
  <c r="F130" i="7"/>
  <c r="F112" i="7"/>
  <c r="F160" i="7"/>
  <c r="F151" i="7"/>
  <c r="F166" i="7"/>
  <c r="F145" i="7"/>
  <c r="F202" i="7"/>
  <c r="F85" i="7"/>
  <c r="F55" i="7"/>
  <c r="F139" i="7"/>
  <c r="F127" i="7"/>
  <c r="F154" i="7"/>
  <c r="F103" i="7"/>
  <c r="F73" i="7"/>
  <c r="G55" i="6"/>
  <c r="F133" i="7"/>
  <c r="F184" i="7"/>
  <c r="F136" i="7"/>
  <c r="F187" i="7"/>
  <c r="F196" i="7"/>
  <c r="H24" i="5"/>
  <c r="J24" i="5"/>
  <c r="L24" i="5"/>
  <c r="J18" i="5"/>
  <c r="L18" i="5"/>
  <c r="G18" i="5"/>
  <c r="L22" i="5"/>
  <c r="N43" i="5"/>
  <c r="G52" i="6"/>
  <c r="J13" i="5"/>
  <c r="L13" i="5"/>
  <c r="N103" i="5"/>
  <c r="N49" i="5"/>
  <c r="N40" i="5"/>
  <c r="N73" i="5"/>
  <c r="N91" i="5"/>
  <c r="N100" i="5"/>
  <c r="N46" i="5"/>
  <c r="N28" i="5"/>
  <c r="N37" i="5"/>
  <c r="N67" i="5"/>
  <c r="N34" i="5"/>
  <c r="E50" i="6"/>
  <c r="F50" i="6"/>
  <c r="H49" i="6"/>
  <c r="G49" i="6"/>
  <c r="E68" i="6"/>
  <c r="F68" i="6"/>
  <c r="G67" i="6"/>
  <c r="H67" i="6"/>
  <c r="I20" i="5"/>
  <c r="K20" i="5"/>
  <c r="E140" i="6"/>
  <c r="F140" i="6"/>
  <c r="G139" i="6"/>
  <c r="H139" i="6"/>
  <c r="E48" i="6"/>
  <c r="F48" i="6"/>
  <c r="H46" i="6"/>
  <c r="G46" i="6"/>
  <c r="E144" i="6"/>
  <c r="F144" i="6"/>
  <c r="H142" i="6"/>
  <c r="G142" i="6"/>
  <c r="I118" i="5"/>
  <c r="K118" i="5"/>
  <c r="E74" i="6"/>
  <c r="F74" i="6"/>
  <c r="G73" i="6"/>
  <c r="H73" i="6"/>
  <c r="Q130" i="5"/>
  <c r="N130" i="5"/>
  <c r="E72" i="6"/>
  <c r="F72" i="6"/>
  <c r="H70" i="6"/>
  <c r="G70" i="6"/>
  <c r="I17" i="5"/>
  <c r="K17" i="5"/>
  <c r="E65" i="6"/>
  <c r="F65" i="6"/>
  <c r="G64" i="6"/>
  <c r="H64" i="6"/>
  <c r="E98" i="6"/>
  <c r="F98" i="6"/>
  <c r="H97" i="6"/>
  <c r="G97" i="6"/>
  <c r="E77" i="6"/>
  <c r="F77" i="6"/>
  <c r="E78" i="6"/>
  <c r="F78" i="6"/>
  <c r="H76" i="6"/>
  <c r="G76" i="6"/>
  <c r="I23" i="5"/>
  <c r="K23" i="5"/>
  <c r="E101" i="6"/>
  <c r="F101" i="6"/>
  <c r="G100" i="6"/>
  <c r="H100" i="6"/>
  <c r="E122" i="6"/>
  <c r="F122" i="6"/>
  <c r="H121" i="6"/>
  <c r="G121" i="6"/>
  <c r="E96" i="6"/>
  <c r="F96" i="6"/>
  <c r="H94" i="6"/>
  <c r="G94" i="6"/>
  <c r="E125" i="6"/>
  <c r="F125" i="6"/>
  <c r="G124" i="6"/>
  <c r="H124" i="6"/>
  <c r="F88" i="7"/>
  <c r="G88" i="7"/>
  <c r="G91" i="7"/>
  <c r="F91" i="7"/>
  <c r="G169" i="7"/>
  <c r="F169" i="7"/>
  <c r="I113" i="5"/>
  <c r="K113" i="5"/>
  <c r="I94" i="5"/>
  <c r="K94" i="5"/>
  <c r="N88" i="5"/>
  <c r="Q88" i="5"/>
  <c r="H60" i="5"/>
  <c r="J60" i="5"/>
  <c r="L60" i="5"/>
  <c r="Q58" i="5"/>
  <c r="N58" i="5"/>
  <c r="N109" i="5"/>
  <c r="F157" i="7"/>
  <c r="B70" i="4"/>
  <c r="B26" i="4"/>
  <c r="G115" i="6"/>
  <c r="H106" i="6"/>
  <c r="E128" i="6"/>
  <c r="F128" i="6"/>
  <c r="G127" i="6"/>
  <c r="H127" i="6"/>
  <c r="D54" i="7"/>
  <c r="E54" i="7"/>
  <c r="D107" i="7"/>
  <c r="E107" i="7"/>
  <c r="G106" i="7"/>
  <c r="F106" i="7"/>
  <c r="D174" i="7"/>
  <c r="E174" i="7"/>
  <c r="G172" i="7"/>
  <c r="F172" i="7"/>
  <c r="H137" i="5"/>
  <c r="J137" i="5"/>
  <c r="L137" i="5"/>
  <c r="H138" i="5"/>
  <c r="J138" i="5"/>
  <c r="L138" i="5"/>
  <c r="Q136" i="5"/>
  <c r="N136" i="5"/>
  <c r="H88" i="6"/>
  <c r="G88" i="6"/>
  <c r="G109" i="7"/>
  <c r="F109" i="7"/>
  <c r="F121" i="7"/>
  <c r="G121" i="7"/>
  <c r="G199" i="7"/>
  <c r="F199" i="7"/>
  <c r="H127" i="5"/>
  <c r="J127" i="5"/>
  <c r="L127" i="5"/>
  <c r="G127" i="5"/>
  <c r="I127" i="5"/>
  <c r="K127" i="5"/>
  <c r="D71" i="7"/>
  <c r="E71" i="7"/>
  <c r="I37" i="5"/>
  <c r="K37" i="5"/>
  <c r="F194" i="6"/>
  <c r="E195" i="6"/>
  <c r="F195" i="6"/>
  <c r="G193" i="6"/>
  <c r="H193" i="6"/>
  <c r="H99" i="5"/>
  <c r="J99" i="5"/>
  <c r="L99" i="5"/>
  <c r="G99" i="5"/>
  <c r="I99" i="5"/>
  <c r="K99" i="5"/>
  <c r="Q64" i="5"/>
  <c r="N64" i="5"/>
  <c r="H43" i="6"/>
  <c r="G112" i="6"/>
  <c r="H112" i="6"/>
  <c r="F58" i="7"/>
  <c r="G58" i="7"/>
  <c r="H20" i="5"/>
  <c r="J20" i="5"/>
  <c r="L20" i="5"/>
  <c r="E15" i="6"/>
  <c r="F15" i="6"/>
  <c r="G82" i="6"/>
  <c r="H91" i="6"/>
  <c r="G137" i="5"/>
  <c r="H107" i="5"/>
  <c r="J107" i="5"/>
  <c r="L107" i="5"/>
  <c r="N106" i="5"/>
  <c r="Q106" i="5"/>
  <c r="I89" i="5"/>
  <c r="K89" i="5"/>
  <c r="G130" i="6"/>
  <c r="G76" i="7"/>
  <c r="F76" i="7"/>
  <c r="G118" i="7"/>
  <c r="F118" i="7"/>
  <c r="I25" i="5"/>
  <c r="K25" i="5"/>
  <c r="H23" i="5"/>
  <c r="J23" i="5"/>
  <c r="L23" i="5"/>
  <c r="F115" i="7"/>
  <c r="G136" i="6"/>
  <c r="E104" i="6"/>
  <c r="F104" i="6"/>
  <c r="H103" i="6"/>
  <c r="G103" i="6"/>
  <c r="D46" i="7"/>
  <c r="E46" i="7"/>
  <c r="D52" i="7"/>
  <c r="E52" i="7"/>
  <c r="G64" i="7"/>
  <c r="D67" i="7"/>
  <c r="E67" i="7"/>
  <c r="F79" i="7"/>
  <c r="G79" i="7"/>
  <c r="H133" i="5"/>
  <c r="J133" i="5"/>
  <c r="L133" i="5"/>
  <c r="I131" i="5"/>
  <c r="K131" i="5"/>
  <c r="H123" i="5"/>
  <c r="J123" i="5"/>
  <c r="L123" i="5"/>
  <c r="N121" i="5"/>
  <c r="Q121" i="5"/>
  <c r="G14" i="5"/>
  <c r="H14" i="5"/>
  <c r="J14" i="5"/>
  <c r="L14" i="5"/>
  <c r="E23" i="6"/>
  <c r="F23" i="6"/>
  <c r="I24" i="5"/>
  <c r="K24" i="5"/>
  <c r="H118" i="6"/>
  <c r="G118" i="6"/>
  <c r="F193" i="7"/>
  <c r="H16" i="5"/>
  <c r="J16" i="5"/>
  <c r="L16" i="5"/>
  <c r="G43" i="7"/>
  <c r="F43" i="7"/>
  <c r="I124" i="5"/>
  <c r="K124" i="5"/>
  <c r="I103" i="5"/>
  <c r="K103" i="5"/>
  <c r="E174" i="6"/>
  <c r="F174" i="6"/>
  <c r="G172" i="6"/>
  <c r="H172" i="6"/>
  <c r="I203" i="5"/>
  <c r="K203" i="5"/>
  <c r="I189" i="5"/>
  <c r="K189" i="5"/>
  <c r="F175" i="7"/>
  <c r="F178" i="7"/>
  <c r="D94" i="7"/>
  <c r="E94" i="7"/>
  <c r="D144" i="7"/>
  <c r="E144" i="7"/>
  <c r="G135" i="5"/>
  <c r="H124" i="5"/>
  <c r="J124" i="5"/>
  <c r="L124" i="5"/>
  <c r="G123" i="5"/>
  <c r="I123" i="5"/>
  <c r="K123" i="5"/>
  <c r="G121" i="5"/>
  <c r="G116" i="5"/>
  <c r="I116" i="5"/>
  <c r="K116" i="5"/>
  <c r="H112" i="5"/>
  <c r="J112" i="5"/>
  <c r="L112" i="5"/>
  <c r="G92" i="5"/>
  <c r="I92" i="5"/>
  <c r="K92" i="5"/>
  <c r="G68" i="5"/>
  <c r="I68" i="5"/>
  <c r="K68" i="5"/>
  <c r="I65" i="5"/>
  <c r="K65" i="5"/>
  <c r="G62" i="5"/>
  <c r="H62" i="5"/>
  <c r="J62" i="5"/>
  <c r="L62" i="5"/>
  <c r="H55" i="5"/>
  <c r="J55" i="5"/>
  <c r="L55" i="5"/>
  <c r="G151" i="6"/>
  <c r="H151" i="6"/>
  <c r="G202" i="6"/>
  <c r="H202" i="6"/>
  <c r="E162" i="6"/>
  <c r="F162" i="6"/>
  <c r="G160" i="6"/>
  <c r="H160" i="6"/>
  <c r="I39" i="5"/>
  <c r="K39" i="5"/>
  <c r="I32" i="5"/>
  <c r="K32" i="5"/>
  <c r="D96" i="7"/>
  <c r="E96" i="7"/>
  <c r="H134" i="5"/>
  <c r="J134" i="5"/>
  <c r="L134" i="5"/>
  <c r="G134" i="5"/>
  <c r="H115" i="5"/>
  <c r="J115" i="5"/>
  <c r="L115" i="5"/>
  <c r="I72" i="5"/>
  <c r="K72" i="5"/>
  <c r="I70" i="5"/>
  <c r="K70" i="5"/>
  <c r="I57" i="5"/>
  <c r="K57" i="5"/>
  <c r="I31" i="5"/>
  <c r="K31" i="5"/>
  <c r="G190" i="6"/>
  <c r="H190" i="6"/>
  <c r="H118" i="5"/>
  <c r="J118" i="5"/>
  <c r="L118" i="5"/>
  <c r="I102" i="5"/>
  <c r="K102" i="5"/>
  <c r="G91" i="5"/>
  <c r="B79" i="5"/>
  <c r="I60" i="5"/>
  <c r="K60" i="5"/>
  <c r="I44" i="5"/>
  <c r="K44" i="5"/>
  <c r="I33" i="5"/>
  <c r="K33" i="5"/>
  <c r="I210" i="5"/>
  <c r="K210" i="5"/>
  <c r="E29" i="6"/>
  <c r="F29" i="6"/>
  <c r="D48" i="7"/>
  <c r="E48" i="7"/>
  <c r="D72" i="7"/>
  <c r="E72" i="7"/>
  <c r="D148" i="7"/>
  <c r="E148" i="7"/>
  <c r="G27" i="5"/>
  <c r="I27" i="5"/>
  <c r="K27" i="5"/>
  <c r="G138" i="5"/>
  <c r="I138" i="5"/>
  <c r="K138" i="5"/>
  <c r="G126" i="5"/>
  <c r="I126" i="5"/>
  <c r="K126" i="5"/>
  <c r="G106" i="5"/>
  <c r="I106" i="5"/>
  <c r="K106" i="5"/>
  <c r="G38" i="5"/>
  <c r="I38" i="5"/>
  <c r="K38" i="5"/>
  <c r="E168" i="6"/>
  <c r="F168" i="6"/>
  <c r="G166" i="6"/>
  <c r="H166" i="6"/>
  <c r="D70" i="7"/>
  <c r="E70" i="7"/>
  <c r="G163" i="7"/>
  <c r="G132" i="5"/>
  <c r="I109" i="5"/>
  <c r="K109" i="5"/>
  <c r="I101" i="5"/>
  <c r="K101" i="5"/>
  <c r="I98" i="5"/>
  <c r="K98" i="5"/>
  <c r="G82" i="5"/>
  <c r="I82" i="5"/>
  <c r="K82" i="5"/>
  <c r="I83" i="5"/>
  <c r="K83" i="5"/>
  <c r="I84" i="5"/>
  <c r="K84" i="5"/>
  <c r="P82" i="5"/>
  <c r="H82" i="5"/>
  <c r="J82" i="5"/>
  <c r="L82" i="5"/>
  <c r="H83" i="5"/>
  <c r="J83" i="5"/>
  <c r="L83" i="5"/>
  <c r="Q82" i="5"/>
  <c r="G49" i="7"/>
  <c r="F124" i="7"/>
  <c r="D100" i="7"/>
  <c r="E100" i="7"/>
  <c r="D142" i="7"/>
  <c r="E142" i="7"/>
  <c r="G122" i="5"/>
  <c r="I122" i="5"/>
  <c r="K122" i="5"/>
  <c r="G117" i="5"/>
  <c r="H96" i="5"/>
  <c r="J96" i="5"/>
  <c r="L96" i="5"/>
  <c r="G96" i="5"/>
  <c r="H57" i="5"/>
  <c r="J57" i="5"/>
  <c r="L57" i="5"/>
  <c r="H53" i="5"/>
  <c r="J53" i="5"/>
  <c r="L53" i="5"/>
  <c r="H33" i="5"/>
  <c r="J33" i="5"/>
  <c r="L33" i="5"/>
  <c r="H178" i="6"/>
  <c r="G87" i="5"/>
  <c r="I87" i="5"/>
  <c r="K87" i="5"/>
  <c r="G76" i="5"/>
  <c r="I76" i="5"/>
  <c r="K76" i="5"/>
  <c r="I34" i="5"/>
  <c r="K34" i="5"/>
  <c r="E163" i="6"/>
  <c r="F163" i="6"/>
  <c r="I140" i="5"/>
  <c r="K140" i="5"/>
  <c r="I192" i="5"/>
  <c r="K192" i="5"/>
  <c r="I190" i="5"/>
  <c r="K190" i="5"/>
  <c r="I181" i="5"/>
  <c r="K181" i="5"/>
  <c r="G176" i="5"/>
  <c r="I147" i="5"/>
  <c r="K147" i="5"/>
  <c r="G157" i="6"/>
  <c r="H157" i="6"/>
  <c r="G209" i="5"/>
  <c r="G207" i="5"/>
  <c r="H193" i="5"/>
  <c r="J193" i="5"/>
  <c r="L193" i="5"/>
  <c r="G193" i="5"/>
  <c r="I193" i="5"/>
  <c r="K193" i="5"/>
  <c r="I183" i="5"/>
  <c r="K183" i="5"/>
  <c r="I170" i="5"/>
  <c r="K170" i="5"/>
  <c r="I143" i="5"/>
  <c r="K143" i="5"/>
  <c r="F204" i="5"/>
  <c r="G115" i="5"/>
  <c r="I115" i="5"/>
  <c r="K115" i="5"/>
  <c r="G110" i="5"/>
  <c r="I110" i="5"/>
  <c r="K110" i="5"/>
  <c r="H97" i="5"/>
  <c r="J97" i="5"/>
  <c r="L97" i="5"/>
  <c r="G97" i="5"/>
  <c r="G93" i="5"/>
  <c r="G86" i="5"/>
  <c r="G81" i="5"/>
  <c r="I81" i="5"/>
  <c r="K81" i="5"/>
  <c r="H81" i="5"/>
  <c r="J81" i="5"/>
  <c r="L81" i="5"/>
  <c r="I67" i="5"/>
  <c r="K67" i="5"/>
  <c r="I64" i="5"/>
  <c r="K64" i="5"/>
  <c r="G61" i="5"/>
  <c r="G53" i="5"/>
  <c r="I29" i="5"/>
  <c r="K29" i="5"/>
  <c r="B202" i="5"/>
  <c r="G202" i="5"/>
  <c r="I202" i="5"/>
  <c r="K202" i="5"/>
  <c r="I199" i="5"/>
  <c r="K199" i="5"/>
  <c r="H179" i="5"/>
  <c r="J179" i="5"/>
  <c r="L179" i="5"/>
  <c r="G179" i="5"/>
  <c r="I141" i="5"/>
  <c r="K141" i="5"/>
  <c r="H125" i="5"/>
  <c r="J125" i="5"/>
  <c r="L125" i="5"/>
  <c r="G107" i="5"/>
  <c r="I107" i="5"/>
  <c r="K107" i="5"/>
  <c r="I56" i="5"/>
  <c r="K56" i="5"/>
  <c r="G55" i="5"/>
  <c r="G50" i="5"/>
  <c r="I45" i="5"/>
  <c r="K45" i="5"/>
  <c r="H192" i="5"/>
  <c r="J192" i="5"/>
  <c r="L192" i="5"/>
  <c r="I185" i="5"/>
  <c r="K185" i="5"/>
  <c r="I162" i="5"/>
  <c r="K162" i="5"/>
  <c r="G153" i="5"/>
  <c r="G125" i="5"/>
  <c r="G105" i="5"/>
  <c r="G100" i="5"/>
  <c r="I100" i="5"/>
  <c r="K100" i="5"/>
  <c r="H94" i="5"/>
  <c r="J94" i="5"/>
  <c r="L94" i="5"/>
  <c r="G77" i="5"/>
  <c r="I74" i="5"/>
  <c r="K74" i="5"/>
  <c r="H61" i="5"/>
  <c r="J61" i="5"/>
  <c r="L61" i="5"/>
  <c r="G52" i="5"/>
  <c r="E32" i="6"/>
  <c r="F32" i="6"/>
  <c r="E199" i="6"/>
  <c r="F199" i="6"/>
  <c r="I205" i="5"/>
  <c r="K205" i="5"/>
  <c r="I184" i="5"/>
  <c r="K184" i="5"/>
  <c r="H70" i="5"/>
  <c r="J70" i="5"/>
  <c r="L70" i="5"/>
  <c r="E42" i="6"/>
  <c r="F42" i="6"/>
  <c r="E40" i="6"/>
  <c r="F40" i="6"/>
  <c r="E41" i="7"/>
  <c r="E33" i="7"/>
  <c r="I208" i="5"/>
  <c r="K208" i="5"/>
  <c r="G206" i="5"/>
  <c r="I206" i="5"/>
  <c r="K206" i="5"/>
  <c r="I197" i="5"/>
  <c r="K197" i="5"/>
  <c r="H195" i="5"/>
  <c r="J195" i="5"/>
  <c r="L195" i="5"/>
  <c r="H202" i="5"/>
  <c r="J202" i="5"/>
  <c r="L202" i="5"/>
  <c r="G187" i="5"/>
  <c r="H154" i="5"/>
  <c r="J154" i="5"/>
  <c r="L154" i="5"/>
  <c r="H76" i="5"/>
  <c r="J76" i="5"/>
  <c r="L76" i="5"/>
  <c r="H52" i="5"/>
  <c r="J52" i="5"/>
  <c r="L52" i="5"/>
  <c r="H31" i="5"/>
  <c r="J31" i="5"/>
  <c r="L31" i="5"/>
  <c r="E196" i="6"/>
  <c r="F196" i="6"/>
  <c r="H175" i="6"/>
  <c r="G200" i="5"/>
  <c r="I200" i="5"/>
  <c r="K200" i="5"/>
  <c r="H186" i="5"/>
  <c r="J186" i="5"/>
  <c r="L186" i="5"/>
  <c r="H163" i="5"/>
  <c r="J163" i="5"/>
  <c r="L163" i="5"/>
  <c r="G163" i="5"/>
  <c r="I163" i="5"/>
  <c r="K163" i="5"/>
  <c r="E169" i="6"/>
  <c r="F169" i="6"/>
  <c r="I204" i="5"/>
  <c r="K204" i="5"/>
  <c r="G151" i="5"/>
  <c r="I151" i="5"/>
  <c r="K151" i="5"/>
  <c r="E35" i="7"/>
  <c r="H190" i="5"/>
  <c r="J190" i="5"/>
  <c r="L190" i="5"/>
  <c r="I159" i="5"/>
  <c r="K159" i="5"/>
  <c r="I149" i="5"/>
  <c r="K149" i="5"/>
  <c r="I144" i="5"/>
  <c r="K144" i="5"/>
  <c r="I171" i="5"/>
  <c r="K171" i="5"/>
  <c r="G157" i="5"/>
  <c r="I157" i="5"/>
  <c r="K157" i="5"/>
  <c r="I18" i="5"/>
  <c r="K18" i="5"/>
  <c r="E181" i="6"/>
  <c r="F181" i="6"/>
  <c r="I175" i="5"/>
  <c r="K175" i="5"/>
  <c r="I165" i="5"/>
  <c r="K165" i="5"/>
  <c r="G161" i="5"/>
  <c r="G168" i="5"/>
  <c r="I168" i="5"/>
  <c r="K168" i="5"/>
  <c r="G148" i="5"/>
  <c r="G191" i="5"/>
  <c r="I191" i="5"/>
  <c r="K191" i="5"/>
  <c r="J184" i="5"/>
  <c r="L184" i="5"/>
  <c r="G167" i="5"/>
  <c r="I167" i="5"/>
  <c r="K167" i="5"/>
  <c r="G164" i="5"/>
  <c r="I164" i="5"/>
  <c r="K164" i="5"/>
  <c r="I155" i="5"/>
  <c r="K155" i="5"/>
  <c r="H151" i="5"/>
  <c r="J151" i="5"/>
  <c r="L151" i="5"/>
  <c r="G172" i="5"/>
  <c r="G152" i="5"/>
  <c r="I152" i="5"/>
  <c r="K152" i="5"/>
  <c r="G182" i="5"/>
  <c r="I182" i="5"/>
  <c r="K182" i="5"/>
  <c r="H178" i="5"/>
  <c r="J178" i="5"/>
  <c r="L178" i="5"/>
  <c r="G177" i="5"/>
  <c r="I177" i="5"/>
  <c r="K177" i="5"/>
  <c r="G174" i="5"/>
  <c r="H164" i="5"/>
  <c r="J164" i="5"/>
  <c r="L164" i="5"/>
  <c r="H156" i="5"/>
  <c r="J156" i="5"/>
  <c r="L156" i="5"/>
  <c r="H145" i="5"/>
  <c r="J145" i="5"/>
  <c r="L145" i="5"/>
  <c r="M163" i="5"/>
  <c r="P163" i="5"/>
  <c r="I201" i="5"/>
  <c r="K201" i="5"/>
  <c r="M199" i="5"/>
  <c r="P199" i="5"/>
  <c r="I66" i="5"/>
  <c r="K66" i="5"/>
  <c r="P64" i="5"/>
  <c r="M64" i="5"/>
  <c r="Q97" i="5"/>
  <c r="N97" i="5"/>
  <c r="M181" i="5"/>
  <c r="P181" i="5"/>
  <c r="I35" i="5"/>
  <c r="K35" i="5"/>
  <c r="I36" i="5"/>
  <c r="K36" i="5"/>
  <c r="P34" i="5"/>
  <c r="M34" i="5"/>
  <c r="I108" i="5"/>
  <c r="K108" i="5"/>
  <c r="P106" i="5"/>
  <c r="M106" i="5"/>
  <c r="P31" i="5"/>
  <c r="M31" i="5"/>
  <c r="I104" i="5"/>
  <c r="K104" i="5"/>
  <c r="I105" i="5"/>
  <c r="K105" i="5"/>
  <c r="P103" i="5"/>
  <c r="M103" i="5"/>
  <c r="G52" i="7"/>
  <c r="F52" i="7"/>
  <c r="I26" i="5"/>
  <c r="K26" i="5"/>
  <c r="P25" i="5"/>
  <c r="M25" i="5"/>
  <c r="I174" i="5"/>
  <c r="K174" i="5"/>
  <c r="N151" i="5"/>
  <c r="Q151" i="5"/>
  <c r="I161" i="5"/>
  <c r="K161" i="5"/>
  <c r="I178" i="5"/>
  <c r="K178" i="5"/>
  <c r="I142" i="5"/>
  <c r="K142" i="5"/>
  <c r="N163" i="5"/>
  <c r="Q163" i="5"/>
  <c r="G196" i="6"/>
  <c r="H196" i="6"/>
  <c r="I187" i="5"/>
  <c r="K187" i="5"/>
  <c r="Q70" i="5"/>
  <c r="N70" i="5"/>
  <c r="I77" i="5"/>
  <c r="K77" i="5"/>
  <c r="I180" i="5"/>
  <c r="K180" i="5"/>
  <c r="I58" i="5"/>
  <c r="K58" i="5"/>
  <c r="I139" i="5"/>
  <c r="K139" i="5"/>
  <c r="I209" i="5"/>
  <c r="K209" i="5"/>
  <c r="I186" i="5"/>
  <c r="K186" i="5"/>
  <c r="I42" i="5"/>
  <c r="K42" i="5"/>
  <c r="I49" i="5"/>
  <c r="K49" i="5"/>
  <c r="I88" i="5"/>
  <c r="K88" i="5"/>
  <c r="I198" i="5"/>
  <c r="K198" i="5"/>
  <c r="I91" i="5"/>
  <c r="K91" i="5"/>
  <c r="I62" i="5"/>
  <c r="K62" i="5"/>
  <c r="I121" i="5"/>
  <c r="K121" i="5"/>
  <c r="G94" i="7"/>
  <c r="F94" i="7"/>
  <c r="I114" i="5"/>
  <c r="K114" i="5"/>
  <c r="G46" i="7"/>
  <c r="F46" i="7"/>
  <c r="M190" i="5"/>
  <c r="P190" i="5"/>
  <c r="I128" i="5"/>
  <c r="K128" i="5"/>
  <c r="I129" i="5"/>
  <c r="K129" i="5"/>
  <c r="P127" i="5"/>
  <c r="M127" i="5"/>
  <c r="I119" i="5"/>
  <c r="K119" i="5"/>
  <c r="I120" i="5"/>
  <c r="K120" i="5"/>
  <c r="P118" i="5"/>
  <c r="M118" i="5"/>
  <c r="I153" i="5"/>
  <c r="K153" i="5"/>
  <c r="M151" i="5"/>
  <c r="P151" i="5"/>
  <c r="I207" i="5"/>
  <c r="K207" i="5"/>
  <c r="M205" i="5"/>
  <c r="P205" i="5"/>
  <c r="M184" i="5"/>
  <c r="P184" i="5"/>
  <c r="N178" i="5"/>
  <c r="Q178" i="5"/>
  <c r="Q52" i="5"/>
  <c r="N52" i="5"/>
  <c r="M208" i="5"/>
  <c r="P208" i="5"/>
  <c r="I117" i="5"/>
  <c r="K117" i="5"/>
  <c r="M115" i="5"/>
  <c r="P115" i="5"/>
  <c r="Q127" i="5"/>
  <c r="N127" i="5"/>
  <c r="I95" i="5"/>
  <c r="K95" i="5"/>
  <c r="I96" i="5"/>
  <c r="K96" i="5"/>
  <c r="P94" i="5"/>
  <c r="M94" i="5"/>
  <c r="G181" i="6"/>
  <c r="H181" i="6"/>
  <c r="G199" i="6"/>
  <c r="H199" i="6"/>
  <c r="I194" i="5"/>
  <c r="K194" i="5"/>
  <c r="I195" i="5"/>
  <c r="K195" i="5"/>
  <c r="M193" i="5"/>
  <c r="P193" i="5"/>
  <c r="N184" i="5"/>
  <c r="Q184" i="5"/>
  <c r="I80" i="5"/>
  <c r="K80" i="5"/>
  <c r="I71" i="5"/>
  <c r="K71" i="5"/>
  <c r="I136" i="5"/>
  <c r="K136" i="5"/>
  <c r="I90" i="5"/>
  <c r="K90" i="5"/>
  <c r="I48" i="5"/>
  <c r="K48" i="5"/>
  <c r="I15" i="5"/>
  <c r="K15" i="5"/>
  <c r="I21" i="5"/>
  <c r="K21" i="5"/>
  <c r="I22" i="5"/>
  <c r="K22" i="5"/>
  <c r="I13" i="5"/>
  <c r="I166" i="5"/>
  <c r="K166" i="5"/>
  <c r="G169" i="6"/>
  <c r="H169" i="6"/>
  <c r="Q76" i="5"/>
  <c r="N76" i="5"/>
  <c r="I46" i="5"/>
  <c r="K46" i="5"/>
  <c r="I179" i="5"/>
  <c r="K179" i="5"/>
  <c r="I53" i="5"/>
  <c r="K53" i="5"/>
  <c r="I86" i="5"/>
  <c r="K86" i="5"/>
  <c r="I160" i="5"/>
  <c r="K160" i="5"/>
  <c r="N193" i="5"/>
  <c r="Q193" i="5"/>
  <c r="I173" i="5"/>
  <c r="K173" i="5"/>
  <c r="I132" i="5"/>
  <c r="K132" i="5"/>
  <c r="I41" i="5"/>
  <c r="K41" i="5"/>
  <c r="I69" i="5"/>
  <c r="K69" i="5"/>
  <c r="I196" i="5"/>
  <c r="K196" i="5"/>
  <c r="I51" i="5"/>
  <c r="K51" i="5"/>
  <c r="I28" i="5"/>
  <c r="K28" i="5"/>
  <c r="I135" i="5"/>
  <c r="K135" i="5"/>
  <c r="G142" i="7"/>
  <c r="F142" i="7"/>
  <c r="I176" i="5"/>
  <c r="K176" i="5"/>
  <c r="M175" i="5"/>
  <c r="P175" i="5"/>
  <c r="P70" i="5"/>
  <c r="M70" i="5"/>
  <c r="P100" i="5"/>
  <c r="M100" i="5"/>
  <c r="I111" i="5"/>
  <c r="K111" i="5"/>
  <c r="P109" i="5"/>
  <c r="M109" i="5"/>
  <c r="Q124" i="5"/>
  <c r="N124" i="5"/>
  <c r="I158" i="5"/>
  <c r="K158" i="5"/>
  <c r="M157" i="5"/>
  <c r="P157" i="5"/>
  <c r="N190" i="5"/>
  <c r="Q190" i="5"/>
  <c r="I145" i="5"/>
  <c r="K145" i="5"/>
  <c r="N154" i="5"/>
  <c r="Q154" i="5"/>
  <c r="I150" i="5"/>
  <c r="K150" i="5"/>
  <c r="I52" i="5"/>
  <c r="K52" i="5"/>
  <c r="I125" i="5"/>
  <c r="K125" i="5"/>
  <c r="I50" i="5"/>
  <c r="K50" i="5"/>
  <c r="I54" i="5"/>
  <c r="K54" i="5"/>
  <c r="I93" i="5"/>
  <c r="K93" i="5"/>
  <c r="I30" i="5"/>
  <c r="K30" i="5"/>
  <c r="I63" i="5"/>
  <c r="K63" i="5"/>
  <c r="G148" i="7"/>
  <c r="F148" i="7"/>
  <c r="I75" i="5"/>
  <c r="K75" i="5"/>
  <c r="Q115" i="5"/>
  <c r="N115" i="5"/>
  <c r="I78" i="5"/>
  <c r="K78" i="5"/>
  <c r="I43" i="5"/>
  <c r="K43" i="5"/>
  <c r="I47" i="5"/>
  <c r="K47" i="5"/>
  <c r="I14" i="5"/>
  <c r="K14" i="5"/>
  <c r="G67" i="7"/>
  <c r="F67" i="7"/>
  <c r="I137" i="5"/>
  <c r="K137" i="5"/>
  <c r="I130" i="5"/>
  <c r="K130" i="5"/>
  <c r="I40" i="5"/>
  <c r="K40" i="5"/>
  <c r="N31" i="5"/>
  <c r="Q31" i="5"/>
  <c r="P67" i="5"/>
  <c r="M67" i="5"/>
  <c r="P76" i="5"/>
  <c r="P124" i="5"/>
  <c r="M124" i="5"/>
  <c r="N202" i="5"/>
  <c r="Q202" i="5"/>
  <c r="Q94" i="5"/>
  <c r="N94" i="5"/>
  <c r="M202" i="5"/>
  <c r="P202" i="5"/>
  <c r="N118" i="5"/>
  <c r="Q118" i="5"/>
  <c r="Q133" i="5"/>
  <c r="N133" i="5"/>
  <c r="G100" i="7"/>
  <c r="F100" i="7"/>
  <c r="P37" i="5"/>
  <c r="M37" i="5"/>
  <c r="N145" i="5"/>
  <c r="Q145" i="5"/>
  <c r="I172" i="5"/>
  <c r="K172" i="5"/>
  <c r="I148" i="5"/>
  <c r="K148" i="5"/>
  <c r="I169" i="5"/>
  <c r="K169" i="5"/>
  <c r="I156" i="5"/>
  <c r="K156" i="5"/>
  <c r="I154" i="5"/>
  <c r="K154" i="5"/>
  <c r="Q61" i="5"/>
  <c r="N61" i="5"/>
  <c r="I55" i="5"/>
  <c r="K55" i="5"/>
  <c r="I188" i="5"/>
  <c r="K188" i="5"/>
  <c r="I61" i="5"/>
  <c r="K61" i="5"/>
  <c r="I97" i="5"/>
  <c r="K97" i="5"/>
  <c r="I146" i="5"/>
  <c r="K146" i="5"/>
  <c r="G163" i="6"/>
  <c r="H163" i="6"/>
  <c r="G70" i="7"/>
  <c r="F70" i="7"/>
  <c r="I85" i="5"/>
  <c r="K85" i="5"/>
  <c r="G79" i="5"/>
  <c r="I79" i="5"/>
  <c r="K79" i="5"/>
  <c r="P79" i="5"/>
  <c r="H79" i="5"/>
  <c r="J79" i="5"/>
  <c r="L79" i="5"/>
  <c r="Q79" i="5"/>
  <c r="I134" i="5"/>
  <c r="K134" i="5"/>
  <c r="Q55" i="5"/>
  <c r="N55" i="5"/>
  <c r="Q112" i="5"/>
  <c r="N112" i="5"/>
  <c r="I59" i="5"/>
  <c r="K59" i="5"/>
  <c r="I16" i="5"/>
  <c r="K16" i="5"/>
  <c r="I73" i="5"/>
  <c r="K73" i="5"/>
  <c r="I133" i="5"/>
  <c r="K133" i="5"/>
  <c r="I112" i="5"/>
  <c r="K112" i="5"/>
  <c r="I19" i="5"/>
  <c r="K19" i="5"/>
  <c r="M196" i="5"/>
  <c r="P196" i="5"/>
  <c r="P133" i="5"/>
  <c r="M133" i="5"/>
  <c r="P40" i="5"/>
  <c r="P43" i="5"/>
  <c r="M43" i="5"/>
  <c r="M166" i="5"/>
  <c r="P166" i="5"/>
  <c r="P136" i="5"/>
  <c r="M136" i="5"/>
  <c r="P88" i="5"/>
  <c r="M88" i="5"/>
  <c r="P58" i="5"/>
  <c r="M58" i="5"/>
  <c r="P130" i="5"/>
  <c r="M130" i="5"/>
  <c r="P49" i="5"/>
  <c r="M49" i="5"/>
  <c r="M142" i="5"/>
  <c r="P142" i="5"/>
  <c r="P55" i="5"/>
  <c r="M55" i="5"/>
  <c r="P112" i="5"/>
  <c r="M112" i="5"/>
  <c r="P73" i="5"/>
  <c r="M73" i="5"/>
  <c r="P52" i="5"/>
  <c r="M52" i="5"/>
  <c r="P85" i="5"/>
  <c r="P28" i="5"/>
  <c r="M28" i="5"/>
  <c r="P121" i="5"/>
  <c r="M121" i="5"/>
  <c r="M178" i="5"/>
  <c r="P178" i="5"/>
  <c r="P91" i="5"/>
  <c r="M91" i="5"/>
  <c r="M154" i="5"/>
  <c r="P154" i="5"/>
  <c r="M148" i="5"/>
  <c r="P148" i="5"/>
  <c r="M160" i="5"/>
  <c r="P160" i="5"/>
  <c r="M172" i="5"/>
  <c r="P172" i="5"/>
  <c r="P46" i="5"/>
  <c r="M46" i="5"/>
  <c r="M97" i="5"/>
  <c r="P97" i="5"/>
  <c r="P61" i="5"/>
  <c r="M61" i="5"/>
  <c r="M169" i="5"/>
  <c r="P169" i="5"/>
  <c r="M145" i="5"/>
  <c r="P145" i="5"/>
  <c r="M139" i="5"/>
  <c r="P139" i="5"/>
  <c r="M187" i="5"/>
  <c r="P187" i="5"/>
</calcChain>
</file>

<file path=xl/sharedStrings.xml><?xml version="1.0" encoding="utf-8"?>
<sst xmlns="http://schemas.openxmlformats.org/spreadsheetml/2006/main" count="481" uniqueCount="224">
  <si>
    <t>Run Date</t>
  </si>
  <si>
    <t>time</t>
  </si>
  <si>
    <t xml:space="preserve">RoomTemp:  </t>
  </si>
  <si>
    <t>N2 w/pump off:</t>
  </si>
  <si>
    <t>N2 w/pump on:</t>
  </si>
  <si>
    <t>Site Name</t>
  </si>
  <si>
    <t>Sampling Date</t>
  </si>
  <si>
    <t>Sample</t>
  </si>
  <si>
    <t>Time</t>
  </si>
  <si>
    <t>N28</t>
  </si>
  <si>
    <t>N29</t>
  </si>
  <si>
    <t>N30</t>
  </si>
  <si>
    <t>Ar</t>
  </si>
  <si>
    <t>O2</t>
  </si>
  <si>
    <t>Index</t>
  </si>
  <si>
    <t>20/0</t>
  </si>
  <si>
    <t>SUMMARY OUTPUT</t>
  </si>
  <si>
    <t>N2/Ar</t>
  </si>
  <si>
    <t>time(min)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</si>
  <si>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</si>
  <si>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</si>
  <si>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</si>
  <si>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</si>
  <si>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</si>
  <si>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</si>
  <si>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</si>
  <si>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</si>
  <si>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</si>
  <si>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</si>
  <si>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</si>
  <si>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</si>
  <si>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</si>
  <si>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</si>
  <si>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</si>
  <si>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</si>
  <si>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</si>
  <si>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</si>
  <si>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</si>
  <si>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</si>
  <si>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</si>
  <si>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</si>
  <si>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</si>
  <si>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</si>
  <si>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30/0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</si>
  <si>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</si>
  <si>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</si>
  <si>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</si>
  <si>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</si>
  <si>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</si>
  <si>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</si>
  <si>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</si>
  <si>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</si>
  <si>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</si>
  <si>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</si>
  <si>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</si>
  <si>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</si>
  <si>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</si>
  <si>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</si>
  <si>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</si>
  <si>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</si>
  <si>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</si>
  <si>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</si>
  <si>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</si>
  <si>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</si>
  <si>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</si>
  <si>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</si>
  <si>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t>Avg N2</t>
  </si>
  <si>
    <t>Avg O2</t>
  </si>
  <si>
    <t>=actual N2 at 20/0</t>
  </si>
  <si>
    <t>=average measured N2 at 20/0</t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</si>
  <si>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</si>
  <si>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</si>
  <si>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</si>
  <si>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</si>
  <si>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</si>
  <si>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</si>
  <si>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</si>
  <si>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</si>
  <si>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Calibrate_20C</t>
  </si>
  <si>
    <t>Calibrate_30C</t>
  </si>
  <si>
    <t>grassesIN_T0_1</t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</si>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</sst>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E+00"/>
    <numFmt numFmtId="166" formatCode="0.000"/>
    <numFmt numFmtId="167" formatCode="[$-409]h&quot;:&quot;mm&quot;:&quot;ss&quot; &quot;AM/PM"/>
    <numFmt numFmtId="168" formatCode="[$-409]0.00E+00"/>
    <numFmt numFmtId="169" formatCode="hh&quot;:&quot;mm&quot;:&quot;ss&quot; &quot;AM/PM"/>
    <numFmt numFmtId="170" formatCode="0.00E+000"/>
  </numFmts>
  <fonts count="10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quotePrefix="1" applyFont="1"/>
    <xf numFmtId="14" fontId="2" fillId="0" borderId="0" xfId="0" applyNumberFormat="1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6" fillId="0" borderId="0" xfId="0" quotePrefix="1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/>
    <xf numFmtId="0" fontId="0" fillId="2" borderId="0" xfId="0" applyFill="1"/>
    <xf numFmtId="164" fontId="6" fillId="0" borderId="0" xfId="0" applyNumberFormat="1" applyFont="1"/>
    <xf numFmtId="0" fontId="8" fillId="0" borderId="0" xfId="0" applyFont="1"/>
    <xf numFmtId="0" fontId="9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0430883639545E-2"/>
                  <c:y val="-0.307139836687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</c:trendlineLbl>
          </c:trendline>
          <c:xVal>
            <c:numRef>
              <c:f>Regs!$B$4:$B$21</c:f>
              <c:numCache>
                <c:formatCode>0.0000</c:formatCode>
                <c:ptCount val="18"/>
                <c:pt idx="0">
                  <c:v>0</c:v>
                </c:pt>
                <c:pt idx="1">
                  <c:v>0.16666666666662877</c:v>
                </c:pt>
                <c:pt idx="2">
                  <c:v>0.28333333333330302</c:v>
                </c:pt>
                <c:pt idx="3">
                  <c:v>25.449999999999932</c:v>
                </c:pt>
                <c:pt idx="4">
                  <c:v>25.549999999999955</c:v>
                </c:pt>
                <c:pt idx="5">
                  <c:v>25.649999999999977</c:v>
                </c:pt>
                <c:pt idx="6">
                  <c:v>119.13333333333333</c:v>
                </c:pt>
                <c:pt idx="7">
                  <c:v>119.23333333333323</c:v>
                </c:pt>
                <c:pt idx="8">
                  <c:v>119.29999999999995</c:v>
                </c:pt>
                <c:pt idx="9">
                  <c:v>145.83333333333326</c:v>
                </c:pt>
                <c:pt idx="10">
                  <c:v>145.91666666666663</c:v>
                </c:pt>
                <c:pt idx="11">
                  <c:v>145.98333333333323</c:v>
                </c:pt>
                <c:pt idx="12">
                  <c:v>253.75</c:v>
                </c:pt>
                <c:pt idx="13">
                  <c:v>253.79999999999995</c:v>
                </c:pt>
                <c:pt idx="14">
                  <c:v>253.89999999999998</c:v>
                </c:pt>
                <c:pt idx="15">
                  <c:v>301.11666666666656</c:v>
                </c:pt>
                <c:pt idx="16">
                  <c:v>301.25</c:v>
                </c:pt>
                <c:pt idx="17">
                  <c:v>301.36666666666656</c:v>
                </c:pt>
              </c:numCache>
            </c:numRef>
          </c:xVal>
          <c:yVal>
            <c:numRef>
              <c:f>Regs!$A$4:$A$21</c:f>
              <c:numCache>
                <c:formatCode>0.0000</c:formatCode>
                <c:ptCount val="18"/>
                <c:pt idx="0">
                  <c:v>23.414663125001557</c:v>
                </c:pt>
                <c:pt idx="1">
                  <c:v>23.397699823760071</c:v>
                </c:pt>
                <c:pt idx="2">
                  <c:v>23.405415382159568</c:v>
                </c:pt>
                <c:pt idx="3">
                  <c:v>23.638415119851665</c:v>
                </c:pt>
                <c:pt idx="4">
                  <c:v>23.597248729395748</c:v>
                </c:pt>
                <c:pt idx="5">
                  <c:v>23.596176841950452</c:v>
                </c:pt>
                <c:pt idx="6">
                  <c:v>23.529014445329487</c:v>
                </c:pt>
                <c:pt idx="7">
                  <c:v>23.538163987720925</c:v>
                </c:pt>
                <c:pt idx="8">
                  <c:v>23.507808377847912</c:v>
                </c:pt>
                <c:pt idx="9">
                  <c:v>23.551482663045412</c:v>
                </c:pt>
                <c:pt idx="10">
                  <c:v>23.543678010746255</c:v>
                </c:pt>
                <c:pt idx="11">
                  <c:v>23.55549747979634</c:v>
                </c:pt>
                <c:pt idx="12">
                  <c:v>23.460172863112771</c:v>
                </c:pt>
                <c:pt idx="13">
                  <c:v>23.463449200052057</c:v>
                </c:pt>
                <c:pt idx="14">
                  <c:v>23.494448382218604</c:v>
                </c:pt>
                <c:pt idx="15">
                  <c:v>23.419944918099841</c:v>
                </c:pt>
                <c:pt idx="16">
                  <c:v>23.419502324890541</c:v>
                </c:pt>
                <c:pt idx="17">
                  <c:v>23.418357763474273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D-420C-B57D-642C71C5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62576"/>
        <c:axId val="244456736"/>
      </c:scatterChart>
      <c:valAx>
        <c:axId val="2806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44456736"/>
        <c:crosses val="autoZero"/>
        <c:crossBetween val="midCat"/>
      </c:valAx>
      <c:valAx>
        <c:axId val="2444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806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28</a:t>
            </a:r>
            <a:r>
              <a:rPr lang="en-US" baseline="0"/>
              <a:t> vs 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888013998250206E-2"/>
                  <c:y val="0.397731481481481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</c:trendlineLbl>
          </c:trendline>
          <c:xVal>
            <c:numRef>
              <c:f>'29N2'!$B$7:$B$42</c:f>
              <c:numCache>
                <c:formatCode>0.00E+00</c:formatCode>
                <c:ptCount val="36"/>
                <c:pt idx="0">
                  <c:v>2.8181350000000001E-10</c:v>
                </c:pt>
                <c:pt idx="1">
                  <c:v>2.8158500000000002E-10</c:v>
                </c:pt>
                <c:pt idx="2">
                  <c:v>2.8151939999999999E-10</c:v>
                </c:pt>
                <c:pt idx="3">
                  <c:v>2.498668E-10</c:v>
                </c:pt>
                <c:pt idx="4">
                  <c:v>2.5015509999999998E-10</c:v>
                </c:pt>
                <c:pt idx="5">
                  <c:v>2.4999259999999998E-10</c:v>
                </c:pt>
                <c:pt idx="6">
                  <c:v>2.5319770000000001E-10</c:v>
                </c:pt>
                <c:pt idx="7">
                  <c:v>2.5328550000000002E-10</c:v>
                </c:pt>
                <c:pt idx="8">
                  <c:v>2.5341449999999999E-10</c:v>
                </c:pt>
                <c:pt idx="9">
                  <c:v>2.4687679999999999E-10</c:v>
                </c:pt>
                <c:pt idx="10">
                  <c:v>2.4677910000000002E-10</c:v>
                </c:pt>
                <c:pt idx="11">
                  <c:v>2.4676889999999998E-10</c:v>
                </c:pt>
                <c:pt idx="12">
                  <c:v>2.3786640000000002E-10</c:v>
                </c:pt>
                <c:pt idx="13">
                  <c:v>2.3785349999999999E-10</c:v>
                </c:pt>
                <c:pt idx="14">
                  <c:v>2.3805470000000002E-10</c:v>
                </c:pt>
                <c:pt idx="15">
                  <c:v>2.4124770000000001E-10</c:v>
                </c:pt>
                <c:pt idx="16">
                  <c:v>2.4124820000000001E-10</c:v>
                </c:pt>
                <c:pt idx="17">
                  <c:v>2.4117559999999998E-10</c:v>
                </c:pt>
                <c:pt idx="18">
                  <c:v>2.327946E-10</c:v>
                </c:pt>
                <c:pt idx="19">
                  <c:v>2.3276829999999999E-10</c:v>
                </c:pt>
                <c:pt idx="20">
                  <c:v>2.3273170000000001E-10</c:v>
                </c:pt>
                <c:pt idx="21">
                  <c:v>2.2938989999999999E-10</c:v>
                </c:pt>
                <c:pt idx="22">
                  <c:v>2.294201E-10</c:v>
                </c:pt>
                <c:pt idx="23">
                  <c:v>2.2943570000000001E-10</c:v>
                </c:pt>
                <c:pt idx="24">
                  <c:v>2.2209560000000001E-10</c:v>
                </c:pt>
                <c:pt idx="25">
                  <c:v>2.222002E-10</c:v>
                </c:pt>
                <c:pt idx="26">
                  <c:v>2.2220890000000001E-10</c:v>
                </c:pt>
                <c:pt idx="27">
                  <c:v>2.1552920000000001E-10</c:v>
                </c:pt>
                <c:pt idx="28">
                  <c:v>2.1530800000000001E-10</c:v>
                </c:pt>
                <c:pt idx="29">
                  <c:v>2.1516090000000001E-10</c:v>
                </c:pt>
                <c:pt idx="30">
                  <c:v>2.220316E-10</c:v>
                </c:pt>
                <c:pt idx="31">
                  <c:v>2.2212860000000001E-10</c:v>
                </c:pt>
                <c:pt idx="32">
                  <c:v>2.221353E-10</c:v>
                </c:pt>
                <c:pt idx="33">
                  <c:v>2.4341900000000002E-10</c:v>
                </c:pt>
                <c:pt idx="34">
                  <c:v>2.433758E-10</c:v>
                </c:pt>
                <c:pt idx="35">
                  <c:v>2.4329770000000002E-10</c:v>
                </c:pt>
              </c:numCache>
            </c:numRef>
          </c:xVal>
          <c:yVal>
            <c:numRef>
              <c:f>'29N2'!$C$7:$C$42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E-43F6-AFAB-F106F7F3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870000"/>
        <c:axId val="282395936"/>
      </c:scatterChart>
      <c:valAx>
        <c:axId val="280870000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82395936"/>
        <c:crosses val="autoZero"/>
        <c:crossBetween val="midCat"/>
      </c:valAx>
      <c:valAx>
        <c:axId val="28239593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8087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298450</xdr:colOff>
      <xdr:row>1</xdr:row>
      <xdr:rowOff>31750</xdr:rowOff>
    </xdr:from>
    <xdr:to>
      <xdr:col>19</xdr:col>
      <xdr:colOff>158750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547687</xdr:colOff>
      <xdr:row>24</xdr:row>
      <xdr:rowOff>9525</xdr:rowOff>
    </xdr:from>
    <xdr:to>
      <xdr:col>14</xdr:col>
      <xdr:colOff>395287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3"/>
  <sheetViews>
    <sheetView topLeftCell="A43" zoomScale="90" zoomScaleNormal="90" zoomScalePageLayoutView="90" workbookViewId="0">
      <selection activeCell="O256" sqref="O256"/>
    </sheetView>
  </sheetViews>
  <sheetFormatPr defaultColWidth="8.81640625" defaultRowHeight="12.5" x14ac:dyDescent="0.25"/>
  <cols>
    <col min="1" max="1" width="23.6328125" customWidth="1"/>
    <col min="3" max="3" width="14" customWidth="1"/>
    <col min="4" max="4" width="11.36328125" bestFit="1" customWidth="1"/>
    <col min="5" max="5" width="14.453125" customWidth="1"/>
    <col min="6" max="6" width="12.6328125" customWidth="1"/>
    <col min="7" max="7" width="12.453125" customWidth="1"/>
    <col min="8" max="8" width="14.36328125" customWidth="1"/>
    <col min="9" max="9" width="10.6328125" style="17" bestFit="1" customWidth="1"/>
    <col min="10" max="10" width="13.453125" customWidth="1"/>
    <col min="11" max="11" width="3.453125" customWidth="1"/>
    <col min="12" max="13" width="5.36328125" customWidth="1"/>
  </cols>
  <sheetData>
    <row r="1" spans="1:14" x14ac:dyDescent="0.25">
      <c r="A1" s="16" t="s">
        <v>0</v>
      </c>
      <c r="C1" s="4" t="s">
        <v>1</v>
      </c>
      <c r="D1" t="s">
        <v>2</v>
      </c>
    </row>
    <row r="3" spans="1:14" x14ac:dyDescent="0.25">
      <c r="A3" t="s">
        <v>3</v>
      </c>
      <c r="D3" s="2"/>
    </row>
    <row r="4" spans="1:14" x14ac:dyDescent="0.25">
      <c r="A4" t="s">
        <v>4</v>
      </c>
      <c r="D4" s="2"/>
    </row>
    <row r="5" spans="1:14" x14ac:dyDescent="0.25">
      <c r="D5" s="5" t="e">
        <f>D3/D4</f>
        <v>#DIV/0!</v>
      </c>
    </row>
    <row r="6" spans="1:14" x14ac:dyDescent="0.25">
      <c r="A6" t="s">
        <v>5</v>
      </c>
    </row>
    <row r="7" spans="1:14" x14ac:dyDescent="0.25">
      <c r="A7" t="s">
        <v>6</v>
      </c>
    </row>
    <row r="9" spans="1:14" x14ac:dyDescent="0.25">
      <c r="A9" t="s">
        <v>7</v>
      </c>
      <c r="B9" t="s">
        <v>14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s="17" t="s">
        <v>8</v>
      </c>
    </row>
    <row r="10" spans="1:14" x14ac:dyDescent="0.25">
      <c r="A10" t="s">
        <v>78</v>
      </c>
      <c r="B10">
        <v>4384</v>
      </c>
      <c r="C10" s="31">
        <v>0.52340277777777777</v>
      </c>
      <c r="D10" s="32">
        <v>2.8181350000000001E-10</v>
      </c>
      <c r="E10" s="32"/>
      <c r="F10" s="32"/>
      <c r="G10" s="32">
        <v>1.2035770000000001E-11</v>
      </c>
      <c r="H10" s="32">
        <v>1.3600450000000001E-10</v>
      </c>
      <c r="I10" s="18">
        <f>N10-N$10</f>
        <v>0</v>
      </c>
      <c r="J10" s="31">
        <v>0.52340277777777777</v>
      </c>
      <c r="K10">
        <v>12</v>
      </c>
      <c r="L10">
        <v>33</v>
      </c>
      <c r="M10">
        <v>42</v>
      </c>
      <c r="N10">
        <f>(K10)*60+L10+M10/60</f>
        <v>753.7</v>
      </c>
    </row>
    <row r="11" spans="1:14" x14ac:dyDescent="0.25">
      <c r="A11" t="s">
        <v>78</v>
      </c>
      <c r="B11">
        <v>4391</v>
      </c>
      <c r="C11" s="31">
        <v>0.52351851851851849</v>
      </c>
      <c r="D11" s="32">
        <v>2.8158500000000002E-10</v>
      </c>
      <c r="E11" s="32"/>
      <c r="F11" s="32"/>
      <c r="G11" s="32">
        <v>1.203473E-11</v>
      </c>
      <c r="H11" s="32">
        <v>1.3595999999999999E-10</v>
      </c>
      <c r="I11" s="18">
        <f>N11-N$10</f>
        <v>0.16666666666662877</v>
      </c>
      <c r="J11" s="31">
        <v>0.52351851851851849</v>
      </c>
      <c r="K11">
        <v>12</v>
      </c>
      <c r="L11">
        <v>33</v>
      </c>
      <c r="M11">
        <v>52</v>
      </c>
      <c r="N11">
        <f t="shared" ref="N11:N27" si="0">(K11)*60+L11+M11/60</f>
        <v>753.86666666666667</v>
      </c>
    </row>
    <row r="12" spans="1:14" x14ac:dyDescent="0.25">
      <c r="A12" t="s">
        <v>78</v>
      </c>
      <c r="B12">
        <v>4395</v>
      </c>
      <c r="C12" s="31">
        <v>0.5235995370370371</v>
      </c>
      <c r="D12" s="32">
        <v>2.8151939999999999E-10</v>
      </c>
      <c r="E12" s="32"/>
      <c r="F12" s="32"/>
      <c r="G12" s="32">
        <v>1.202796E-11</v>
      </c>
      <c r="H12" s="32">
        <v>1.3595990000000001E-10</v>
      </c>
      <c r="I12" s="18">
        <f>N12-N$10</f>
        <v>0.28333333333330302</v>
      </c>
      <c r="J12" s="31">
        <v>0.5235995370370371</v>
      </c>
      <c r="K12">
        <v>12</v>
      </c>
      <c r="L12">
        <v>33</v>
      </c>
      <c r="M12">
        <v>59</v>
      </c>
      <c r="N12">
        <f t="shared" si="0"/>
        <v>753.98333333333335</v>
      </c>
    </row>
    <row r="13" spans="1:14" x14ac:dyDescent="0.25">
      <c r="A13" t="s">
        <v>79</v>
      </c>
      <c r="B13">
        <v>4628</v>
      </c>
      <c r="C13" s="31">
        <v>0.5277546296296296</v>
      </c>
      <c r="D13" s="32">
        <v>2.498668E-10</v>
      </c>
      <c r="E13" s="32"/>
      <c r="F13" s="32"/>
      <c r="G13" s="32">
        <v>1.0138019999999999E-11</v>
      </c>
      <c r="H13" s="32">
        <v>1.1549900000000001E-10</v>
      </c>
      <c r="I13" s="18">
        <f t="shared" ref="I13:I74" si="1">N13-N$10</f>
        <v>6.2666666666666515</v>
      </c>
      <c r="J13" s="31">
        <v>0.5277546296296296</v>
      </c>
      <c r="K13">
        <v>12</v>
      </c>
      <c r="L13">
        <v>39</v>
      </c>
      <c r="M13">
        <v>58</v>
      </c>
      <c r="N13">
        <f t="shared" si="0"/>
        <v>759.9666666666667</v>
      </c>
    </row>
    <row r="14" spans="1:14" x14ac:dyDescent="0.25">
      <c r="A14" t="s">
        <v>79</v>
      </c>
      <c r="B14">
        <v>4633</v>
      </c>
      <c r="C14" s="31">
        <v>0.52784722222222225</v>
      </c>
      <c r="D14" s="32">
        <v>2.5015509999999998E-10</v>
      </c>
      <c r="E14" s="32"/>
      <c r="F14" s="32"/>
      <c r="G14" s="32">
        <v>1.014492E-11</v>
      </c>
      <c r="H14" s="32">
        <v>1.155769E-10</v>
      </c>
      <c r="I14" s="18">
        <f t="shared" si="1"/>
        <v>6.3999999999999773</v>
      </c>
      <c r="J14" s="31">
        <v>0.52784722222222225</v>
      </c>
      <c r="K14">
        <v>12</v>
      </c>
      <c r="L14">
        <v>40</v>
      </c>
      <c r="M14">
        <v>6</v>
      </c>
      <c r="N14">
        <f t="shared" si="0"/>
        <v>760.1</v>
      </c>
    </row>
    <row r="15" spans="1:14" x14ac:dyDescent="0.25">
      <c r="A15" t="s">
        <v>79</v>
      </c>
      <c r="B15">
        <v>4635</v>
      </c>
      <c r="C15" s="31">
        <v>0.52788194444444447</v>
      </c>
      <c r="D15" s="32">
        <v>2.4999259999999998E-10</v>
      </c>
      <c r="E15" s="32"/>
      <c r="F15" s="32"/>
      <c r="G15" s="32">
        <v>1.0138350000000001E-11</v>
      </c>
      <c r="H15" s="32">
        <v>1.154703E-10</v>
      </c>
      <c r="I15" s="18">
        <f t="shared" si="1"/>
        <v>6.4499999999999318</v>
      </c>
      <c r="J15" s="31">
        <v>0.52788194444444447</v>
      </c>
      <c r="K15">
        <v>12</v>
      </c>
      <c r="L15">
        <v>40</v>
      </c>
      <c r="M15">
        <v>9</v>
      </c>
      <c r="N15">
        <f t="shared" si="0"/>
        <v>760.15</v>
      </c>
    </row>
    <row r="16" spans="1:14" x14ac:dyDescent="0.25">
      <c r="A16" t="s">
        <v>80</v>
      </c>
      <c r="B16">
        <v>4942</v>
      </c>
      <c r="C16" s="31">
        <v>0.53335648148148151</v>
      </c>
      <c r="D16" s="32">
        <v>2.5319770000000001E-10</v>
      </c>
      <c r="E16" s="32"/>
      <c r="F16" s="32"/>
      <c r="G16" s="32">
        <v>1.058717E-11</v>
      </c>
      <c r="H16" s="32">
        <v>9.673242E-11</v>
      </c>
      <c r="I16" s="18">
        <f t="shared" si="1"/>
        <v>14.333333333333258</v>
      </c>
      <c r="J16" s="31">
        <v>0.53335648148148151</v>
      </c>
      <c r="K16">
        <v>12</v>
      </c>
      <c r="L16">
        <v>48</v>
      </c>
      <c r="M16">
        <v>2</v>
      </c>
      <c r="N16">
        <f t="shared" si="0"/>
        <v>768.0333333333333</v>
      </c>
    </row>
    <row r="17" spans="1:14" x14ac:dyDescent="0.25">
      <c r="A17" t="s">
        <v>81</v>
      </c>
      <c r="B17">
        <v>4946</v>
      </c>
      <c r="C17" s="31">
        <v>0.53342592592592597</v>
      </c>
      <c r="D17" s="32">
        <v>2.5328550000000002E-10</v>
      </c>
      <c r="E17" s="32"/>
      <c r="F17" s="32"/>
      <c r="G17" s="32">
        <v>1.059599E-11</v>
      </c>
      <c r="H17" s="32">
        <v>9.6655790000000005E-11</v>
      </c>
      <c r="I17" s="18">
        <f t="shared" si="1"/>
        <v>14.43333333333328</v>
      </c>
      <c r="J17" s="31">
        <v>0.53342592592592597</v>
      </c>
      <c r="K17">
        <v>12</v>
      </c>
      <c r="L17">
        <v>48</v>
      </c>
      <c r="M17">
        <v>8</v>
      </c>
      <c r="N17">
        <f t="shared" si="0"/>
        <v>768.13333333333333</v>
      </c>
    </row>
    <row r="18" spans="1:14" x14ac:dyDescent="0.25">
      <c r="A18" t="s">
        <v>82</v>
      </c>
      <c r="B18">
        <v>4950</v>
      </c>
      <c r="C18" s="31">
        <v>0.53350694444444446</v>
      </c>
      <c r="D18" s="32">
        <v>2.5341449999999999E-10</v>
      </c>
      <c r="E18" s="32"/>
      <c r="F18" s="32"/>
      <c r="G18" s="32">
        <v>1.060106E-11</v>
      </c>
      <c r="H18" s="32">
        <v>9.6691169999999995E-11</v>
      </c>
      <c r="I18" s="18">
        <f t="shared" si="1"/>
        <v>14.549999999999955</v>
      </c>
      <c r="J18" s="31">
        <v>0.53350694444444446</v>
      </c>
      <c r="K18">
        <v>12</v>
      </c>
      <c r="L18">
        <v>48</v>
      </c>
      <c r="M18">
        <v>15</v>
      </c>
      <c r="N18">
        <f t="shared" si="0"/>
        <v>768.25</v>
      </c>
    </row>
    <row r="19" spans="1:14" x14ac:dyDescent="0.25">
      <c r="A19" t="s">
        <v>83</v>
      </c>
      <c r="B19">
        <v>5065</v>
      </c>
      <c r="C19" s="31">
        <v>0.53555555555555556</v>
      </c>
      <c r="D19" s="32">
        <v>2.4687679999999999E-10</v>
      </c>
      <c r="E19" s="32"/>
      <c r="F19" s="32"/>
      <c r="G19" s="32">
        <v>1.030786E-11</v>
      </c>
      <c r="H19" s="32">
        <v>7.1286170000000006E-11</v>
      </c>
      <c r="I19" s="18">
        <f t="shared" si="1"/>
        <v>17.5</v>
      </c>
      <c r="J19" s="31">
        <v>0.53555555555555556</v>
      </c>
      <c r="K19">
        <v>12</v>
      </c>
      <c r="L19">
        <v>51</v>
      </c>
      <c r="M19">
        <v>12</v>
      </c>
      <c r="N19">
        <f t="shared" si="0"/>
        <v>771.2</v>
      </c>
    </row>
    <row r="20" spans="1:14" x14ac:dyDescent="0.25">
      <c r="A20" t="s">
        <v>84</v>
      </c>
      <c r="B20">
        <v>5068</v>
      </c>
      <c r="C20" s="31">
        <v>0.53561342592592587</v>
      </c>
      <c r="D20" s="32">
        <v>2.4677910000000002E-10</v>
      </c>
      <c r="E20" s="32"/>
      <c r="F20" s="32"/>
      <c r="G20" s="32">
        <v>1.0305300000000001E-11</v>
      </c>
      <c r="H20" s="32">
        <v>7.1114980000000006E-11</v>
      </c>
      <c r="I20" s="18">
        <f t="shared" si="1"/>
        <v>17.583333333333258</v>
      </c>
      <c r="J20" s="31">
        <v>0.53561342592592587</v>
      </c>
      <c r="K20">
        <v>12</v>
      </c>
      <c r="L20">
        <v>51</v>
      </c>
      <c r="M20">
        <v>17</v>
      </c>
      <c r="N20">
        <f t="shared" si="0"/>
        <v>771.2833333333333</v>
      </c>
    </row>
    <row r="21" spans="1:14" x14ac:dyDescent="0.25">
      <c r="A21" t="s">
        <v>85</v>
      </c>
      <c r="B21">
        <v>5070</v>
      </c>
      <c r="C21" s="31">
        <v>0.5356481481481481</v>
      </c>
      <c r="D21" s="32">
        <v>2.4676889999999998E-10</v>
      </c>
      <c r="E21" s="32"/>
      <c r="F21" s="32"/>
      <c r="G21" s="32">
        <v>1.0306890000000001E-11</v>
      </c>
      <c r="H21" s="32">
        <v>7.102859E-11</v>
      </c>
      <c r="I21" s="18">
        <f t="shared" si="1"/>
        <v>17.633333333333326</v>
      </c>
      <c r="J21" s="31">
        <v>0.5356481481481481</v>
      </c>
      <c r="K21">
        <v>12</v>
      </c>
      <c r="L21">
        <v>51</v>
      </c>
      <c r="M21">
        <v>20</v>
      </c>
      <c r="N21">
        <f t="shared" si="0"/>
        <v>771.33333333333337</v>
      </c>
    </row>
    <row r="22" spans="1:14" x14ac:dyDescent="0.25">
      <c r="A22" t="s">
        <v>86</v>
      </c>
      <c r="B22">
        <v>5215</v>
      </c>
      <c r="C22" s="31">
        <v>0.53822916666666665</v>
      </c>
      <c r="D22" s="32">
        <v>2.4796300000000002E-10</v>
      </c>
      <c r="E22" s="32"/>
      <c r="F22" s="32"/>
      <c r="G22" s="32">
        <v>1.0385149999999999E-11</v>
      </c>
      <c r="H22" s="32">
        <v>9.0146840000000005E-11</v>
      </c>
      <c r="I22" s="18">
        <f t="shared" si="1"/>
        <v>21.349999999999909</v>
      </c>
      <c r="J22" s="31">
        <v>0.53822916666666665</v>
      </c>
      <c r="K22">
        <v>12</v>
      </c>
      <c r="L22">
        <v>55</v>
      </c>
      <c r="M22">
        <v>3</v>
      </c>
      <c r="N22">
        <f t="shared" si="0"/>
        <v>775.05</v>
      </c>
    </row>
    <row r="23" spans="1:14" x14ac:dyDescent="0.25">
      <c r="A23" t="s">
        <v>87</v>
      </c>
      <c r="B23">
        <v>5219</v>
      </c>
      <c r="C23" s="31">
        <v>0.53831018518518514</v>
      </c>
      <c r="D23" s="32">
        <v>2.4793419999999999E-10</v>
      </c>
      <c r="E23" s="32"/>
      <c r="F23" s="32"/>
      <c r="G23" s="32">
        <v>1.038057E-11</v>
      </c>
      <c r="H23" s="32">
        <v>9.0202729999999995E-11</v>
      </c>
      <c r="I23" s="18">
        <f t="shared" si="1"/>
        <v>21.466666666666583</v>
      </c>
      <c r="J23" s="31">
        <v>0.53831018518518514</v>
      </c>
      <c r="K23">
        <v>12</v>
      </c>
      <c r="L23">
        <v>55</v>
      </c>
      <c r="M23">
        <v>10</v>
      </c>
      <c r="N23">
        <f t="shared" si="0"/>
        <v>775.16666666666663</v>
      </c>
    </row>
    <row r="24" spans="1:14" x14ac:dyDescent="0.25">
      <c r="A24" t="s">
        <v>88</v>
      </c>
      <c r="B24">
        <v>5224</v>
      </c>
      <c r="C24" s="31">
        <v>0.53839120370370364</v>
      </c>
      <c r="D24" s="32">
        <v>2.4775410000000001E-10</v>
      </c>
      <c r="E24" s="32"/>
      <c r="F24" s="32"/>
      <c r="G24" s="32">
        <v>1.037272E-11</v>
      </c>
      <c r="H24" s="32">
        <v>9.0240180000000004E-11</v>
      </c>
      <c r="I24" s="18">
        <f t="shared" si="1"/>
        <v>21.583333333333258</v>
      </c>
      <c r="J24" s="31">
        <v>0.53839120370370364</v>
      </c>
      <c r="K24">
        <v>12</v>
      </c>
      <c r="L24">
        <v>55</v>
      </c>
      <c r="M24">
        <v>17</v>
      </c>
      <c r="N24">
        <f t="shared" si="0"/>
        <v>775.2833333333333</v>
      </c>
    </row>
    <row r="25" spans="1:14" x14ac:dyDescent="0.25">
      <c r="A25" t="s">
        <v>78</v>
      </c>
      <c r="B25">
        <v>5374</v>
      </c>
      <c r="C25" s="31">
        <v>0.54107638888888887</v>
      </c>
      <c r="D25" s="32">
        <v>2.825131E-10</v>
      </c>
      <c r="E25" s="32"/>
      <c r="F25" s="32"/>
      <c r="G25" s="32">
        <v>1.1951440000000001E-11</v>
      </c>
      <c r="H25" s="32">
        <v>1.335523E-10</v>
      </c>
      <c r="I25" s="18">
        <f t="shared" si="1"/>
        <v>25.449999999999932</v>
      </c>
      <c r="J25" s="31">
        <v>0.54107638888888887</v>
      </c>
      <c r="K25">
        <v>12</v>
      </c>
      <c r="L25">
        <v>59</v>
      </c>
      <c r="M25">
        <v>9</v>
      </c>
      <c r="N25">
        <f t="shared" si="0"/>
        <v>779.15</v>
      </c>
    </row>
    <row r="26" spans="1:14" x14ac:dyDescent="0.25">
      <c r="A26" t="s">
        <v>78</v>
      </c>
      <c r="B26">
        <v>5378</v>
      </c>
      <c r="C26" s="31">
        <v>0.54114583333333333</v>
      </c>
      <c r="D26" s="32">
        <v>2.8252160000000002E-10</v>
      </c>
      <c r="E26" s="32"/>
      <c r="F26" s="32"/>
      <c r="G26" s="32">
        <v>1.197265E-11</v>
      </c>
      <c r="H26" s="32">
        <v>1.337147E-10</v>
      </c>
      <c r="I26" s="18">
        <f t="shared" si="1"/>
        <v>25.549999999999955</v>
      </c>
      <c r="J26" s="31">
        <v>0.54114583333333333</v>
      </c>
      <c r="K26">
        <v>12</v>
      </c>
      <c r="L26">
        <v>59</v>
      </c>
      <c r="M26">
        <v>15</v>
      </c>
      <c r="N26">
        <f t="shared" si="0"/>
        <v>779.25</v>
      </c>
    </row>
    <row r="27" spans="1:14" x14ac:dyDescent="0.25">
      <c r="A27" t="s">
        <v>78</v>
      </c>
      <c r="B27">
        <v>5382</v>
      </c>
      <c r="C27" s="31">
        <v>0.54121527777777778</v>
      </c>
      <c r="D27" s="32">
        <v>2.8237710000000002E-10</v>
      </c>
      <c r="E27" s="32"/>
      <c r="F27" s="32"/>
      <c r="G27" s="32">
        <v>1.196707E-11</v>
      </c>
      <c r="H27" s="32">
        <v>1.337087E-10</v>
      </c>
      <c r="I27" s="18">
        <f t="shared" si="1"/>
        <v>25.649999999999977</v>
      </c>
      <c r="J27" s="31">
        <v>0.54121527777777778</v>
      </c>
      <c r="K27">
        <v>12</v>
      </c>
      <c r="L27">
        <v>59</v>
      </c>
      <c r="M27">
        <v>21</v>
      </c>
      <c r="N27">
        <f t="shared" si="0"/>
        <v>779.35</v>
      </c>
    </row>
    <row r="28" spans="1:14" x14ac:dyDescent="0.25">
      <c r="A28" t="s">
        <v>79</v>
      </c>
      <c r="B28">
        <v>5549</v>
      </c>
      <c r="C28" s="31">
        <v>0.5442013888888888</v>
      </c>
      <c r="D28" s="32">
        <v>2.4231490000000003E-10</v>
      </c>
      <c r="E28" s="32"/>
      <c r="F28" s="32"/>
      <c r="G28" s="32">
        <v>9.8940559999999997E-12</v>
      </c>
      <c r="H28" s="32">
        <v>1.1206570000000001E-10</v>
      </c>
      <c r="I28" s="18">
        <f t="shared" si="1"/>
        <v>29.949999999999932</v>
      </c>
      <c r="J28" s="31">
        <v>0.5442013888888888</v>
      </c>
      <c r="K28">
        <v>1</v>
      </c>
      <c r="L28">
        <v>3</v>
      </c>
      <c r="M28">
        <v>39</v>
      </c>
      <c r="N28">
        <f t="shared" ref="N28:N74" si="2">(12+K28)*60+L28+M28/60</f>
        <v>783.65</v>
      </c>
    </row>
    <row r="29" spans="1:14" x14ac:dyDescent="0.25">
      <c r="A29" t="s">
        <v>79</v>
      </c>
      <c r="B29">
        <v>5554</v>
      </c>
      <c r="C29" s="31">
        <v>0.54428240740740741</v>
      </c>
      <c r="D29" s="32">
        <v>2.421794E-10</v>
      </c>
      <c r="E29" s="32"/>
      <c r="F29" s="32"/>
      <c r="G29" s="32">
        <v>9.8843549999999992E-12</v>
      </c>
      <c r="H29" s="32">
        <v>1.1200739999999999E-10</v>
      </c>
      <c r="I29" s="18">
        <f t="shared" si="1"/>
        <v>30.066666666666606</v>
      </c>
      <c r="J29" s="31">
        <v>0.54428240740740741</v>
      </c>
      <c r="K29">
        <v>1</v>
      </c>
      <c r="L29">
        <v>3</v>
      </c>
      <c r="M29">
        <v>46</v>
      </c>
      <c r="N29">
        <f t="shared" si="2"/>
        <v>783.76666666666665</v>
      </c>
    </row>
    <row r="30" spans="1:14" x14ac:dyDescent="0.25">
      <c r="A30" t="s">
        <v>79</v>
      </c>
      <c r="B30">
        <v>5558</v>
      </c>
      <c r="C30" s="31">
        <v>0.54435185185185175</v>
      </c>
      <c r="D30" s="32">
        <v>2.4215549999999998E-10</v>
      </c>
      <c r="E30" s="32"/>
      <c r="F30" s="32"/>
      <c r="G30" s="32">
        <v>9.8845369999999993E-12</v>
      </c>
      <c r="H30" s="32">
        <v>1.120135E-10</v>
      </c>
      <c r="I30" s="18">
        <f t="shared" si="1"/>
        <v>30.166666666666629</v>
      </c>
      <c r="J30" s="31">
        <v>0.54435185185185175</v>
      </c>
      <c r="K30">
        <v>1</v>
      </c>
      <c r="L30">
        <v>3</v>
      </c>
      <c r="M30">
        <v>52</v>
      </c>
      <c r="N30">
        <f t="shared" si="2"/>
        <v>783.86666666666667</v>
      </c>
    </row>
    <row r="31" spans="1:14" x14ac:dyDescent="0.25">
      <c r="A31" t="s">
        <v>89</v>
      </c>
      <c r="B31">
        <v>5740</v>
      </c>
      <c r="C31" s="31">
        <v>0.54760416666666656</v>
      </c>
      <c r="D31" s="32">
        <v>2.4775E-10</v>
      </c>
      <c r="E31" s="32"/>
      <c r="F31" s="32"/>
      <c r="G31" s="32">
        <v>1.0376390000000001E-11</v>
      </c>
      <c r="H31" s="32">
        <v>9.7449009999999994E-11</v>
      </c>
      <c r="I31" s="18">
        <f t="shared" si="1"/>
        <v>34.849999999999909</v>
      </c>
      <c r="J31" s="31">
        <v>0.54760416666666656</v>
      </c>
      <c r="K31">
        <v>1</v>
      </c>
      <c r="L31">
        <v>8</v>
      </c>
      <c r="M31">
        <v>33</v>
      </c>
      <c r="N31">
        <f t="shared" si="2"/>
        <v>788.55</v>
      </c>
    </row>
    <row r="32" spans="1:14" x14ac:dyDescent="0.25">
      <c r="A32" t="s">
        <v>90</v>
      </c>
      <c r="B32">
        <v>5744</v>
      </c>
      <c r="C32" s="31">
        <v>0.54767361111111101</v>
      </c>
      <c r="D32" s="32">
        <v>2.4773129999999998E-10</v>
      </c>
      <c r="E32" s="32"/>
      <c r="F32" s="32"/>
      <c r="G32" s="32">
        <v>1.0377210000000001E-11</v>
      </c>
      <c r="H32" s="32">
        <v>9.7423990000000001E-11</v>
      </c>
      <c r="I32" s="18">
        <f t="shared" si="1"/>
        <v>34.949999999999932</v>
      </c>
      <c r="J32" s="31">
        <v>0.54767361111111101</v>
      </c>
      <c r="K32">
        <v>1</v>
      </c>
      <c r="L32">
        <v>8</v>
      </c>
      <c r="M32">
        <v>39</v>
      </c>
      <c r="N32">
        <f t="shared" si="2"/>
        <v>788.65</v>
      </c>
    </row>
    <row r="33" spans="1:14" x14ac:dyDescent="0.25">
      <c r="A33" t="s">
        <v>91</v>
      </c>
      <c r="B33">
        <v>5745</v>
      </c>
      <c r="C33" s="31">
        <v>0.5476967592592592</v>
      </c>
      <c r="D33" s="32">
        <v>2.4768559999999999E-10</v>
      </c>
      <c r="E33" s="32"/>
      <c r="F33" s="32"/>
      <c r="G33" s="32">
        <v>1.037691E-11</v>
      </c>
      <c r="H33" s="32">
        <v>9.7441709999999994E-11</v>
      </c>
      <c r="I33" s="18">
        <f t="shared" si="1"/>
        <v>34.983333333333235</v>
      </c>
      <c r="J33" s="31">
        <v>0.5476967592592592</v>
      </c>
      <c r="K33">
        <v>1</v>
      </c>
      <c r="L33">
        <v>8</v>
      </c>
      <c r="M33">
        <v>41</v>
      </c>
      <c r="N33">
        <f t="shared" si="2"/>
        <v>788.68333333333328</v>
      </c>
    </row>
    <row r="34" spans="1:14" x14ac:dyDescent="0.25">
      <c r="A34" t="s">
        <v>92</v>
      </c>
      <c r="B34">
        <v>5895</v>
      </c>
      <c r="C34" s="31">
        <v>0.55037037037037029</v>
      </c>
      <c r="D34" s="32">
        <v>2.5047260000000002E-10</v>
      </c>
      <c r="E34" s="32"/>
      <c r="F34" s="32"/>
      <c r="G34" s="32">
        <v>1.047354E-11</v>
      </c>
      <c r="H34" s="32">
        <v>9.5005480000000005E-11</v>
      </c>
      <c r="I34" s="18">
        <f t="shared" si="1"/>
        <v>38.833333333333258</v>
      </c>
      <c r="J34" s="31">
        <v>0.55037037037037029</v>
      </c>
      <c r="K34">
        <v>1</v>
      </c>
      <c r="L34">
        <v>12</v>
      </c>
      <c r="M34">
        <v>32</v>
      </c>
      <c r="N34">
        <f t="shared" si="2"/>
        <v>792.5333333333333</v>
      </c>
    </row>
    <row r="35" spans="1:14" x14ac:dyDescent="0.25">
      <c r="A35" t="s">
        <v>93</v>
      </c>
      <c r="B35">
        <v>5900</v>
      </c>
      <c r="C35" s="31">
        <v>0.55046296296296293</v>
      </c>
      <c r="D35" s="32">
        <v>2.503256E-10</v>
      </c>
      <c r="E35" s="32"/>
      <c r="F35" s="32"/>
      <c r="G35" s="32">
        <v>1.0461050000000001E-11</v>
      </c>
      <c r="H35" s="32">
        <v>9.4964010000000002E-11</v>
      </c>
      <c r="I35" s="18">
        <f t="shared" si="1"/>
        <v>38.966666666666583</v>
      </c>
      <c r="J35" s="31">
        <v>0.55046296296296293</v>
      </c>
      <c r="K35">
        <v>1</v>
      </c>
      <c r="L35">
        <v>12</v>
      </c>
      <c r="M35">
        <v>40</v>
      </c>
      <c r="N35">
        <f t="shared" si="2"/>
        <v>792.66666666666663</v>
      </c>
    </row>
    <row r="36" spans="1:14" x14ac:dyDescent="0.25">
      <c r="A36" t="s">
        <v>94</v>
      </c>
      <c r="B36">
        <v>5906</v>
      </c>
      <c r="C36" s="31">
        <v>0.55056712962962961</v>
      </c>
      <c r="D36" s="32">
        <v>2.5020459999999999E-10</v>
      </c>
      <c r="E36" s="32"/>
      <c r="F36" s="32"/>
      <c r="G36" s="32">
        <v>1.045602E-11</v>
      </c>
      <c r="H36" s="32">
        <v>9.4894119999999995E-11</v>
      </c>
      <c r="I36" s="18">
        <f t="shared" si="1"/>
        <v>39.116666666666674</v>
      </c>
      <c r="J36" s="31">
        <v>0.55056712962962961</v>
      </c>
      <c r="K36">
        <v>1</v>
      </c>
      <c r="L36">
        <v>12</v>
      </c>
      <c r="M36">
        <v>49</v>
      </c>
      <c r="N36">
        <f t="shared" si="2"/>
        <v>792.81666666666672</v>
      </c>
    </row>
    <row r="37" spans="1:14" x14ac:dyDescent="0.25">
      <c r="A37" t="s">
        <v>95</v>
      </c>
      <c r="B37">
        <v>6016</v>
      </c>
      <c r="C37" s="31">
        <v>0.55253472222222211</v>
      </c>
      <c r="D37" s="32">
        <v>2.4831889999999999E-10</v>
      </c>
      <c r="E37" s="32"/>
      <c r="F37" s="32"/>
      <c r="G37" s="32">
        <v>1.0384259999999999E-11</v>
      </c>
      <c r="H37" s="32">
        <v>7.9754029999999996E-11</v>
      </c>
      <c r="I37" s="18">
        <f t="shared" si="1"/>
        <v>41.949999999999932</v>
      </c>
      <c r="J37" s="31">
        <v>0.55253472222222211</v>
      </c>
      <c r="K37">
        <v>1</v>
      </c>
      <c r="L37">
        <v>15</v>
      </c>
      <c r="M37">
        <v>39</v>
      </c>
      <c r="N37">
        <f t="shared" si="2"/>
        <v>795.65</v>
      </c>
    </row>
    <row r="38" spans="1:14" x14ac:dyDescent="0.25">
      <c r="A38" t="s">
        <v>96</v>
      </c>
      <c r="B38">
        <v>6019</v>
      </c>
      <c r="C38" s="31">
        <v>0.55258101851851849</v>
      </c>
      <c r="D38" s="32">
        <v>2.4823179999999998E-10</v>
      </c>
      <c r="E38" s="32"/>
      <c r="F38" s="32"/>
      <c r="G38" s="32">
        <v>1.0381850000000001E-11</v>
      </c>
      <c r="H38" s="32">
        <v>7.9639230000000004E-11</v>
      </c>
      <c r="I38" s="18">
        <f t="shared" si="1"/>
        <v>42.016666666666652</v>
      </c>
      <c r="J38" s="31">
        <v>0.55258101851851849</v>
      </c>
      <c r="K38">
        <v>1</v>
      </c>
      <c r="L38">
        <v>15</v>
      </c>
      <c r="M38">
        <v>43</v>
      </c>
      <c r="N38">
        <f t="shared" si="2"/>
        <v>795.7166666666667</v>
      </c>
    </row>
    <row r="39" spans="1:14" x14ac:dyDescent="0.25">
      <c r="A39" t="s">
        <v>97</v>
      </c>
      <c r="B39">
        <v>6023</v>
      </c>
      <c r="C39" s="31">
        <v>0.55266203703703698</v>
      </c>
      <c r="D39" s="32">
        <v>2.4822560000000002E-10</v>
      </c>
      <c r="E39" s="32"/>
      <c r="F39" s="32"/>
      <c r="G39" s="32">
        <v>1.037825E-11</v>
      </c>
      <c r="H39" s="32">
        <v>7.9533640000000003E-11</v>
      </c>
      <c r="I39" s="18">
        <f t="shared" si="1"/>
        <v>42.133333333333326</v>
      </c>
      <c r="J39" s="31">
        <v>0.55266203703703698</v>
      </c>
      <c r="K39">
        <v>1</v>
      </c>
      <c r="L39">
        <v>15</v>
      </c>
      <c r="M39">
        <v>50</v>
      </c>
      <c r="N39">
        <f t="shared" si="2"/>
        <v>795.83333333333337</v>
      </c>
    </row>
    <row r="40" spans="1:14" x14ac:dyDescent="0.25">
      <c r="A40" t="s">
        <v>78</v>
      </c>
      <c r="B40">
        <v>6176</v>
      </c>
      <c r="C40" s="31">
        <v>0.55539351851851848</v>
      </c>
      <c r="D40" s="32">
        <v>2.780781E-10</v>
      </c>
      <c r="E40" s="32"/>
      <c r="F40" s="32"/>
      <c r="G40" s="32">
        <v>1.1773320000000001E-11</v>
      </c>
      <c r="H40" s="32">
        <v>1.3152490000000001E-10</v>
      </c>
      <c r="I40" s="18">
        <f t="shared" si="1"/>
        <v>46.066666666666606</v>
      </c>
      <c r="J40" s="31">
        <v>0.55539351851851848</v>
      </c>
      <c r="K40">
        <v>1</v>
      </c>
      <c r="L40">
        <v>19</v>
      </c>
      <c r="M40">
        <v>46</v>
      </c>
      <c r="N40">
        <f t="shared" si="2"/>
        <v>799.76666666666665</v>
      </c>
    </row>
    <row r="41" spans="1:14" x14ac:dyDescent="0.25">
      <c r="A41" t="s">
        <v>78</v>
      </c>
      <c r="B41">
        <v>6179</v>
      </c>
      <c r="C41" s="31">
        <v>0.55543981481481475</v>
      </c>
      <c r="D41" s="32">
        <v>2.7820959999999999E-10</v>
      </c>
      <c r="E41" s="32"/>
      <c r="F41" s="32"/>
      <c r="G41" s="32">
        <v>1.1782620000000001E-11</v>
      </c>
      <c r="H41" s="32">
        <v>1.316653E-10</v>
      </c>
      <c r="I41" s="18">
        <f t="shared" si="1"/>
        <v>46.133333333333326</v>
      </c>
      <c r="J41" s="31">
        <v>0.55543981481481475</v>
      </c>
      <c r="K41">
        <v>1</v>
      </c>
      <c r="L41">
        <v>19</v>
      </c>
      <c r="M41">
        <v>50</v>
      </c>
      <c r="N41">
        <f t="shared" si="2"/>
        <v>799.83333333333337</v>
      </c>
    </row>
    <row r="42" spans="1:14" x14ac:dyDescent="0.25">
      <c r="A42" t="s">
        <v>78</v>
      </c>
      <c r="B42">
        <v>6181</v>
      </c>
      <c r="C42" s="31">
        <v>0.55547453703703698</v>
      </c>
      <c r="D42" s="32">
        <v>2.7830810000000001E-10</v>
      </c>
      <c r="E42" s="32"/>
      <c r="F42" s="32"/>
      <c r="G42" s="32">
        <v>1.177616E-11</v>
      </c>
      <c r="H42" s="32">
        <v>1.3170930000000001E-10</v>
      </c>
      <c r="I42" s="18">
        <f t="shared" si="1"/>
        <v>46.18333333333328</v>
      </c>
      <c r="J42" s="31">
        <v>0.55547453703703698</v>
      </c>
      <c r="K42">
        <v>1</v>
      </c>
      <c r="L42">
        <v>19</v>
      </c>
      <c r="M42">
        <v>53</v>
      </c>
      <c r="N42">
        <f t="shared" si="2"/>
        <v>799.88333333333333</v>
      </c>
    </row>
    <row r="43" spans="1:14" x14ac:dyDescent="0.25">
      <c r="A43" t="s">
        <v>79</v>
      </c>
      <c r="B43">
        <v>6336</v>
      </c>
      <c r="C43" s="31">
        <v>0.5582407407407407</v>
      </c>
      <c r="D43" s="32">
        <v>2.3656910000000001E-10</v>
      </c>
      <c r="E43" s="32"/>
      <c r="F43" s="32"/>
      <c r="G43" s="32">
        <v>9.6866990000000001E-12</v>
      </c>
      <c r="H43" s="32">
        <v>1.095556E-10</v>
      </c>
      <c r="I43" s="18">
        <f t="shared" si="1"/>
        <v>50.166666666666629</v>
      </c>
      <c r="J43" s="31">
        <v>0.5582407407407407</v>
      </c>
      <c r="K43">
        <v>1</v>
      </c>
      <c r="L43">
        <v>23</v>
      </c>
      <c r="M43">
        <v>52</v>
      </c>
      <c r="N43">
        <f t="shared" si="2"/>
        <v>803.86666666666667</v>
      </c>
    </row>
    <row r="44" spans="1:14" x14ac:dyDescent="0.25">
      <c r="A44" t="s">
        <v>79</v>
      </c>
      <c r="B44">
        <v>6339</v>
      </c>
      <c r="C44" s="31">
        <v>0.55829861111111112</v>
      </c>
      <c r="D44" s="32">
        <v>2.3656789999999999E-10</v>
      </c>
      <c r="E44" s="32"/>
      <c r="F44" s="32"/>
      <c r="G44" s="32">
        <v>9.6826709999999997E-12</v>
      </c>
      <c r="H44" s="32">
        <v>1.095571E-10</v>
      </c>
      <c r="I44" s="18">
        <f t="shared" si="1"/>
        <v>50.25</v>
      </c>
      <c r="J44" s="31">
        <v>0.55829861111111112</v>
      </c>
      <c r="K44">
        <v>1</v>
      </c>
      <c r="L44">
        <v>23</v>
      </c>
      <c r="M44">
        <v>57</v>
      </c>
      <c r="N44">
        <f t="shared" si="2"/>
        <v>803.95</v>
      </c>
    </row>
    <row r="45" spans="1:14" x14ac:dyDescent="0.25">
      <c r="A45" t="s">
        <v>79</v>
      </c>
      <c r="B45">
        <v>6343</v>
      </c>
      <c r="C45" s="31">
        <v>0.55836805555555558</v>
      </c>
      <c r="D45" s="32">
        <v>2.3648999999999998E-10</v>
      </c>
      <c r="E45" s="32"/>
      <c r="F45" s="32"/>
      <c r="G45" s="32">
        <v>9.6773529999999995E-12</v>
      </c>
      <c r="H45" s="32">
        <v>1.095162E-10</v>
      </c>
      <c r="I45" s="18">
        <f t="shared" si="1"/>
        <v>50.349999999999909</v>
      </c>
      <c r="J45" s="31">
        <v>0.55836805555555558</v>
      </c>
      <c r="K45">
        <v>1</v>
      </c>
      <c r="L45">
        <v>24</v>
      </c>
      <c r="M45">
        <v>3</v>
      </c>
      <c r="N45">
        <f t="shared" si="2"/>
        <v>804.05</v>
      </c>
    </row>
    <row r="46" spans="1:14" x14ac:dyDescent="0.25">
      <c r="A46" t="s">
        <v>98</v>
      </c>
      <c r="B46">
        <v>6466</v>
      </c>
      <c r="C46" s="31">
        <v>0.56056712962962962</v>
      </c>
      <c r="D46" s="32">
        <v>2.454798E-10</v>
      </c>
      <c r="E46" s="32"/>
      <c r="F46" s="32"/>
      <c r="G46" s="32">
        <v>1.026523E-11</v>
      </c>
      <c r="H46" s="32">
        <v>7.9783910000000003E-11</v>
      </c>
      <c r="I46" s="18">
        <f t="shared" si="1"/>
        <v>53.516666666666652</v>
      </c>
      <c r="J46" s="31">
        <v>0.56056712962962962</v>
      </c>
      <c r="K46">
        <v>1</v>
      </c>
      <c r="L46">
        <v>27</v>
      </c>
      <c r="M46">
        <v>13</v>
      </c>
      <c r="N46">
        <f t="shared" si="2"/>
        <v>807.2166666666667</v>
      </c>
    </row>
    <row r="47" spans="1:14" x14ac:dyDescent="0.25">
      <c r="A47" t="s">
        <v>99</v>
      </c>
      <c r="B47">
        <v>6470</v>
      </c>
      <c r="C47" s="31">
        <v>0.56063657407407408</v>
      </c>
      <c r="D47" s="32">
        <v>2.4560100000000002E-10</v>
      </c>
      <c r="E47" s="32"/>
      <c r="F47" s="32"/>
      <c r="G47" s="32">
        <v>1.026523E-11</v>
      </c>
      <c r="H47" s="32">
        <v>7.9682299999999999E-11</v>
      </c>
      <c r="I47" s="18">
        <f t="shared" si="1"/>
        <v>53.616666666666674</v>
      </c>
      <c r="J47" s="31">
        <v>0.56063657407407408</v>
      </c>
      <c r="K47">
        <v>1</v>
      </c>
      <c r="L47">
        <v>27</v>
      </c>
      <c r="M47">
        <v>19</v>
      </c>
      <c r="N47">
        <f t="shared" si="2"/>
        <v>807.31666666666672</v>
      </c>
    </row>
    <row r="48" spans="1:14" x14ac:dyDescent="0.25">
      <c r="A48" t="s">
        <v>100</v>
      </c>
      <c r="B48">
        <v>6473</v>
      </c>
      <c r="C48" s="31">
        <v>0.5606944444444445</v>
      </c>
      <c r="D48" s="32">
        <v>2.4556370000000002E-10</v>
      </c>
      <c r="E48" s="32"/>
      <c r="F48" s="32"/>
      <c r="G48" s="32">
        <v>1.026343E-11</v>
      </c>
      <c r="H48" s="32">
        <v>7.9553140000000002E-11</v>
      </c>
      <c r="I48" s="18">
        <f t="shared" si="1"/>
        <v>53.699999999999932</v>
      </c>
      <c r="J48" s="31">
        <v>0.5606944444444445</v>
      </c>
      <c r="K48">
        <v>1</v>
      </c>
      <c r="L48">
        <v>27</v>
      </c>
      <c r="M48">
        <v>24</v>
      </c>
      <c r="N48">
        <f t="shared" si="2"/>
        <v>807.4</v>
      </c>
    </row>
    <row r="49" spans="1:14" x14ac:dyDescent="0.25">
      <c r="A49" t="s">
        <v>101</v>
      </c>
      <c r="B49">
        <v>6596</v>
      </c>
      <c r="C49" s="31">
        <v>0.56288194444444439</v>
      </c>
      <c r="D49" s="32">
        <v>2.4573309999999999E-10</v>
      </c>
      <c r="E49" s="32"/>
      <c r="F49" s="32"/>
      <c r="G49" s="32">
        <v>1.027661E-11</v>
      </c>
      <c r="H49" s="32">
        <v>8.0641250000000003E-11</v>
      </c>
      <c r="I49" s="18">
        <f t="shared" si="1"/>
        <v>56.849999999999909</v>
      </c>
      <c r="J49" s="31">
        <v>0.56288194444444439</v>
      </c>
      <c r="K49">
        <v>1</v>
      </c>
      <c r="L49">
        <v>30</v>
      </c>
      <c r="M49">
        <v>33</v>
      </c>
      <c r="N49">
        <f t="shared" si="2"/>
        <v>810.55</v>
      </c>
    </row>
    <row r="50" spans="1:14" x14ac:dyDescent="0.25">
      <c r="A50" t="s">
        <v>102</v>
      </c>
      <c r="B50">
        <v>6604</v>
      </c>
      <c r="C50" s="31">
        <v>0.56303240740740745</v>
      </c>
      <c r="D50" s="32">
        <v>2.4572609999999999E-10</v>
      </c>
      <c r="E50" s="32"/>
      <c r="F50" s="32"/>
      <c r="G50" s="32">
        <v>1.028024E-11</v>
      </c>
      <c r="H50" s="32">
        <v>8.0663179999999996E-11</v>
      </c>
      <c r="I50" s="18">
        <f t="shared" si="1"/>
        <v>57.066666666666606</v>
      </c>
      <c r="J50" s="31">
        <v>0.56303240740740745</v>
      </c>
      <c r="K50">
        <v>1</v>
      </c>
      <c r="L50">
        <v>30</v>
      </c>
      <c r="M50">
        <v>46</v>
      </c>
      <c r="N50">
        <f t="shared" si="2"/>
        <v>810.76666666666665</v>
      </c>
    </row>
    <row r="51" spans="1:14" x14ac:dyDescent="0.25">
      <c r="A51" t="s">
        <v>103</v>
      </c>
      <c r="B51">
        <v>6609</v>
      </c>
      <c r="C51" s="31">
        <v>0.56311342592592595</v>
      </c>
      <c r="D51" s="32">
        <v>2.4575009999999998E-10</v>
      </c>
      <c r="E51" s="32"/>
      <c r="F51" s="32"/>
      <c r="G51" s="32">
        <v>1.028299E-11</v>
      </c>
      <c r="H51" s="32">
        <v>8.0684579999999994E-11</v>
      </c>
      <c r="I51" s="18">
        <f t="shared" si="1"/>
        <v>57.18333333333328</v>
      </c>
      <c r="J51" s="31">
        <v>0.56311342592592595</v>
      </c>
      <c r="K51">
        <v>1</v>
      </c>
      <c r="L51">
        <v>30</v>
      </c>
      <c r="M51">
        <v>53</v>
      </c>
      <c r="N51">
        <f t="shared" si="2"/>
        <v>810.88333333333333</v>
      </c>
    </row>
    <row r="52" spans="1:14" x14ac:dyDescent="0.25">
      <c r="A52" t="s">
        <v>104</v>
      </c>
      <c r="B52">
        <v>6718</v>
      </c>
      <c r="C52" s="31">
        <v>0.5650694444444444</v>
      </c>
      <c r="D52" s="32">
        <v>2.4952900000000001E-10</v>
      </c>
      <c r="E52" s="32"/>
      <c r="F52" s="32"/>
      <c r="G52" s="32">
        <v>1.0436539999999999E-11</v>
      </c>
      <c r="H52" s="32">
        <v>1.055826E-10</v>
      </c>
      <c r="I52" s="18">
        <f t="shared" si="1"/>
        <v>60</v>
      </c>
      <c r="J52" s="31">
        <v>0.5650694444444444</v>
      </c>
      <c r="K52">
        <v>1</v>
      </c>
      <c r="L52">
        <v>33</v>
      </c>
      <c r="M52">
        <v>42</v>
      </c>
      <c r="N52">
        <f t="shared" si="2"/>
        <v>813.7</v>
      </c>
    </row>
    <row r="53" spans="1:14" x14ac:dyDescent="0.25">
      <c r="A53" t="s">
        <v>105</v>
      </c>
      <c r="B53">
        <v>6720</v>
      </c>
      <c r="C53" s="31">
        <v>0.56510416666666663</v>
      </c>
      <c r="D53" s="32">
        <v>2.4935470000000002E-10</v>
      </c>
      <c r="E53" s="32"/>
      <c r="F53" s="32"/>
      <c r="G53" s="32">
        <v>1.043145E-11</v>
      </c>
      <c r="H53" s="32">
        <v>1.0562600000000001E-10</v>
      </c>
      <c r="I53" s="18">
        <f t="shared" si="1"/>
        <v>60.049999999999955</v>
      </c>
      <c r="J53" s="31">
        <v>0.56510416666666663</v>
      </c>
      <c r="K53">
        <v>1</v>
      </c>
      <c r="L53">
        <v>33</v>
      </c>
      <c r="M53">
        <v>45</v>
      </c>
      <c r="N53">
        <f t="shared" si="2"/>
        <v>813.75</v>
      </c>
    </row>
    <row r="54" spans="1:14" x14ac:dyDescent="0.25">
      <c r="A54" t="s">
        <v>106</v>
      </c>
      <c r="B54">
        <v>6724</v>
      </c>
      <c r="C54" s="31">
        <v>0.56517361111111108</v>
      </c>
      <c r="D54" s="32">
        <v>2.4906879999999998E-10</v>
      </c>
      <c r="E54" s="32"/>
      <c r="F54" s="32"/>
      <c r="G54" s="32">
        <v>1.042711E-11</v>
      </c>
      <c r="H54" s="32">
        <v>1.056931E-10</v>
      </c>
      <c r="I54" s="18">
        <f t="shared" si="1"/>
        <v>60.149999999999977</v>
      </c>
      <c r="J54" s="31">
        <v>0.56517361111111108</v>
      </c>
      <c r="K54">
        <v>1</v>
      </c>
      <c r="L54">
        <v>33</v>
      </c>
      <c r="M54">
        <v>51</v>
      </c>
      <c r="N54">
        <f t="shared" si="2"/>
        <v>813.85</v>
      </c>
    </row>
    <row r="55" spans="1:14" x14ac:dyDescent="0.25">
      <c r="A55" t="s">
        <v>78</v>
      </c>
      <c r="B55">
        <v>6815</v>
      </c>
      <c r="C55" s="31">
        <v>0.56679398148148141</v>
      </c>
      <c r="D55" s="32">
        <v>2.7404039999999999E-10</v>
      </c>
      <c r="E55" s="32"/>
      <c r="F55" s="32"/>
      <c r="G55" s="32">
        <v>1.1605810000000001E-11</v>
      </c>
      <c r="H55" s="32">
        <v>1.28702E-10</v>
      </c>
      <c r="I55" s="18">
        <f t="shared" si="1"/>
        <v>62.483333333333235</v>
      </c>
      <c r="J55" s="31">
        <v>0.56679398148148141</v>
      </c>
      <c r="K55">
        <v>1</v>
      </c>
      <c r="L55">
        <v>36</v>
      </c>
      <c r="M55">
        <v>11</v>
      </c>
      <c r="N55">
        <f t="shared" si="2"/>
        <v>816.18333333333328</v>
      </c>
    </row>
    <row r="56" spans="1:14" x14ac:dyDescent="0.25">
      <c r="A56" t="s">
        <v>78</v>
      </c>
      <c r="B56">
        <v>6826</v>
      </c>
      <c r="C56" s="31">
        <v>0.56699074074074074</v>
      </c>
      <c r="D56" s="32">
        <v>2.7418099999999999E-10</v>
      </c>
      <c r="E56" s="32"/>
      <c r="F56" s="32"/>
      <c r="G56" s="32">
        <v>1.162166E-11</v>
      </c>
      <c r="H56" s="32">
        <v>1.292925E-10</v>
      </c>
      <c r="I56" s="18">
        <f t="shared" si="1"/>
        <v>62.766666666666652</v>
      </c>
      <c r="J56" s="31">
        <v>0.56699074074074074</v>
      </c>
      <c r="K56">
        <v>1</v>
      </c>
      <c r="L56">
        <v>36</v>
      </c>
      <c r="M56">
        <v>28</v>
      </c>
      <c r="N56">
        <f t="shared" si="2"/>
        <v>816.4666666666667</v>
      </c>
    </row>
    <row r="57" spans="1:14" x14ac:dyDescent="0.25">
      <c r="A57" t="s">
        <v>78</v>
      </c>
      <c r="B57">
        <v>6829</v>
      </c>
      <c r="C57" s="31">
        <v>0.56704861111111104</v>
      </c>
      <c r="D57" s="32">
        <v>2.7411640000000002E-10</v>
      </c>
      <c r="E57" s="32"/>
      <c r="F57" s="32"/>
      <c r="G57" s="32">
        <v>1.1608830000000001E-11</v>
      </c>
      <c r="H57" s="32">
        <v>1.2935020000000001E-10</v>
      </c>
      <c r="I57" s="18">
        <f t="shared" si="1"/>
        <v>62.849999999999909</v>
      </c>
      <c r="J57" s="31">
        <v>0.56704861111111104</v>
      </c>
      <c r="K57">
        <v>1</v>
      </c>
      <c r="L57">
        <v>36</v>
      </c>
      <c r="M57">
        <v>33</v>
      </c>
      <c r="N57">
        <f t="shared" si="2"/>
        <v>816.55</v>
      </c>
    </row>
    <row r="58" spans="1:14" x14ac:dyDescent="0.25">
      <c r="A58" t="s">
        <v>79</v>
      </c>
      <c r="B58">
        <v>6990</v>
      </c>
      <c r="C58" s="31">
        <v>0.56991898148148146</v>
      </c>
      <c r="D58" s="32">
        <v>2.328538E-10</v>
      </c>
      <c r="E58" s="32"/>
      <c r="F58" s="32"/>
      <c r="G58" s="32">
        <v>9.5564049999999996E-12</v>
      </c>
      <c r="H58" s="32">
        <v>1.079643E-10</v>
      </c>
      <c r="I58" s="18">
        <f t="shared" si="1"/>
        <v>66.983333333333235</v>
      </c>
      <c r="J58" s="31">
        <v>0.56991898148148146</v>
      </c>
      <c r="K58">
        <v>1</v>
      </c>
      <c r="L58">
        <v>40</v>
      </c>
      <c r="M58">
        <v>41</v>
      </c>
      <c r="N58">
        <f t="shared" si="2"/>
        <v>820.68333333333328</v>
      </c>
    </row>
    <row r="59" spans="1:14" x14ac:dyDescent="0.25">
      <c r="A59" t="s">
        <v>79</v>
      </c>
      <c r="B59">
        <v>6997</v>
      </c>
      <c r="C59" s="31">
        <v>0.57004629629629622</v>
      </c>
      <c r="D59" s="32">
        <v>2.3264640000000001E-10</v>
      </c>
      <c r="E59" s="32"/>
      <c r="F59" s="32"/>
      <c r="G59" s="32">
        <v>9.5431210000000004E-12</v>
      </c>
      <c r="H59" s="32">
        <v>1.0787140000000001E-10</v>
      </c>
      <c r="I59" s="18">
        <f t="shared" si="1"/>
        <v>67.166666666666629</v>
      </c>
      <c r="J59" s="31">
        <v>0.57004629629629622</v>
      </c>
      <c r="K59">
        <v>1</v>
      </c>
      <c r="L59">
        <v>40</v>
      </c>
      <c r="M59">
        <v>52</v>
      </c>
      <c r="N59">
        <f t="shared" si="2"/>
        <v>820.86666666666667</v>
      </c>
    </row>
    <row r="60" spans="1:14" x14ac:dyDescent="0.25">
      <c r="A60" t="s">
        <v>79</v>
      </c>
      <c r="B60">
        <v>7002</v>
      </c>
      <c r="C60" s="31">
        <v>0.57013888888888886</v>
      </c>
      <c r="D60" s="32">
        <v>2.3254579999999999E-10</v>
      </c>
      <c r="E60" s="32"/>
      <c r="F60" s="32"/>
      <c r="G60" s="32">
        <v>9.5389769999999993E-12</v>
      </c>
      <c r="H60" s="32">
        <v>1.078333E-10</v>
      </c>
      <c r="I60" s="18">
        <f t="shared" si="1"/>
        <v>67.299999999999955</v>
      </c>
      <c r="J60" s="31">
        <v>0.57013888888888886</v>
      </c>
      <c r="K60">
        <v>1</v>
      </c>
      <c r="L60">
        <v>41</v>
      </c>
      <c r="M60">
        <v>0</v>
      </c>
      <c r="N60">
        <f t="shared" si="2"/>
        <v>821</v>
      </c>
    </row>
    <row r="61" spans="1:14" x14ac:dyDescent="0.25">
      <c r="A61" t="s">
        <v>107</v>
      </c>
      <c r="B61">
        <v>7135</v>
      </c>
      <c r="C61" s="31">
        <v>0.57251157407407405</v>
      </c>
      <c r="D61" s="32">
        <v>2.5003119999999998E-10</v>
      </c>
      <c r="E61" s="32"/>
      <c r="F61" s="32"/>
      <c r="G61" s="32">
        <v>1.0350079999999999E-11</v>
      </c>
      <c r="H61" s="32">
        <v>9.2980419999999995E-11</v>
      </c>
      <c r="I61" s="18">
        <f t="shared" si="1"/>
        <v>70.716666666666583</v>
      </c>
      <c r="J61" s="31">
        <v>0.57251157407407405</v>
      </c>
      <c r="K61">
        <v>1</v>
      </c>
      <c r="L61">
        <v>44</v>
      </c>
      <c r="M61">
        <v>25</v>
      </c>
      <c r="N61">
        <f t="shared" si="2"/>
        <v>824.41666666666663</v>
      </c>
    </row>
    <row r="62" spans="1:14" x14ac:dyDescent="0.25">
      <c r="A62" t="s">
        <v>108</v>
      </c>
      <c r="B62">
        <v>7145</v>
      </c>
      <c r="C62" s="31">
        <v>0.57268518518518519</v>
      </c>
      <c r="D62" s="32">
        <v>2.5000459999999998E-10</v>
      </c>
      <c r="E62" s="32"/>
      <c r="F62" s="32"/>
      <c r="G62" s="32">
        <v>1.035023E-11</v>
      </c>
      <c r="H62" s="32">
        <v>9.2838499999999999E-11</v>
      </c>
      <c r="I62" s="18">
        <f t="shared" si="1"/>
        <v>70.966666666666583</v>
      </c>
      <c r="J62" s="31">
        <v>0.57268518518518519</v>
      </c>
      <c r="K62">
        <v>1</v>
      </c>
      <c r="L62">
        <v>44</v>
      </c>
      <c r="M62">
        <v>40</v>
      </c>
      <c r="N62">
        <f t="shared" si="2"/>
        <v>824.66666666666663</v>
      </c>
    </row>
    <row r="63" spans="1:14" x14ac:dyDescent="0.25">
      <c r="A63" t="s">
        <v>109</v>
      </c>
      <c r="B63">
        <v>7149</v>
      </c>
      <c r="C63" s="31">
        <v>0.57275462962962964</v>
      </c>
      <c r="D63" s="32">
        <v>2.4999489999999999E-10</v>
      </c>
      <c r="E63" s="32"/>
      <c r="F63" s="32"/>
      <c r="G63" s="32">
        <v>1.0351699999999999E-11</v>
      </c>
      <c r="H63" s="32">
        <v>9.2782040000000003E-11</v>
      </c>
      <c r="I63" s="18">
        <f t="shared" si="1"/>
        <v>71.066666666666606</v>
      </c>
      <c r="J63" s="31">
        <v>0.57275462962962964</v>
      </c>
      <c r="K63">
        <v>1</v>
      </c>
      <c r="L63">
        <v>44</v>
      </c>
      <c r="M63">
        <v>46</v>
      </c>
      <c r="N63">
        <f t="shared" si="2"/>
        <v>824.76666666666665</v>
      </c>
    </row>
    <row r="64" spans="1:14" x14ac:dyDescent="0.25">
      <c r="A64" t="s">
        <v>110</v>
      </c>
      <c r="B64">
        <v>7260</v>
      </c>
      <c r="C64" s="31">
        <v>0.57474537037037032</v>
      </c>
      <c r="D64" s="32">
        <v>2.3916749999999999E-10</v>
      </c>
      <c r="E64" s="32"/>
      <c r="F64" s="32"/>
      <c r="G64" s="32">
        <v>1.0048870000000001E-11</v>
      </c>
      <c r="H64" s="32">
        <v>8.3135760000000005E-11</v>
      </c>
      <c r="I64" s="18">
        <f t="shared" si="1"/>
        <v>73.93333333333328</v>
      </c>
      <c r="J64" s="31">
        <v>0.57474537037037032</v>
      </c>
      <c r="K64">
        <v>1</v>
      </c>
      <c r="L64">
        <v>47</v>
      </c>
      <c r="M64">
        <v>38</v>
      </c>
      <c r="N64">
        <f t="shared" si="2"/>
        <v>827.63333333333333</v>
      </c>
    </row>
    <row r="65" spans="1:14" x14ac:dyDescent="0.25">
      <c r="A65" t="s">
        <v>111</v>
      </c>
      <c r="B65">
        <v>7268</v>
      </c>
      <c r="C65" s="31">
        <v>0.57488425925925923</v>
      </c>
      <c r="D65" s="32">
        <v>2.3917199999999998E-10</v>
      </c>
      <c r="E65" s="32"/>
      <c r="F65" s="32"/>
      <c r="G65" s="32">
        <v>1.004478E-11</v>
      </c>
      <c r="H65" s="32">
        <v>8.2976170000000006E-11</v>
      </c>
      <c r="I65" s="18">
        <f t="shared" si="1"/>
        <v>74.133333333333326</v>
      </c>
      <c r="J65" s="31">
        <v>0.57488425925925923</v>
      </c>
      <c r="K65">
        <v>1</v>
      </c>
      <c r="L65">
        <v>47</v>
      </c>
      <c r="M65">
        <v>50</v>
      </c>
      <c r="N65">
        <f t="shared" si="2"/>
        <v>827.83333333333337</v>
      </c>
    </row>
    <row r="66" spans="1:14" x14ac:dyDescent="0.25">
      <c r="A66" t="s">
        <v>112</v>
      </c>
      <c r="B66">
        <v>7274</v>
      </c>
      <c r="C66" s="31">
        <v>0.57498842592592592</v>
      </c>
      <c r="D66" s="32">
        <v>2.3899119999999999E-10</v>
      </c>
      <c r="E66" s="32"/>
      <c r="F66" s="32"/>
      <c r="G66" s="32">
        <v>1.0034860000000001E-11</v>
      </c>
      <c r="H66" s="32">
        <v>8.287328E-11</v>
      </c>
      <c r="I66" s="18">
        <f t="shared" si="1"/>
        <v>74.283333333333303</v>
      </c>
      <c r="J66" s="31">
        <v>0.57498842592592592</v>
      </c>
      <c r="K66">
        <v>1</v>
      </c>
      <c r="L66">
        <v>47</v>
      </c>
      <c r="M66">
        <v>59</v>
      </c>
      <c r="N66">
        <f t="shared" si="2"/>
        <v>827.98333333333335</v>
      </c>
    </row>
    <row r="67" spans="1:14" x14ac:dyDescent="0.25">
      <c r="A67" t="s">
        <v>113</v>
      </c>
      <c r="B67">
        <v>7362</v>
      </c>
      <c r="C67" s="31">
        <v>0.57656249999999998</v>
      </c>
      <c r="D67" s="32">
        <v>2.3864340000000001E-10</v>
      </c>
      <c r="E67" s="32"/>
      <c r="F67" s="32"/>
      <c r="G67" s="32">
        <v>1.005192E-11</v>
      </c>
      <c r="H67" s="32">
        <v>8.1518749999999996E-11</v>
      </c>
      <c r="I67" s="18">
        <f t="shared" si="1"/>
        <v>76.549999999999955</v>
      </c>
      <c r="J67" s="31">
        <v>0.57656249999999998</v>
      </c>
      <c r="K67">
        <v>1</v>
      </c>
      <c r="L67">
        <v>50</v>
      </c>
      <c r="M67">
        <v>15</v>
      </c>
      <c r="N67">
        <f t="shared" si="2"/>
        <v>830.25</v>
      </c>
    </row>
    <row r="68" spans="1:14" x14ac:dyDescent="0.25">
      <c r="A68" t="s">
        <v>114</v>
      </c>
      <c r="B68">
        <v>7369</v>
      </c>
      <c r="C68" s="31">
        <v>0.57668981481481474</v>
      </c>
      <c r="D68" s="32">
        <v>2.3849909999999998E-10</v>
      </c>
      <c r="E68" s="32"/>
      <c r="F68" s="32"/>
      <c r="G68" s="32">
        <v>1.004028E-11</v>
      </c>
      <c r="H68" s="32">
        <v>8.1436910000000005E-11</v>
      </c>
      <c r="I68" s="18">
        <f t="shared" si="1"/>
        <v>76.733333333333235</v>
      </c>
      <c r="J68" s="31">
        <v>0.57668981481481474</v>
      </c>
      <c r="K68">
        <v>1</v>
      </c>
      <c r="L68">
        <v>50</v>
      </c>
      <c r="M68">
        <v>26</v>
      </c>
      <c r="N68">
        <f t="shared" si="2"/>
        <v>830.43333333333328</v>
      </c>
    </row>
    <row r="69" spans="1:14" x14ac:dyDescent="0.25">
      <c r="A69" t="s">
        <v>115</v>
      </c>
      <c r="B69">
        <v>7379</v>
      </c>
      <c r="C69" s="31">
        <v>0.57686342592592588</v>
      </c>
      <c r="D69" s="32">
        <v>2.3863040000000001E-10</v>
      </c>
      <c r="E69" s="32"/>
      <c r="F69" s="32"/>
      <c r="G69" s="32">
        <v>1.0046060000000001E-11</v>
      </c>
      <c r="H69" s="32">
        <v>8.137683E-11</v>
      </c>
      <c r="I69" s="18">
        <f t="shared" si="1"/>
        <v>76.983333333333235</v>
      </c>
      <c r="J69" s="31">
        <v>0.57686342592592588</v>
      </c>
      <c r="K69">
        <v>1</v>
      </c>
      <c r="L69">
        <v>50</v>
      </c>
      <c r="M69">
        <v>41</v>
      </c>
      <c r="N69">
        <f t="shared" si="2"/>
        <v>830.68333333333328</v>
      </c>
    </row>
    <row r="70" spans="1:14" x14ac:dyDescent="0.25">
      <c r="A70" t="s">
        <v>78</v>
      </c>
      <c r="B70">
        <v>7493</v>
      </c>
      <c r="C70" s="31">
        <v>0.57890046296296294</v>
      </c>
      <c r="D70" s="32">
        <v>2.7093799999999998E-10</v>
      </c>
      <c r="E70" s="32"/>
      <c r="F70" s="32"/>
      <c r="G70" s="32">
        <v>1.1468839999999999E-11</v>
      </c>
      <c r="H70" s="32">
        <v>1.270956E-10</v>
      </c>
      <c r="I70" s="18">
        <f t="shared" si="1"/>
        <v>79.916666666666629</v>
      </c>
      <c r="J70" s="31">
        <v>0.57890046296296294</v>
      </c>
      <c r="K70">
        <v>1</v>
      </c>
      <c r="L70">
        <v>53</v>
      </c>
      <c r="M70">
        <v>37</v>
      </c>
      <c r="N70">
        <f t="shared" si="2"/>
        <v>833.61666666666667</v>
      </c>
    </row>
    <row r="71" spans="1:14" x14ac:dyDescent="0.25">
      <c r="A71" t="s">
        <v>78</v>
      </c>
      <c r="B71">
        <v>7498</v>
      </c>
      <c r="C71" s="31">
        <v>0.57899305555555547</v>
      </c>
      <c r="D71" s="32">
        <v>2.7107749999999999E-10</v>
      </c>
      <c r="E71" s="32"/>
      <c r="F71" s="32"/>
      <c r="G71" s="32">
        <v>1.149628E-11</v>
      </c>
      <c r="H71" s="32">
        <v>1.273877E-10</v>
      </c>
      <c r="I71" s="18">
        <f t="shared" si="1"/>
        <v>80.049999999999955</v>
      </c>
      <c r="J71" s="31">
        <v>0.57899305555555547</v>
      </c>
      <c r="K71">
        <v>1</v>
      </c>
      <c r="L71">
        <v>53</v>
      </c>
      <c r="M71">
        <v>45</v>
      </c>
      <c r="N71">
        <f t="shared" si="2"/>
        <v>833.75</v>
      </c>
    </row>
    <row r="72" spans="1:14" x14ac:dyDescent="0.25">
      <c r="A72" t="s">
        <v>78</v>
      </c>
      <c r="B72">
        <v>7510</v>
      </c>
      <c r="C72" s="31">
        <v>0.57920138888888884</v>
      </c>
      <c r="D72" s="32">
        <v>2.707055E-10</v>
      </c>
      <c r="E72" s="32"/>
      <c r="F72" s="32"/>
      <c r="G72" s="32">
        <v>1.147549E-11</v>
      </c>
      <c r="H72" s="32">
        <v>1.2765880000000001E-10</v>
      </c>
      <c r="I72" s="18">
        <f t="shared" si="1"/>
        <v>80.349999999999909</v>
      </c>
      <c r="J72" s="31">
        <v>0.57920138888888884</v>
      </c>
      <c r="K72">
        <v>1</v>
      </c>
      <c r="L72">
        <v>54</v>
      </c>
      <c r="M72">
        <v>3</v>
      </c>
      <c r="N72">
        <f t="shared" si="2"/>
        <v>834.05</v>
      </c>
    </row>
    <row r="73" spans="1:14" x14ac:dyDescent="0.25">
      <c r="A73" t="s">
        <v>79</v>
      </c>
      <c r="B73">
        <v>7671</v>
      </c>
      <c r="C73" s="31">
        <v>0.58208333333333329</v>
      </c>
      <c r="D73" s="32">
        <v>2.2861440000000001E-10</v>
      </c>
      <c r="E73" s="32"/>
      <c r="F73" s="32"/>
      <c r="G73" s="32">
        <v>9.4061750000000002E-12</v>
      </c>
      <c r="H73" s="32">
        <v>1.061742E-10</v>
      </c>
      <c r="I73" s="18">
        <f t="shared" si="1"/>
        <v>84.5</v>
      </c>
      <c r="J73" s="31">
        <v>0.58208333333333329</v>
      </c>
      <c r="K73">
        <v>1</v>
      </c>
      <c r="L73">
        <v>58</v>
      </c>
      <c r="M73">
        <v>12</v>
      </c>
      <c r="N73">
        <f t="shared" si="2"/>
        <v>838.2</v>
      </c>
    </row>
    <row r="74" spans="1:14" x14ac:dyDescent="0.25">
      <c r="A74" t="s">
        <v>79</v>
      </c>
      <c r="B74">
        <v>7674</v>
      </c>
      <c r="C74" s="31">
        <v>0.58212962962962955</v>
      </c>
      <c r="D74" s="32">
        <v>2.285842E-10</v>
      </c>
      <c r="E74" s="32"/>
      <c r="F74" s="32"/>
      <c r="G74" s="32">
        <v>9.4056249999999993E-12</v>
      </c>
      <c r="H74" s="32">
        <v>1.061302E-10</v>
      </c>
      <c r="I74" s="18">
        <f t="shared" si="1"/>
        <v>84.566666666666606</v>
      </c>
      <c r="J74" s="31">
        <v>0.58212962962962955</v>
      </c>
      <c r="K74">
        <v>1</v>
      </c>
      <c r="L74">
        <v>58</v>
      </c>
      <c r="M74">
        <v>16</v>
      </c>
      <c r="N74">
        <f t="shared" si="2"/>
        <v>838.26666666666665</v>
      </c>
    </row>
    <row r="75" spans="1:14" x14ac:dyDescent="0.25">
      <c r="A75" t="s">
        <v>79</v>
      </c>
      <c r="B75">
        <v>7678</v>
      </c>
      <c r="C75" s="31">
        <v>0.58219907407407401</v>
      </c>
      <c r="D75" s="32">
        <v>2.2861409999999999E-10</v>
      </c>
      <c r="E75" s="32"/>
      <c r="F75" s="32"/>
      <c r="G75" s="32">
        <v>9.4042270000000001E-12</v>
      </c>
      <c r="H75" s="32">
        <v>1.0619850000000001E-10</v>
      </c>
      <c r="I75" s="18">
        <f t="shared" ref="I75:I138" si="3">N75-N$10</f>
        <v>84.666666666666629</v>
      </c>
      <c r="J75" s="31">
        <v>0.58219907407407401</v>
      </c>
      <c r="K75">
        <v>1</v>
      </c>
      <c r="L75">
        <v>58</v>
      </c>
      <c r="M75">
        <v>22</v>
      </c>
      <c r="N75">
        <f t="shared" ref="N75:N138" si="4">(12+K75)*60+L75+M75/60</f>
        <v>838.36666666666667</v>
      </c>
    </row>
    <row r="76" spans="1:14" x14ac:dyDescent="0.25">
      <c r="A76" t="s">
        <v>116</v>
      </c>
      <c r="B76">
        <v>7872</v>
      </c>
      <c r="C76" s="31">
        <v>0.58567129629629633</v>
      </c>
      <c r="D76" s="32">
        <v>2.3786640000000002E-10</v>
      </c>
      <c r="E76" s="32"/>
      <c r="F76" s="32"/>
      <c r="G76" s="32">
        <v>9.9907180000000001E-12</v>
      </c>
      <c r="H76" s="32">
        <v>8.6010249999999998E-11</v>
      </c>
      <c r="I76" s="18">
        <f t="shared" si="3"/>
        <v>89.666666666666629</v>
      </c>
      <c r="J76" s="31">
        <v>0.58567129629629633</v>
      </c>
      <c r="K76">
        <v>2</v>
      </c>
      <c r="L76">
        <v>3</v>
      </c>
      <c r="M76">
        <v>22</v>
      </c>
      <c r="N76">
        <f t="shared" si="4"/>
        <v>843.36666666666667</v>
      </c>
    </row>
    <row r="77" spans="1:14" x14ac:dyDescent="0.25">
      <c r="A77" t="s">
        <v>117</v>
      </c>
      <c r="B77">
        <v>7878</v>
      </c>
      <c r="C77" s="31">
        <v>0.58577546296296301</v>
      </c>
      <c r="D77" s="32">
        <v>2.3785349999999999E-10</v>
      </c>
      <c r="E77" s="32"/>
      <c r="F77" s="32"/>
      <c r="G77" s="32">
        <v>9.9900470000000005E-12</v>
      </c>
      <c r="H77" s="32">
        <v>8.5954400000000005E-11</v>
      </c>
      <c r="I77" s="18">
        <f t="shared" si="3"/>
        <v>89.816666666666606</v>
      </c>
      <c r="J77" s="31">
        <v>0.58577546296296301</v>
      </c>
      <c r="K77">
        <v>2</v>
      </c>
      <c r="L77">
        <v>3</v>
      </c>
      <c r="M77">
        <v>31</v>
      </c>
      <c r="N77">
        <f t="shared" si="4"/>
        <v>843.51666666666665</v>
      </c>
    </row>
    <row r="78" spans="1:14" x14ac:dyDescent="0.25">
      <c r="A78" t="s">
        <v>118</v>
      </c>
      <c r="B78">
        <v>7887</v>
      </c>
      <c r="C78" s="31">
        <v>0.5859375</v>
      </c>
      <c r="D78" s="32">
        <v>2.3805470000000002E-10</v>
      </c>
      <c r="E78" s="32"/>
      <c r="F78" s="32"/>
      <c r="G78" s="32">
        <v>9.9987799999999995E-12</v>
      </c>
      <c r="H78" s="32">
        <v>8.5955349999999997E-11</v>
      </c>
      <c r="I78" s="18">
        <f t="shared" si="3"/>
        <v>90.049999999999955</v>
      </c>
      <c r="J78" s="31">
        <v>0.5859375</v>
      </c>
      <c r="K78">
        <v>2</v>
      </c>
      <c r="L78">
        <v>3</v>
      </c>
      <c r="M78">
        <v>45</v>
      </c>
      <c r="N78">
        <f t="shared" si="4"/>
        <v>843.75</v>
      </c>
    </row>
    <row r="79" spans="1:14" x14ac:dyDescent="0.25">
      <c r="A79" t="s">
        <v>119</v>
      </c>
      <c r="B79">
        <v>8028</v>
      </c>
      <c r="C79" s="31">
        <v>0.5884490740740741</v>
      </c>
      <c r="D79" s="32">
        <v>2.4124770000000001E-10</v>
      </c>
      <c r="E79" s="32"/>
      <c r="F79" s="32"/>
      <c r="G79" s="32">
        <v>1.002414E-11</v>
      </c>
      <c r="H79" s="32">
        <v>7.1780300000000002E-11</v>
      </c>
      <c r="I79" s="18">
        <f t="shared" si="3"/>
        <v>93.666666666666629</v>
      </c>
      <c r="J79" s="31">
        <v>0.5884490740740741</v>
      </c>
      <c r="K79">
        <v>2</v>
      </c>
      <c r="L79">
        <v>7</v>
      </c>
      <c r="M79">
        <v>22</v>
      </c>
      <c r="N79">
        <f t="shared" si="4"/>
        <v>847.36666666666667</v>
      </c>
    </row>
    <row r="80" spans="1:14" x14ac:dyDescent="0.25">
      <c r="A80" t="s">
        <v>120</v>
      </c>
      <c r="B80">
        <v>8031</v>
      </c>
      <c r="C80" s="31">
        <v>0.58850694444444451</v>
      </c>
      <c r="D80" s="32">
        <v>2.4124820000000001E-10</v>
      </c>
      <c r="E80" s="32"/>
      <c r="F80" s="32"/>
      <c r="G80" s="32">
        <v>1.00293E-11</v>
      </c>
      <c r="H80" s="32">
        <v>7.1761090000000002E-11</v>
      </c>
      <c r="I80" s="18">
        <f t="shared" si="3"/>
        <v>93.75</v>
      </c>
      <c r="J80" s="31">
        <v>0.58850694444444451</v>
      </c>
      <c r="K80">
        <v>2</v>
      </c>
      <c r="L80">
        <v>7</v>
      </c>
      <c r="M80">
        <v>27</v>
      </c>
      <c r="N80">
        <f t="shared" si="4"/>
        <v>847.45</v>
      </c>
    </row>
    <row r="81" spans="1:14" x14ac:dyDescent="0.25">
      <c r="A81" t="s">
        <v>121</v>
      </c>
      <c r="B81">
        <v>8036</v>
      </c>
      <c r="C81" s="31">
        <v>0.58859953703703705</v>
      </c>
      <c r="D81" s="32">
        <v>2.4117559999999998E-10</v>
      </c>
      <c r="E81" s="32"/>
      <c r="F81" s="32"/>
      <c r="G81" s="32">
        <v>1.002454E-11</v>
      </c>
      <c r="H81" s="32">
        <v>7.1635649999999994E-11</v>
      </c>
      <c r="I81" s="18">
        <f t="shared" si="3"/>
        <v>93.883333333333326</v>
      </c>
      <c r="J81" s="31">
        <v>0.58859953703703705</v>
      </c>
      <c r="K81">
        <v>2</v>
      </c>
      <c r="L81">
        <v>7</v>
      </c>
      <c r="M81">
        <v>35</v>
      </c>
      <c r="N81">
        <f t="shared" si="4"/>
        <v>847.58333333333337</v>
      </c>
    </row>
    <row r="82" spans="1:14" x14ac:dyDescent="0.25">
      <c r="A82" t="s">
        <v>122</v>
      </c>
      <c r="B82">
        <v>8130</v>
      </c>
      <c r="C82" s="31">
        <v>0.59027777777777779</v>
      </c>
      <c r="D82" s="32">
        <v>2.3719909999999999E-10</v>
      </c>
      <c r="E82" s="32"/>
      <c r="F82" s="32"/>
      <c r="G82" s="32">
        <v>9.8813019999999994E-12</v>
      </c>
      <c r="H82" s="32">
        <v>6.8419309999999997E-11</v>
      </c>
      <c r="I82" s="18">
        <f t="shared" si="3"/>
        <v>96.299999999999955</v>
      </c>
      <c r="J82" s="31">
        <v>0.59027777777777779</v>
      </c>
      <c r="K82">
        <v>2</v>
      </c>
      <c r="L82">
        <v>10</v>
      </c>
      <c r="M82">
        <v>0</v>
      </c>
      <c r="N82">
        <f t="shared" si="4"/>
        <v>850</v>
      </c>
    </row>
    <row r="83" spans="1:14" x14ac:dyDescent="0.25">
      <c r="A83" t="s">
        <v>123</v>
      </c>
      <c r="B83">
        <v>8132</v>
      </c>
      <c r="C83" s="31">
        <v>0.59031250000000002</v>
      </c>
      <c r="D83" s="32">
        <v>2.3725640000000001E-10</v>
      </c>
      <c r="E83" s="32"/>
      <c r="F83" s="32"/>
      <c r="G83" s="32">
        <v>9.8855750000000007E-12</v>
      </c>
      <c r="H83" s="32">
        <v>6.8408289999999995E-11</v>
      </c>
      <c r="I83" s="18">
        <f t="shared" si="3"/>
        <v>96.349999999999909</v>
      </c>
      <c r="J83" s="31">
        <v>0.59031250000000002</v>
      </c>
      <c r="K83">
        <v>2</v>
      </c>
      <c r="L83">
        <v>10</v>
      </c>
      <c r="M83">
        <v>3</v>
      </c>
      <c r="N83">
        <f t="shared" si="4"/>
        <v>850.05</v>
      </c>
    </row>
    <row r="84" spans="1:14" x14ac:dyDescent="0.25">
      <c r="A84" t="s">
        <v>124</v>
      </c>
      <c r="B84">
        <v>8136</v>
      </c>
      <c r="C84" s="33">
        <v>0.59038194444444447</v>
      </c>
      <c r="D84" s="34">
        <v>2.3718930000000002E-10</v>
      </c>
      <c r="E84" s="34"/>
      <c r="F84" s="34"/>
      <c r="G84" s="34">
        <v>9.8796550000000003E-12</v>
      </c>
      <c r="H84" s="34">
        <v>6.8336140000000001E-11</v>
      </c>
      <c r="I84" s="18">
        <f t="shared" si="3"/>
        <v>96.449999999999932</v>
      </c>
      <c r="J84" s="33">
        <v>0.59038194444444447</v>
      </c>
      <c r="K84">
        <v>2</v>
      </c>
      <c r="L84">
        <v>10</v>
      </c>
      <c r="M84">
        <v>9</v>
      </c>
      <c r="N84">
        <f t="shared" si="4"/>
        <v>850.15</v>
      </c>
    </row>
    <row r="85" spans="1:14" x14ac:dyDescent="0.25">
      <c r="A85" t="s">
        <v>78</v>
      </c>
      <c r="B85">
        <v>8312</v>
      </c>
      <c r="C85" s="31">
        <v>0.59351851851851856</v>
      </c>
      <c r="D85" s="32">
        <v>2.658879E-10</v>
      </c>
      <c r="E85" s="32"/>
      <c r="F85" s="32"/>
      <c r="G85" s="32">
        <v>1.125351E-11</v>
      </c>
      <c r="H85" s="32">
        <v>1.258537E-10</v>
      </c>
      <c r="I85" s="18">
        <f t="shared" si="3"/>
        <v>100.96666666666658</v>
      </c>
      <c r="J85" s="31">
        <v>0.59351851851851856</v>
      </c>
      <c r="K85">
        <v>2</v>
      </c>
      <c r="L85">
        <v>14</v>
      </c>
      <c r="M85">
        <v>40</v>
      </c>
      <c r="N85">
        <f t="shared" si="4"/>
        <v>854.66666666666663</v>
      </c>
    </row>
    <row r="86" spans="1:14" x14ac:dyDescent="0.25">
      <c r="A86" t="s">
        <v>78</v>
      </c>
      <c r="B86">
        <v>8315</v>
      </c>
      <c r="C86" s="31">
        <v>0.59357638888888886</v>
      </c>
      <c r="D86" s="32">
        <v>2.6593170000000001E-10</v>
      </c>
      <c r="E86" s="32"/>
      <c r="F86" s="32"/>
      <c r="G86" s="32">
        <v>1.126724E-11</v>
      </c>
      <c r="H86" s="32">
        <v>1.2590440000000001E-10</v>
      </c>
      <c r="I86" s="18">
        <f t="shared" si="3"/>
        <v>101.04999999999995</v>
      </c>
      <c r="J86" s="31">
        <v>0.59357638888888886</v>
      </c>
      <c r="K86">
        <v>2</v>
      </c>
      <c r="L86">
        <v>14</v>
      </c>
      <c r="M86">
        <v>45</v>
      </c>
      <c r="N86">
        <f t="shared" si="4"/>
        <v>854.75</v>
      </c>
    </row>
    <row r="87" spans="1:14" x14ac:dyDescent="0.25">
      <c r="A87" t="s">
        <v>78</v>
      </c>
      <c r="B87">
        <v>8320</v>
      </c>
      <c r="C87" s="31">
        <v>0.59366898148148151</v>
      </c>
      <c r="D87" s="32">
        <v>2.658248E-10</v>
      </c>
      <c r="E87" s="32"/>
      <c r="F87" s="32"/>
      <c r="G87" s="32">
        <v>1.1264160000000001E-11</v>
      </c>
      <c r="H87" s="32">
        <v>1.2590109999999999E-10</v>
      </c>
      <c r="I87" s="18">
        <f t="shared" si="3"/>
        <v>101.18333333333328</v>
      </c>
      <c r="J87" s="31">
        <v>0.59366898148148151</v>
      </c>
      <c r="K87">
        <v>2</v>
      </c>
      <c r="L87">
        <v>14</v>
      </c>
      <c r="M87">
        <v>53</v>
      </c>
      <c r="N87">
        <f t="shared" si="4"/>
        <v>854.88333333333333</v>
      </c>
    </row>
    <row r="88" spans="1:14" x14ac:dyDescent="0.25">
      <c r="A88" t="s">
        <v>79</v>
      </c>
      <c r="B88">
        <v>8441</v>
      </c>
      <c r="C88" s="31">
        <v>0.59582175925925929</v>
      </c>
      <c r="D88" s="32">
        <v>2.2579969999999999E-10</v>
      </c>
      <c r="E88" s="32"/>
      <c r="F88" s="32"/>
      <c r="G88" s="32">
        <v>9.2771349999999997E-12</v>
      </c>
      <c r="H88" s="32">
        <v>1.046988E-10</v>
      </c>
      <c r="I88" s="18">
        <f t="shared" si="3"/>
        <v>104.2833333333333</v>
      </c>
      <c r="J88" s="31">
        <v>0.59582175925925929</v>
      </c>
      <c r="K88">
        <v>2</v>
      </c>
      <c r="L88">
        <v>17</v>
      </c>
      <c r="M88">
        <v>59</v>
      </c>
      <c r="N88">
        <f t="shared" si="4"/>
        <v>857.98333333333335</v>
      </c>
    </row>
    <row r="89" spans="1:14" x14ac:dyDescent="0.25">
      <c r="A89" t="s">
        <v>79</v>
      </c>
      <c r="B89">
        <v>8446</v>
      </c>
      <c r="C89" s="31">
        <v>0.59591435185185182</v>
      </c>
      <c r="D89" s="32">
        <v>2.258676E-10</v>
      </c>
      <c r="E89" s="32"/>
      <c r="F89" s="32"/>
      <c r="G89" s="32">
        <v>9.2857769999999995E-12</v>
      </c>
      <c r="H89" s="32">
        <v>1.047256E-10</v>
      </c>
      <c r="I89" s="18">
        <f t="shared" si="3"/>
        <v>104.41666666666663</v>
      </c>
      <c r="J89" s="31">
        <v>0.59591435185185182</v>
      </c>
      <c r="K89">
        <v>2</v>
      </c>
      <c r="L89">
        <v>18</v>
      </c>
      <c r="M89">
        <v>7</v>
      </c>
      <c r="N89">
        <f t="shared" si="4"/>
        <v>858.11666666666667</v>
      </c>
    </row>
    <row r="90" spans="1:14" x14ac:dyDescent="0.25">
      <c r="A90" t="s">
        <v>79</v>
      </c>
      <c r="B90">
        <v>8447</v>
      </c>
      <c r="C90" s="31">
        <v>0.59593750000000001</v>
      </c>
      <c r="D90" s="32">
        <v>2.258165E-10</v>
      </c>
      <c r="E90" s="32"/>
      <c r="F90" s="32"/>
      <c r="G90" s="32">
        <v>9.2783909999999994E-12</v>
      </c>
      <c r="H90" s="32">
        <v>1.046332E-10</v>
      </c>
      <c r="I90" s="18">
        <f t="shared" si="3"/>
        <v>104.44999999999993</v>
      </c>
      <c r="J90" s="31">
        <v>0.59593750000000001</v>
      </c>
      <c r="K90">
        <v>2</v>
      </c>
      <c r="L90">
        <v>18</v>
      </c>
      <c r="M90">
        <v>9</v>
      </c>
      <c r="N90">
        <f t="shared" si="4"/>
        <v>858.15</v>
      </c>
    </row>
    <row r="91" spans="1:14" x14ac:dyDescent="0.25">
      <c r="A91" t="s">
        <v>125</v>
      </c>
      <c r="B91">
        <v>8597</v>
      </c>
      <c r="C91" s="31">
        <v>0.59861111111111109</v>
      </c>
      <c r="D91" s="32">
        <v>2.2989039999999999E-10</v>
      </c>
      <c r="E91" s="32"/>
      <c r="F91" s="32"/>
      <c r="G91" s="32">
        <v>9.6363719999999996E-12</v>
      </c>
      <c r="H91" s="32">
        <v>4.583673E-11</v>
      </c>
      <c r="I91" s="18">
        <f t="shared" si="3"/>
        <v>108.29999999999995</v>
      </c>
      <c r="J91" s="31">
        <v>0.59861111111111109</v>
      </c>
      <c r="K91">
        <v>2</v>
      </c>
      <c r="L91">
        <v>22</v>
      </c>
      <c r="M91">
        <v>0</v>
      </c>
      <c r="N91">
        <f t="shared" si="4"/>
        <v>862</v>
      </c>
    </row>
    <row r="92" spans="1:14" x14ac:dyDescent="0.25">
      <c r="A92" t="s">
        <v>126</v>
      </c>
      <c r="B92">
        <v>8601</v>
      </c>
      <c r="C92" s="31">
        <v>0.59868055555555555</v>
      </c>
      <c r="D92" s="32">
        <v>2.3008360000000001E-10</v>
      </c>
      <c r="E92" s="32"/>
      <c r="F92" s="32"/>
      <c r="G92" s="32">
        <v>9.6403030000000005E-12</v>
      </c>
      <c r="H92" s="32">
        <v>4.5721409999999998E-11</v>
      </c>
      <c r="I92" s="18">
        <f t="shared" si="3"/>
        <v>108.39999999999998</v>
      </c>
      <c r="J92" s="31">
        <v>0.59868055555555555</v>
      </c>
      <c r="K92">
        <v>2</v>
      </c>
      <c r="L92">
        <v>22</v>
      </c>
      <c r="M92">
        <v>6</v>
      </c>
      <c r="N92">
        <f t="shared" si="4"/>
        <v>862.1</v>
      </c>
    </row>
    <row r="93" spans="1:14" x14ac:dyDescent="0.25">
      <c r="A93" t="s">
        <v>127</v>
      </c>
      <c r="B93">
        <v>8610</v>
      </c>
      <c r="C93" s="31">
        <v>0.59884259259259254</v>
      </c>
      <c r="D93" s="32">
        <v>2.3022529999999999E-10</v>
      </c>
      <c r="E93" s="32"/>
      <c r="F93" s="32"/>
      <c r="G93" s="32">
        <v>9.6412829999999992E-12</v>
      </c>
      <c r="H93" s="32">
        <v>4.5510450000000001E-11</v>
      </c>
      <c r="I93" s="18">
        <f t="shared" si="3"/>
        <v>108.63333333333333</v>
      </c>
      <c r="J93" s="31">
        <v>0.59884259259259254</v>
      </c>
      <c r="K93">
        <v>2</v>
      </c>
      <c r="L93">
        <v>22</v>
      </c>
      <c r="M93">
        <v>20</v>
      </c>
      <c r="N93">
        <f t="shared" si="4"/>
        <v>862.33333333333337</v>
      </c>
    </row>
    <row r="94" spans="1:14" x14ac:dyDescent="0.25">
      <c r="A94" t="s">
        <v>128</v>
      </c>
      <c r="B94">
        <v>8754</v>
      </c>
      <c r="C94" s="31">
        <v>0.60141203703703716</v>
      </c>
      <c r="D94" s="32">
        <v>2.2442859999999999E-10</v>
      </c>
      <c r="E94" s="32"/>
      <c r="F94" s="32"/>
      <c r="G94" s="32">
        <v>9.5431899999999999E-12</v>
      </c>
      <c r="H94" s="32">
        <v>8.7811630000000002E-11</v>
      </c>
      <c r="I94" s="18">
        <f t="shared" si="3"/>
        <v>112.33333333333326</v>
      </c>
      <c r="J94" s="31">
        <v>0.60141203703703716</v>
      </c>
      <c r="K94">
        <v>2</v>
      </c>
      <c r="L94">
        <v>26</v>
      </c>
      <c r="M94">
        <v>2</v>
      </c>
      <c r="N94">
        <f t="shared" si="4"/>
        <v>866.0333333333333</v>
      </c>
    </row>
    <row r="95" spans="1:14" x14ac:dyDescent="0.25">
      <c r="A95" t="s">
        <v>129</v>
      </c>
      <c r="B95">
        <v>8755</v>
      </c>
      <c r="C95" s="31">
        <v>0.60143518518518524</v>
      </c>
      <c r="D95" s="32">
        <v>2.2441919999999999E-10</v>
      </c>
      <c r="E95" s="32"/>
      <c r="F95" s="32"/>
      <c r="G95" s="32">
        <v>9.5397999999999994E-12</v>
      </c>
      <c r="H95" s="32">
        <v>8.7824170000000003E-11</v>
      </c>
      <c r="I95" s="18">
        <f t="shared" si="3"/>
        <v>112.36666666666667</v>
      </c>
      <c r="J95" s="31">
        <v>0.60143518518518524</v>
      </c>
      <c r="K95">
        <v>2</v>
      </c>
      <c r="L95">
        <v>26</v>
      </c>
      <c r="M95">
        <v>4</v>
      </c>
      <c r="N95">
        <f t="shared" si="4"/>
        <v>866.06666666666672</v>
      </c>
    </row>
    <row r="96" spans="1:14" x14ac:dyDescent="0.25">
      <c r="A96" t="s">
        <v>130</v>
      </c>
      <c r="B96">
        <v>8759</v>
      </c>
      <c r="C96" s="31">
        <v>0.60150462962962969</v>
      </c>
      <c r="D96" s="32">
        <v>2.2437679999999999E-10</v>
      </c>
      <c r="E96" s="32"/>
      <c r="F96" s="32"/>
      <c r="G96" s="32">
        <v>9.5517929999999997E-12</v>
      </c>
      <c r="H96" s="32">
        <v>8.7884569999999999E-11</v>
      </c>
      <c r="I96" s="18">
        <f t="shared" si="3"/>
        <v>112.46666666666658</v>
      </c>
      <c r="J96" s="31">
        <v>0.60150462962962969</v>
      </c>
      <c r="K96">
        <v>2</v>
      </c>
      <c r="L96">
        <v>26</v>
      </c>
      <c r="M96">
        <v>10</v>
      </c>
      <c r="N96">
        <f t="shared" si="4"/>
        <v>866.16666666666663</v>
      </c>
    </row>
    <row r="97" spans="1:14" x14ac:dyDescent="0.25">
      <c r="A97" t="s">
        <v>131</v>
      </c>
      <c r="B97">
        <v>8896</v>
      </c>
      <c r="C97" s="31">
        <v>0.60394675925925934</v>
      </c>
      <c r="D97" s="32">
        <v>2.2347579999999999E-10</v>
      </c>
      <c r="E97" s="32"/>
      <c r="F97" s="32"/>
      <c r="G97" s="32">
        <v>9.5975750000000003E-12</v>
      </c>
      <c r="H97" s="32">
        <v>5.3916729999999999E-11</v>
      </c>
      <c r="I97" s="18">
        <f t="shared" si="3"/>
        <v>115.98333333333323</v>
      </c>
      <c r="J97" s="31">
        <v>0.60394675925925934</v>
      </c>
      <c r="K97">
        <v>2</v>
      </c>
      <c r="L97">
        <v>29</v>
      </c>
      <c r="M97">
        <v>41</v>
      </c>
      <c r="N97">
        <f t="shared" si="4"/>
        <v>869.68333333333328</v>
      </c>
    </row>
    <row r="98" spans="1:14" x14ac:dyDescent="0.25">
      <c r="A98" t="s">
        <v>132</v>
      </c>
      <c r="B98">
        <v>8898</v>
      </c>
      <c r="C98" s="31">
        <v>0.60398148148148156</v>
      </c>
      <c r="D98" s="32">
        <v>2.233893E-10</v>
      </c>
      <c r="E98" s="32"/>
      <c r="F98" s="32"/>
      <c r="G98" s="32">
        <v>9.6004440000000005E-12</v>
      </c>
      <c r="H98" s="32">
        <v>5.3845699999999999E-11</v>
      </c>
      <c r="I98" s="18">
        <f t="shared" si="3"/>
        <v>116.0333333333333</v>
      </c>
      <c r="J98" s="31">
        <v>0.60398148148148156</v>
      </c>
      <c r="K98">
        <v>2</v>
      </c>
      <c r="L98">
        <v>29</v>
      </c>
      <c r="M98">
        <v>44</v>
      </c>
      <c r="N98">
        <f t="shared" si="4"/>
        <v>869.73333333333335</v>
      </c>
    </row>
    <row r="99" spans="1:14" x14ac:dyDescent="0.25">
      <c r="A99" t="s">
        <v>133</v>
      </c>
      <c r="B99">
        <v>8901</v>
      </c>
      <c r="C99" s="31">
        <v>0.60403935185185198</v>
      </c>
      <c r="D99" s="32">
        <v>2.2341749999999999E-10</v>
      </c>
      <c r="E99" s="32"/>
      <c r="F99" s="32"/>
      <c r="G99" s="32">
        <v>9.5956569999999998E-12</v>
      </c>
      <c r="H99" s="32">
        <v>5.3795080000000001E-11</v>
      </c>
      <c r="I99" s="18">
        <f t="shared" si="3"/>
        <v>116.11666666666667</v>
      </c>
      <c r="J99" s="31">
        <v>0.60403935185185198</v>
      </c>
      <c r="K99">
        <v>2</v>
      </c>
      <c r="L99">
        <v>29</v>
      </c>
      <c r="M99">
        <v>49</v>
      </c>
      <c r="N99">
        <f t="shared" si="4"/>
        <v>869.81666666666672</v>
      </c>
    </row>
    <row r="100" spans="1:14" x14ac:dyDescent="0.25">
      <c r="A100" t="s">
        <v>78</v>
      </c>
      <c r="B100">
        <v>9018</v>
      </c>
      <c r="C100" s="31">
        <v>0.60613425925925934</v>
      </c>
      <c r="D100" s="32">
        <v>2.623071E-10</v>
      </c>
      <c r="E100" s="32"/>
      <c r="F100" s="32"/>
      <c r="G100" s="32">
        <v>1.114824E-11</v>
      </c>
      <c r="H100" s="32">
        <v>1.2215810000000001E-10</v>
      </c>
      <c r="I100" s="18">
        <f t="shared" si="3"/>
        <v>119.13333333333333</v>
      </c>
      <c r="J100" s="31">
        <v>0.60613425925925934</v>
      </c>
      <c r="K100">
        <v>2</v>
      </c>
      <c r="L100">
        <v>32</v>
      </c>
      <c r="M100">
        <v>50</v>
      </c>
      <c r="N100">
        <f t="shared" si="4"/>
        <v>872.83333333333337</v>
      </c>
    </row>
    <row r="101" spans="1:14" x14ac:dyDescent="0.25">
      <c r="A101" t="s">
        <v>78</v>
      </c>
      <c r="B101">
        <v>9022</v>
      </c>
      <c r="C101" s="31">
        <v>0.6062037037037038</v>
      </c>
      <c r="D101" s="32">
        <v>2.623898E-10</v>
      </c>
      <c r="E101" s="32"/>
      <c r="F101" s="32"/>
      <c r="G101" s="32">
        <v>1.114742E-11</v>
      </c>
      <c r="H101" s="32">
        <v>1.224393E-10</v>
      </c>
      <c r="I101" s="18">
        <f t="shared" si="3"/>
        <v>119.23333333333323</v>
      </c>
      <c r="J101" s="31">
        <v>0.6062037037037038</v>
      </c>
      <c r="K101">
        <v>2</v>
      </c>
      <c r="L101">
        <v>32</v>
      </c>
      <c r="M101">
        <v>56</v>
      </c>
      <c r="N101">
        <f t="shared" si="4"/>
        <v>872.93333333333328</v>
      </c>
    </row>
    <row r="102" spans="1:14" x14ac:dyDescent="0.25">
      <c r="A102" t="s">
        <v>78</v>
      </c>
      <c r="B102">
        <v>9025</v>
      </c>
      <c r="C102" s="31">
        <v>0.60625000000000007</v>
      </c>
      <c r="D102" s="32">
        <v>2.6241790000000001E-10</v>
      </c>
      <c r="E102" s="32"/>
      <c r="F102" s="32"/>
      <c r="G102" s="32">
        <v>1.1163009999999999E-11</v>
      </c>
      <c r="H102" s="32">
        <v>1.2259770000000001E-10</v>
      </c>
      <c r="I102" s="18">
        <f t="shared" si="3"/>
        <v>119.29999999999995</v>
      </c>
      <c r="J102" s="31">
        <v>0.60625000000000007</v>
      </c>
      <c r="K102">
        <v>2</v>
      </c>
      <c r="L102">
        <v>33</v>
      </c>
      <c r="M102">
        <v>0</v>
      </c>
      <c r="N102">
        <f t="shared" si="4"/>
        <v>873</v>
      </c>
    </row>
    <row r="103" spans="1:14" x14ac:dyDescent="0.25">
      <c r="A103" t="s">
        <v>79</v>
      </c>
      <c r="B103">
        <v>9398</v>
      </c>
      <c r="C103" s="31">
        <v>0.61291666666666667</v>
      </c>
      <c r="D103" s="32">
        <v>2.200062E-10</v>
      </c>
      <c r="E103" s="32"/>
      <c r="F103" s="32"/>
      <c r="G103" s="32">
        <v>9.0619640000000002E-12</v>
      </c>
      <c r="H103" s="32">
        <v>1.022363E-10</v>
      </c>
      <c r="I103" s="18">
        <f t="shared" si="3"/>
        <v>128.89999999999998</v>
      </c>
      <c r="J103" s="31">
        <v>0.61291666666666667</v>
      </c>
      <c r="K103">
        <v>2</v>
      </c>
      <c r="L103">
        <v>42</v>
      </c>
      <c r="M103">
        <v>36</v>
      </c>
      <c r="N103">
        <f t="shared" si="4"/>
        <v>882.6</v>
      </c>
    </row>
    <row r="104" spans="1:14" x14ac:dyDescent="0.25">
      <c r="A104" t="s">
        <v>79</v>
      </c>
      <c r="B104">
        <v>9401</v>
      </c>
      <c r="C104" s="31">
        <v>0.61296296296296304</v>
      </c>
      <c r="D104" s="32">
        <v>2.2002319999999999E-10</v>
      </c>
      <c r="E104" s="32"/>
      <c r="F104" s="32"/>
      <c r="G104" s="32">
        <v>9.062322E-12</v>
      </c>
      <c r="H104" s="32">
        <v>1.022552E-10</v>
      </c>
      <c r="I104" s="18">
        <f t="shared" si="3"/>
        <v>128.96666666666658</v>
      </c>
      <c r="J104" s="31">
        <v>0.61296296296296304</v>
      </c>
      <c r="K104">
        <v>2</v>
      </c>
      <c r="L104">
        <v>42</v>
      </c>
      <c r="M104">
        <v>40</v>
      </c>
      <c r="N104">
        <f t="shared" si="4"/>
        <v>882.66666666666663</v>
      </c>
    </row>
    <row r="105" spans="1:14" x14ac:dyDescent="0.25">
      <c r="A105" t="s">
        <v>79</v>
      </c>
      <c r="B105">
        <v>9405</v>
      </c>
      <c r="C105" s="31">
        <v>0.61304398148148154</v>
      </c>
      <c r="D105" s="32">
        <v>2.1980829999999999E-10</v>
      </c>
      <c r="E105" s="32"/>
      <c r="F105" s="32"/>
      <c r="G105" s="32">
        <v>9.0560379999999995E-12</v>
      </c>
      <c r="H105" s="32">
        <v>1.022034E-10</v>
      </c>
      <c r="I105" s="18">
        <f t="shared" si="3"/>
        <v>129.08333333333326</v>
      </c>
      <c r="J105" s="31">
        <v>0.61304398148148154</v>
      </c>
      <c r="K105">
        <v>2</v>
      </c>
      <c r="L105">
        <v>42</v>
      </c>
      <c r="M105">
        <v>47</v>
      </c>
      <c r="N105">
        <f t="shared" si="4"/>
        <v>882.7833333333333</v>
      </c>
    </row>
    <row r="106" spans="1:14" x14ac:dyDescent="0.25">
      <c r="A106" t="s">
        <v>134</v>
      </c>
      <c r="B106">
        <v>9535</v>
      </c>
      <c r="C106" s="33">
        <v>0.61535879629629631</v>
      </c>
      <c r="D106" s="34">
        <v>2.2526860000000001E-10</v>
      </c>
      <c r="E106" s="34"/>
      <c r="F106" s="34"/>
      <c r="G106" s="34">
        <v>9.5981299999999992E-12</v>
      </c>
      <c r="H106" s="34">
        <v>7.2931579999999995E-11</v>
      </c>
      <c r="I106" s="18">
        <f t="shared" si="3"/>
        <v>132.41666666666663</v>
      </c>
      <c r="J106" s="33">
        <v>0.61535879629629631</v>
      </c>
      <c r="K106">
        <v>2</v>
      </c>
      <c r="L106">
        <v>46</v>
      </c>
      <c r="M106">
        <v>7</v>
      </c>
      <c r="N106">
        <f t="shared" si="4"/>
        <v>886.11666666666667</v>
      </c>
    </row>
    <row r="107" spans="1:14" x14ac:dyDescent="0.25">
      <c r="A107" t="s">
        <v>135</v>
      </c>
      <c r="B107">
        <v>9538</v>
      </c>
      <c r="C107" s="33">
        <v>0.61541666666666672</v>
      </c>
      <c r="D107" s="34">
        <v>2.252775E-10</v>
      </c>
      <c r="E107" s="34"/>
      <c r="F107" s="34"/>
      <c r="G107" s="34">
        <v>9.5987340000000005E-12</v>
      </c>
      <c r="H107" s="34">
        <v>7.2859230000000002E-11</v>
      </c>
      <c r="I107" s="18">
        <f t="shared" si="3"/>
        <v>132.5</v>
      </c>
      <c r="J107" s="33">
        <v>0.61541666666666672</v>
      </c>
      <c r="K107">
        <v>2</v>
      </c>
      <c r="L107">
        <v>46</v>
      </c>
      <c r="M107">
        <v>12</v>
      </c>
      <c r="N107">
        <f t="shared" si="4"/>
        <v>886.2</v>
      </c>
    </row>
    <row r="108" spans="1:14" x14ac:dyDescent="0.25">
      <c r="A108" t="s">
        <v>136</v>
      </c>
      <c r="B108">
        <v>9541</v>
      </c>
      <c r="C108" s="33">
        <v>0.61546296296296299</v>
      </c>
      <c r="D108" s="34">
        <v>2.2536529999999999E-10</v>
      </c>
      <c r="E108" s="34"/>
      <c r="F108" s="34"/>
      <c r="G108" s="34">
        <v>9.5998679999999992E-12</v>
      </c>
      <c r="H108" s="34">
        <v>7.2796349999999996E-11</v>
      </c>
      <c r="I108" s="18">
        <f t="shared" si="3"/>
        <v>132.56666666666661</v>
      </c>
      <c r="J108" s="33">
        <v>0.61546296296296299</v>
      </c>
      <c r="K108">
        <v>2</v>
      </c>
      <c r="L108">
        <v>46</v>
      </c>
      <c r="M108">
        <v>16</v>
      </c>
      <c r="N108">
        <f t="shared" si="4"/>
        <v>886.26666666666665</v>
      </c>
    </row>
    <row r="109" spans="1:14" x14ac:dyDescent="0.25">
      <c r="A109" t="s">
        <v>137</v>
      </c>
      <c r="B109">
        <v>9680</v>
      </c>
      <c r="C109" s="33">
        <v>0.6179513888888889</v>
      </c>
      <c r="D109" s="34">
        <v>2.3480670000000002E-10</v>
      </c>
      <c r="E109" s="34"/>
      <c r="F109" s="34"/>
      <c r="G109" s="34">
        <v>9.8866109999999994E-12</v>
      </c>
      <c r="H109" s="34">
        <v>8.3386659999999994E-11</v>
      </c>
      <c r="I109" s="18">
        <f t="shared" si="3"/>
        <v>136.14999999999998</v>
      </c>
      <c r="J109" s="33">
        <v>0.6179513888888889</v>
      </c>
      <c r="K109">
        <v>2</v>
      </c>
      <c r="L109">
        <v>49</v>
      </c>
      <c r="M109">
        <v>51</v>
      </c>
      <c r="N109">
        <f t="shared" si="4"/>
        <v>889.85</v>
      </c>
    </row>
    <row r="110" spans="1:14" x14ac:dyDescent="0.25">
      <c r="A110" t="s">
        <v>138</v>
      </c>
      <c r="B110">
        <v>9684</v>
      </c>
      <c r="C110" s="33">
        <v>0.61802083333333335</v>
      </c>
      <c r="D110" s="34">
        <v>2.3477330000000003E-10</v>
      </c>
      <c r="E110" s="34"/>
      <c r="F110" s="34"/>
      <c r="G110" s="34">
        <v>9.8854570000000005E-12</v>
      </c>
      <c r="H110" s="34">
        <v>8.3361910000000001E-11</v>
      </c>
      <c r="I110" s="18">
        <f t="shared" si="3"/>
        <v>136.25</v>
      </c>
      <c r="J110" s="33">
        <v>0.61802083333333335</v>
      </c>
      <c r="K110">
        <v>2</v>
      </c>
      <c r="L110">
        <v>49</v>
      </c>
      <c r="M110">
        <v>57</v>
      </c>
      <c r="N110">
        <f t="shared" si="4"/>
        <v>889.95</v>
      </c>
    </row>
    <row r="111" spans="1:14" x14ac:dyDescent="0.25">
      <c r="A111" t="s">
        <v>139</v>
      </c>
      <c r="B111">
        <v>9687</v>
      </c>
      <c r="C111" s="33">
        <v>0.61806712962962962</v>
      </c>
      <c r="D111" s="34">
        <v>2.3470840000000002E-10</v>
      </c>
      <c r="E111" s="34"/>
      <c r="F111" s="34"/>
      <c r="G111" s="34">
        <v>9.8882989999999996E-12</v>
      </c>
      <c r="H111" s="34">
        <v>8.338573E-11</v>
      </c>
      <c r="I111" s="18">
        <f t="shared" si="3"/>
        <v>136.31666666666661</v>
      </c>
      <c r="J111" s="33">
        <v>0.61806712962962962</v>
      </c>
      <c r="K111">
        <v>2</v>
      </c>
      <c r="L111">
        <v>50</v>
      </c>
      <c r="M111">
        <v>1</v>
      </c>
      <c r="N111">
        <f t="shared" si="4"/>
        <v>890.01666666666665</v>
      </c>
    </row>
    <row r="112" spans="1:14" x14ac:dyDescent="0.25">
      <c r="A112" t="s">
        <v>140</v>
      </c>
      <c r="B112">
        <v>9871</v>
      </c>
      <c r="C112" s="33">
        <v>0.62135416666666665</v>
      </c>
      <c r="D112" s="34">
        <v>2.3615979999999998E-10</v>
      </c>
      <c r="E112" s="34"/>
      <c r="F112" s="34"/>
      <c r="G112" s="34">
        <v>9.9576369999999999E-12</v>
      </c>
      <c r="H112" s="34">
        <v>9.2906530000000006E-11</v>
      </c>
      <c r="I112" s="18">
        <f t="shared" si="3"/>
        <v>141.04999999999995</v>
      </c>
      <c r="J112" s="33">
        <v>0.62135416666666665</v>
      </c>
      <c r="K112">
        <v>2</v>
      </c>
      <c r="L112">
        <v>54</v>
      </c>
      <c r="M112">
        <v>45</v>
      </c>
      <c r="N112">
        <f t="shared" si="4"/>
        <v>894.75</v>
      </c>
    </row>
    <row r="113" spans="1:14" x14ac:dyDescent="0.25">
      <c r="A113" t="s">
        <v>141</v>
      </c>
      <c r="B113">
        <v>9876</v>
      </c>
      <c r="C113" s="33">
        <v>0.6214467592592593</v>
      </c>
      <c r="D113" s="34">
        <v>2.3613839999999998E-10</v>
      </c>
      <c r="E113" s="34"/>
      <c r="F113" s="34"/>
      <c r="G113" s="34">
        <v>9.9554389999999993E-12</v>
      </c>
      <c r="H113" s="34">
        <v>9.2944959999999998E-11</v>
      </c>
      <c r="I113" s="18">
        <f t="shared" si="3"/>
        <v>141.18333333333328</v>
      </c>
      <c r="J113" s="33">
        <v>0.6214467592592593</v>
      </c>
      <c r="K113">
        <v>2</v>
      </c>
      <c r="L113">
        <v>54</v>
      </c>
      <c r="M113">
        <v>53</v>
      </c>
      <c r="N113">
        <f t="shared" si="4"/>
        <v>894.88333333333333</v>
      </c>
    </row>
    <row r="114" spans="1:14" x14ac:dyDescent="0.25">
      <c r="A114" t="s">
        <v>142</v>
      </c>
      <c r="B114">
        <v>9879</v>
      </c>
      <c r="C114" s="33">
        <v>0.6215046296296296</v>
      </c>
      <c r="D114" s="34">
        <v>2.3613460000000001E-10</v>
      </c>
      <c r="E114" s="34"/>
      <c r="F114" s="34"/>
      <c r="G114" s="34">
        <v>9.9594370000000001E-12</v>
      </c>
      <c r="H114" s="34">
        <v>9.2898899999999995E-11</v>
      </c>
      <c r="I114" s="18">
        <f t="shared" si="3"/>
        <v>141.26666666666665</v>
      </c>
      <c r="J114" s="33">
        <v>0.6215046296296296</v>
      </c>
      <c r="K114">
        <v>2</v>
      </c>
      <c r="L114">
        <v>54</v>
      </c>
      <c r="M114">
        <v>58</v>
      </c>
      <c r="N114">
        <f t="shared" si="4"/>
        <v>894.9666666666667</v>
      </c>
    </row>
    <row r="115" spans="1:14" x14ac:dyDescent="0.25">
      <c r="A115" t="s">
        <v>78</v>
      </c>
      <c r="B115">
        <v>10057</v>
      </c>
      <c r="C115" s="33">
        <v>0.62467592592592591</v>
      </c>
      <c r="D115" s="34">
        <v>2.5771939999999998E-10</v>
      </c>
      <c r="E115" s="34"/>
      <c r="F115" s="34"/>
      <c r="G115" s="34">
        <v>1.094281E-11</v>
      </c>
      <c r="H115" s="34">
        <v>1.229959E-10</v>
      </c>
      <c r="I115" s="18">
        <f t="shared" si="3"/>
        <v>145.83333333333326</v>
      </c>
      <c r="J115" s="33">
        <v>0.62467592592592591</v>
      </c>
      <c r="K115">
        <v>2</v>
      </c>
      <c r="L115">
        <v>59</v>
      </c>
      <c r="M115">
        <v>32</v>
      </c>
      <c r="N115">
        <f t="shared" si="4"/>
        <v>899.5333333333333</v>
      </c>
    </row>
    <row r="116" spans="1:14" x14ac:dyDescent="0.25">
      <c r="A116" t="s">
        <v>78</v>
      </c>
      <c r="B116">
        <v>10060</v>
      </c>
      <c r="C116" s="33">
        <v>0.62473379629629633</v>
      </c>
      <c r="D116" s="34">
        <v>2.5769050000000002E-10</v>
      </c>
      <c r="E116" s="34"/>
      <c r="F116" s="34"/>
      <c r="G116" s="34">
        <v>1.0945210000000001E-11</v>
      </c>
      <c r="H116" s="34">
        <v>1.2299470000000001E-10</v>
      </c>
      <c r="I116" s="18">
        <f t="shared" si="3"/>
        <v>145.91666666666663</v>
      </c>
      <c r="J116" s="33">
        <v>0.62473379629629633</v>
      </c>
      <c r="K116">
        <v>2</v>
      </c>
      <c r="L116">
        <v>59</v>
      </c>
      <c r="M116">
        <v>37</v>
      </c>
      <c r="N116">
        <f t="shared" si="4"/>
        <v>899.61666666666667</v>
      </c>
    </row>
    <row r="117" spans="1:14" x14ac:dyDescent="0.25">
      <c r="A117" t="s">
        <v>78</v>
      </c>
      <c r="B117">
        <v>10063</v>
      </c>
      <c r="C117" s="33">
        <v>0.6247800925925926</v>
      </c>
      <c r="D117" s="34">
        <v>2.5778100000000002E-10</v>
      </c>
      <c r="E117" s="34"/>
      <c r="F117" s="34"/>
      <c r="G117" s="34">
        <v>1.094356E-11</v>
      </c>
      <c r="H117" s="34">
        <v>1.2305010000000001E-10</v>
      </c>
      <c r="I117" s="18">
        <f t="shared" si="3"/>
        <v>145.98333333333323</v>
      </c>
      <c r="J117" s="33">
        <v>0.6247800925925926</v>
      </c>
      <c r="K117">
        <v>2</v>
      </c>
      <c r="L117">
        <v>59</v>
      </c>
      <c r="M117">
        <v>41</v>
      </c>
      <c r="N117">
        <f t="shared" si="4"/>
        <v>899.68333333333328</v>
      </c>
    </row>
    <row r="118" spans="1:14" x14ac:dyDescent="0.25">
      <c r="A118" t="s">
        <v>79</v>
      </c>
      <c r="B118">
        <v>10188</v>
      </c>
      <c r="C118" s="33">
        <v>0.62701388888888887</v>
      </c>
      <c r="D118" s="34">
        <v>2.188084E-10</v>
      </c>
      <c r="E118" s="34"/>
      <c r="F118" s="34"/>
      <c r="G118" s="34">
        <v>9.0237409999999994E-12</v>
      </c>
      <c r="H118" s="34">
        <v>1.018932E-10</v>
      </c>
      <c r="I118" s="18">
        <f t="shared" si="3"/>
        <v>149.19999999999993</v>
      </c>
      <c r="J118" s="33">
        <v>0.62701388888888887</v>
      </c>
      <c r="K118">
        <v>3</v>
      </c>
      <c r="L118">
        <v>2</v>
      </c>
      <c r="M118">
        <v>54</v>
      </c>
      <c r="N118">
        <f t="shared" si="4"/>
        <v>902.9</v>
      </c>
    </row>
    <row r="119" spans="1:14" x14ac:dyDescent="0.25">
      <c r="A119" t="s">
        <v>79</v>
      </c>
      <c r="B119">
        <v>10190</v>
      </c>
      <c r="C119" s="33">
        <v>0.6270486111111111</v>
      </c>
      <c r="D119" s="34">
        <v>2.1879409999999999E-10</v>
      </c>
      <c r="E119" s="34"/>
      <c r="F119" s="34"/>
      <c r="G119" s="34">
        <v>9.0249040000000003E-12</v>
      </c>
      <c r="H119" s="34">
        <v>1.019063E-10</v>
      </c>
      <c r="I119" s="18">
        <f t="shared" si="3"/>
        <v>149.25</v>
      </c>
      <c r="J119" s="33">
        <v>0.6270486111111111</v>
      </c>
      <c r="K119">
        <v>3</v>
      </c>
      <c r="L119">
        <v>2</v>
      </c>
      <c r="M119">
        <v>57</v>
      </c>
      <c r="N119">
        <f t="shared" si="4"/>
        <v>902.95</v>
      </c>
    </row>
    <row r="120" spans="1:14" x14ac:dyDescent="0.25">
      <c r="A120" t="s">
        <v>79</v>
      </c>
      <c r="B120">
        <v>10191</v>
      </c>
      <c r="C120" s="33">
        <v>0.62707175925925929</v>
      </c>
      <c r="D120" s="34">
        <v>2.187806E-10</v>
      </c>
      <c r="E120" s="34"/>
      <c r="F120" s="34"/>
      <c r="G120" s="34">
        <v>9.0169409999999999E-12</v>
      </c>
      <c r="H120" s="34">
        <v>1.018917E-10</v>
      </c>
      <c r="I120" s="18">
        <f t="shared" si="3"/>
        <v>149.2833333333333</v>
      </c>
      <c r="J120" s="33">
        <v>0.62707175925925929</v>
      </c>
      <c r="K120">
        <v>3</v>
      </c>
      <c r="L120">
        <v>2</v>
      </c>
      <c r="M120">
        <v>59</v>
      </c>
      <c r="N120">
        <f t="shared" si="4"/>
        <v>902.98333333333335</v>
      </c>
    </row>
    <row r="121" spans="1:14" x14ac:dyDescent="0.25">
      <c r="A121" t="s">
        <v>143</v>
      </c>
      <c r="B121">
        <v>10326</v>
      </c>
      <c r="C121" s="33">
        <v>0.6294791666666667</v>
      </c>
      <c r="D121" s="34">
        <v>2.281014E-10</v>
      </c>
      <c r="E121" s="34"/>
      <c r="F121" s="34"/>
      <c r="G121" s="34">
        <v>9.6596539999999994E-12</v>
      </c>
      <c r="H121" s="34">
        <v>6.4000529999999994E-11</v>
      </c>
      <c r="I121" s="18">
        <f t="shared" si="3"/>
        <v>152.75</v>
      </c>
      <c r="J121" s="33">
        <v>0.6294791666666667</v>
      </c>
      <c r="K121">
        <v>3</v>
      </c>
      <c r="L121">
        <v>6</v>
      </c>
      <c r="M121">
        <v>27</v>
      </c>
      <c r="N121">
        <f t="shared" si="4"/>
        <v>906.45</v>
      </c>
    </row>
    <row r="122" spans="1:14" x14ac:dyDescent="0.25">
      <c r="A122" t="s">
        <v>144</v>
      </c>
      <c r="B122">
        <v>10329</v>
      </c>
      <c r="C122" s="33">
        <v>0.62953703703703701</v>
      </c>
      <c r="D122" s="34">
        <v>2.2813079999999999E-10</v>
      </c>
      <c r="E122" s="34"/>
      <c r="F122" s="34"/>
      <c r="G122" s="34">
        <v>9.6540130000000001E-12</v>
      </c>
      <c r="H122" s="34">
        <v>6.3875790000000003E-11</v>
      </c>
      <c r="I122" s="18">
        <f t="shared" si="3"/>
        <v>152.83333333333326</v>
      </c>
      <c r="J122" s="33">
        <v>0.62953703703703701</v>
      </c>
      <c r="K122">
        <v>3</v>
      </c>
      <c r="L122">
        <v>6</v>
      </c>
      <c r="M122">
        <v>32</v>
      </c>
      <c r="N122">
        <f t="shared" si="4"/>
        <v>906.5333333333333</v>
      </c>
    </row>
    <row r="123" spans="1:14" x14ac:dyDescent="0.25">
      <c r="A123" t="s">
        <v>145</v>
      </c>
      <c r="B123">
        <v>10332</v>
      </c>
      <c r="C123" s="33">
        <v>0.62958333333333327</v>
      </c>
      <c r="D123" s="34">
        <v>2.2814879999999999E-10</v>
      </c>
      <c r="E123" s="34"/>
      <c r="F123" s="34"/>
      <c r="G123" s="34">
        <v>9.6593179999999993E-12</v>
      </c>
      <c r="H123" s="34">
        <v>6.3797259999999997E-11</v>
      </c>
      <c r="I123" s="18">
        <f t="shared" si="3"/>
        <v>152.89999999999998</v>
      </c>
      <c r="J123" s="33">
        <v>0.62958333333333327</v>
      </c>
      <c r="K123">
        <v>3</v>
      </c>
      <c r="L123">
        <v>6</v>
      </c>
      <c r="M123">
        <v>36</v>
      </c>
      <c r="N123">
        <f t="shared" si="4"/>
        <v>906.6</v>
      </c>
    </row>
    <row r="124" spans="1:14" x14ac:dyDescent="0.25">
      <c r="A124" t="s">
        <v>146</v>
      </c>
      <c r="B124">
        <v>10435</v>
      </c>
      <c r="C124" s="33">
        <v>0.63142361111111112</v>
      </c>
      <c r="D124" s="34">
        <v>2.3293659999999998E-10</v>
      </c>
      <c r="E124" s="34"/>
      <c r="F124" s="34"/>
      <c r="G124" s="34">
        <v>9.8255409999999995E-12</v>
      </c>
      <c r="H124" s="34">
        <v>6.9464389999999999E-11</v>
      </c>
      <c r="I124" s="18">
        <f t="shared" si="3"/>
        <v>155.54999999999995</v>
      </c>
      <c r="J124" s="33">
        <v>0.63142361111111112</v>
      </c>
      <c r="K124">
        <v>3</v>
      </c>
      <c r="L124">
        <v>9</v>
      </c>
      <c r="M124">
        <v>15</v>
      </c>
      <c r="N124">
        <f t="shared" si="4"/>
        <v>909.25</v>
      </c>
    </row>
    <row r="125" spans="1:14" x14ac:dyDescent="0.25">
      <c r="A125" t="s">
        <v>147</v>
      </c>
      <c r="B125">
        <v>10439</v>
      </c>
      <c r="C125" s="33">
        <v>0.63150462962962961</v>
      </c>
      <c r="D125" s="34">
        <v>2.3287900000000002E-10</v>
      </c>
      <c r="E125" s="34"/>
      <c r="F125" s="34"/>
      <c r="G125" s="34">
        <v>9.8196210000000007E-12</v>
      </c>
      <c r="H125" s="34">
        <v>6.9499750000000003E-11</v>
      </c>
      <c r="I125" s="18">
        <f t="shared" si="3"/>
        <v>155.66666666666663</v>
      </c>
      <c r="J125" s="33">
        <v>0.63150462962962961</v>
      </c>
      <c r="K125">
        <v>3</v>
      </c>
      <c r="L125">
        <v>9</v>
      </c>
      <c r="M125">
        <v>22</v>
      </c>
      <c r="N125">
        <f t="shared" si="4"/>
        <v>909.36666666666667</v>
      </c>
    </row>
    <row r="126" spans="1:14" x14ac:dyDescent="0.25">
      <c r="A126" t="s">
        <v>148</v>
      </c>
      <c r="B126">
        <v>10441</v>
      </c>
      <c r="C126" s="33">
        <v>0.63153935185185184</v>
      </c>
      <c r="D126" s="34">
        <v>2.3293010000000002E-10</v>
      </c>
      <c r="E126" s="34"/>
      <c r="F126" s="34"/>
      <c r="G126" s="34">
        <v>9.8162939999999995E-12</v>
      </c>
      <c r="H126" s="34">
        <v>6.9522259999999995E-11</v>
      </c>
      <c r="I126" s="18">
        <f t="shared" si="3"/>
        <v>155.71666666666658</v>
      </c>
      <c r="J126" s="33">
        <v>0.63153935185185184</v>
      </c>
      <c r="K126">
        <v>3</v>
      </c>
      <c r="L126">
        <v>9</v>
      </c>
      <c r="M126">
        <v>25</v>
      </c>
      <c r="N126">
        <f t="shared" si="4"/>
        <v>909.41666666666663</v>
      </c>
    </row>
    <row r="127" spans="1:14" x14ac:dyDescent="0.25">
      <c r="A127" t="s">
        <v>149</v>
      </c>
      <c r="B127">
        <v>10523</v>
      </c>
      <c r="C127" s="33">
        <v>0.63299768518518518</v>
      </c>
      <c r="D127" s="34">
        <v>2.374458E-10</v>
      </c>
      <c r="E127" s="34"/>
      <c r="F127" s="34"/>
      <c r="G127" s="34">
        <v>9.9378010000000005E-12</v>
      </c>
      <c r="H127" s="34">
        <v>7.3443739999999995E-11</v>
      </c>
      <c r="I127" s="18">
        <f t="shared" si="3"/>
        <v>157.81666666666661</v>
      </c>
      <c r="J127" s="33">
        <v>0.63299768518518518</v>
      </c>
      <c r="K127">
        <v>3</v>
      </c>
      <c r="L127">
        <v>11</v>
      </c>
      <c r="M127">
        <v>31</v>
      </c>
      <c r="N127">
        <f t="shared" si="4"/>
        <v>911.51666666666665</v>
      </c>
    </row>
    <row r="128" spans="1:14" x14ac:dyDescent="0.25">
      <c r="A128" t="s">
        <v>150</v>
      </c>
      <c r="B128">
        <v>10526</v>
      </c>
      <c r="C128" s="33">
        <v>0.63305555555555548</v>
      </c>
      <c r="D128" s="34">
        <v>2.3743810000000002E-10</v>
      </c>
      <c r="E128" s="34"/>
      <c r="F128" s="34"/>
      <c r="G128" s="34">
        <v>9.9320580000000005E-12</v>
      </c>
      <c r="H128" s="34">
        <v>7.3494670000000004E-11</v>
      </c>
      <c r="I128" s="18">
        <f t="shared" si="3"/>
        <v>157.89999999999998</v>
      </c>
      <c r="J128" s="33">
        <v>0.63305555555555548</v>
      </c>
      <c r="K128">
        <v>3</v>
      </c>
      <c r="L128">
        <v>11</v>
      </c>
      <c r="M128">
        <v>36</v>
      </c>
      <c r="N128">
        <f t="shared" si="4"/>
        <v>911.6</v>
      </c>
    </row>
    <row r="129" spans="1:20" x14ac:dyDescent="0.25">
      <c r="A129" t="s">
        <v>151</v>
      </c>
      <c r="B129">
        <v>10530</v>
      </c>
      <c r="C129" s="33">
        <v>0.63312499999999994</v>
      </c>
      <c r="D129" s="34">
        <v>2.3746210000000002E-10</v>
      </c>
      <c r="E129" s="34"/>
      <c r="F129" s="34"/>
      <c r="G129" s="34">
        <v>9.934229E-12</v>
      </c>
      <c r="H129" s="34">
        <v>7.352827E-11</v>
      </c>
      <c r="I129" s="18">
        <f t="shared" si="3"/>
        <v>158</v>
      </c>
      <c r="J129" s="33">
        <v>0.63312499999999994</v>
      </c>
      <c r="K129">
        <v>3</v>
      </c>
      <c r="L129">
        <v>11</v>
      </c>
      <c r="M129">
        <v>42</v>
      </c>
      <c r="N129">
        <f t="shared" si="4"/>
        <v>911.7</v>
      </c>
    </row>
    <row r="130" spans="1:20" x14ac:dyDescent="0.25">
      <c r="A130" t="s">
        <v>78</v>
      </c>
      <c r="B130">
        <v>10632</v>
      </c>
      <c r="C130" s="33">
        <v>0.63494212962962959</v>
      </c>
      <c r="D130" s="34">
        <v>2.5610619999999999E-10</v>
      </c>
      <c r="E130" s="34"/>
      <c r="F130" s="34"/>
      <c r="G130" s="34">
        <v>1.086488E-11</v>
      </c>
      <c r="H130" s="34">
        <v>1.192847E-10</v>
      </c>
      <c r="I130" s="18">
        <f t="shared" si="3"/>
        <v>160.61666666666667</v>
      </c>
      <c r="J130" s="33">
        <v>0.63494212962962959</v>
      </c>
      <c r="K130">
        <v>3</v>
      </c>
      <c r="L130">
        <v>14</v>
      </c>
      <c r="M130">
        <v>19</v>
      </c>
      <c r="N130">
        <f t="shared" si="4"/>
        <v>914.31666666666672</v>
      </c>
    </row>
    <row r="131" spans="1:20" x14ac:dyDescent="0.25">
      <c r="A131" t="s">
        <v>78</v>
      </c>
      <c r="B131">
        <v>10634</v>
      </c>
      <c r="C131" s="33">
        <v>0.63497685185185182</v>
      </c>
      <c r="D131" s="34">
        <v>2.5603170000000002E-10</v>
      </c>
      <c r="E131" s="34"/>
      <c r="F131" s="34"/>
      <c r="G131" s="34">
        <v>1.085948E-11</v>
      </c>
      <c r="H131" s="34">
        <v>1.1943660000000001E-10</v>
      </c>
      <c r="I131" s="18">
        <f t="shared" si="3"/>
        <v>160.66666666666663</v>
      </c>
      <c r="J131" s="33">
        <v>0.63497685185185182</v>
      </c>
      <c r="K131">
        <v>3</v>
      </c>
      <c r="L131">
        <v>14</v>
      </c>
      <c r="M131">
        <v>22</v>
      </c>
      <c r="N131">
        <f t="shared" si="4"/>
        <v>914.36666666666667</v>
      </c>
    </row>
    <row r="132" spans="1:20" x14ac:dyDescent="0.25">
      <c r="A132" t="s">
        <v>78</v>
      </c>
      <c r="B132">
        <v>10637</v>
      </c>
      <c r="C132" s="33">
        <v>0.63503472222222224</v>
      </c>
      <c r="D132" s="34">
        <v>2.5604710000000002E-10</v>
      </c>
      <c r="E132" s="34"/>
      <c r="F132" s="34"/>
      <c r="G132" s="34">
        <v>1.0858959999999999E-11</v>
      </c>
      <c r="H132" s="34">
        <v>1.195939E-10</v>
      </c>
      <c r="I132" s="18">
        <f t="shared" si="3"/>
        <v>160.75</v>
      </c>
      <c r="J132" s="33">
        <v>0.63503472222222224</v>
      </c>
      <c r="K132">
        <v>3</v>
      </c>
      <c r="L132">
        <v>14</v>
      </c>
      <c r="M132">
        <v>27</v>
      </c>
      <c r="N132">
        <f t="shared" si="4"/>
        <v>914.45</v>
      </c>
    </row>
    <row r="133" spans="1:20" s="23" customFormat="1" x14ac:dyDescent="0.25">
      <c r="A133" t="s">
        <v>79</v>
      </c>
      <c r="B133">
        <v>10739</v>
      </c>
      <c r="C133" s="33">
        <v>0.63685185185185178</v>
      </c>
      <c r="D133" s="34">
        <v>2.1598739999999999E-10</v>
      </c>
      <c r="E133" s="34"/>
      <c r="F133" s="34"/>
      <c r="G133" s="34">
        <v>8.9343190000000005E-12</v>
      </c>
      <c r="H133" s="34">
        <v>1.0004270000000001E-10</v>
      </c>
      <c r="I133" s="18">
        <f t="shared" si="3"/>
        <v>163.36666666666667</v>
      </c>
      <c r="J133" s="33">
        <v>0.63685185185185178</v>
      </c>
      <c r="K133">
        <v>3</v>
      </c>
      <c r="L133">
        <v>17</v>
      </c>
      <c r="M133">
        <v>4</v>
      </c>
      <c r="N133">
        <f t="shared" si="4"/>
        <v>917.06666666666672</v>
      </c>
      <c r="O133"/>
      <c r="P133"/>
      <c r="Q133"/>
      <c r="R133"/>
      <c r="S133"/>
      <c r="T133"/>
    </row>
    <row r="134" spans="1:20" x14ac:dyDescent="0.25">
      <c r="A134" t="s">
        <v>79</v>
      </c>
      <c r="B134">
        <v>10741</v>
      </c>
      <c r="C134" s="33">
        <v>0.63688657407407401</v>
      </c>
      <c r="D134" s="34">
        <v>2.1598219999999999E-10</v>
      </c>
      <c r="E134" s="34"/>
      <c r="F134" s="34"/>
      <c r="G134" s="34">
        <v>8.9257050000000007E-12</v>
      </c>
      <c r="H134" s="34">
        <v>1.0006350000000001E-10</v>
      </c>
      <c r="I134" s="18">
        <f t="shared" si="3"/>
        <v>163.41666666666663</v>
      </c>
      <c r="J134" s="33">
        <v>0.63688657407407401</v>
      </c>
      <c r="K134">
        <v>3</v>
      </c>
      <c r="L134">
        <v>17</v>
      </c>
      <c r="M134">
        <v>7</v>
      </c>
      <c r="N134">
        <f t="shared" si="4"/>
        <v>917.11666666666667</v>
      </c>
    </row>
    <row r="135" spans="1:20" x14ac:dyDescent="0.25">
      <c r="A135" t="s">
        <v>79</v>
      </c>
      <c r="B135">
        <v>10744</v>
      </c>
      <c r="C135" s="33">
        <v>0.63694444444444442</v>
      </c>
      <c r="D135" s="34">
        <v>2.1586120000000001E-10</v>
      </c>
      <c r="E135" s="34"/>
      <c r="F135" s="34"/>
      <c r="G135" s="34">
        <v>8.9285230000000005E-12</v>
      </c>
      <c r="H135" s="34">
        <v>1.000351E-10</v>
      </c>
      <c r="I135" s="18">
        <f t="shared" si="3"/>
        <v>163.5</v>
      </c>
      <c r="J135" s="33">
        <v>0.63694444444444442</v>
      </c>
      <c r="K135">
        <v>3</v>
      </c>
      <c r="L135">
        <v>17</v>
      </c>
      <c r="M135">
        <v>12</v>
      </c>
      <c r="N135">
        <f t="shared" si="4"/>
        <v>917.2</v>
      </c>
    </row>
    <row r="136" spans="1:20" x14ac:dyDescent="0.25">
      <c r="A136" t="s">
        <v>152</v>
      </c>
      <c r="B136">
        <v>10874</v>
      </c>
      <c r="C136" s="33">
        <v>0.63927083333333323</v>
      </c>
      <c r="D136" s="34">
        <v>2.327946E-10</v>
      </c>
      <c r="E136" s="34"/>
      <c r="F136" s="34"/>
      <c r="G136" s="34">
        <v>9.8555390000000005E-12</v>
      </c>
      <c r="H136" s="34">
        <v>1.024969E-10</v>
      </c>
      <c r="I136" s="18">
        <f t="shared" si="3"/>
        <v>166.84999999999991</v>
      </c>
      <c r="J136" s="33">
        <v>0.63927083333333323</v>
      </c>
      <c r="K136">
        <v>3</v>
      </c>
      <c r="L136">
        <v>20</v>
      </c>
      <c r="M136">
        <v>33</v>
      </c>
      <c r="N136">
        <f t="shared" si="4"/>
        <v>920.55</v>
      </c>
    </row>
    <row r="137" spans="1:20" x14ac:dyDescent="0.25">
      <c r="A137" t="s">
        <v>153</v>
      </c>
      <c r="B137">
        <v>10876</v>
      </c>
      <c r="C137" s="33">
        <v>0.63930555555555546</v>
      </c>
      <c r="D137" s="34">
        <v>2.3276829999999999E-10</v>
      </c>
      <c r="E137" s="34"/>
      <c r="F137" s="34"/>
      <c r="G137" s="34">
        <v>9.8588959999999996E-12</v>
      </c>
      <c r="H137" s="34">
        <v>1.02464E-10</v>
      </c>
      <c r="I137" s="18">
        <f t="shared" si="3"/>
        <v>166.89999999999998</v>
      </c>
      <c r="J137" s="33">
        <v>0.63930555555555546</v>
      </c>
      <c r="K137">
        <v>3</v>
      </c>
      <c r="L137">
        <v>20</v>
      </c>
      <c r="M137">
        <v>36</v>
      </c>
      <c r="N137">
        <f t="shared" si="4"/>
        <v>920.6</v>
      </c>
    </row>
    <row r="138" spans="1:20" x14ac:dyDescent="0.25">
      <c r="A138" t="s">
        <v>154</v>
      </c>
      <c r="B138">
        <v>10877</v>
      </c>
      <c r="C138" s="33">
        <v>0.63931712962962961</v>
      </c>
      <c r="D138" s="34">
        <v>2.3273170000000001E-10</v>
      </c>
      <c r="E138" s="34"/>
      <c r="F138" s="34"/>
      <c r="G138" s="34">
        <v>9.8529450000000007E-12</v>
      </c>
      <c r="H138" s="34">
        <v>1.024923E-10</v>
      </c>
      <c r="I138" s="18">
        <f t="shared" si="3"/>
        <v>166.91666666666663</v>
      </c>
      <c r="J138" s="33">
        <v>0.63931712962962961</v>
      </c>
      <c r="K138">
        <v>3</v>
      </c>
      <c r="L138">
        <v>20</v>
      </c>
      <c r="M138">
        <v>37</v>
      </c>
      <c r="N138">
        <f t="shared" si="4"/>
        <v>920.61666666666667</v>
      </c>
    </row>
    <row r="139" spans="1:20" x14ac:dyDescent="0.25">
      <c r="A139" t="s">
        <v>155</v>
      </c>
      <c r="B139">
        <v>11019</v>
      </c>
      <c r="C139" s="33">
        <v>0.6418518518518519</v>
      </c>
      <c r="D139" s="34">
        <v>2.2938989999999999E-10</v>
      </c>
      <c r="E139" s="34"/>
      <c r="F139" s="34"/>
      <c r="G139" s="34">
        <v>9.7214629999999994E-12</v>
      </c>
      <c r="H139" s="34">
        <v>8.3320070000000004E-11</v>
      </c>
      <c r="I139" s="18">
        <f t="shared" ref="I139:I202" si="5">N139-N$10</f>
        <v>170.56666666666661</v>
      </c>
      <c r="J139" s="33">
        <v>0.6418518518518519</v>
      </c>
      <c r="K139">
        <v>3</v>
      </c>
      <c r="L139">
        <v>24</v>
      </c>
      <c r="M139">
        <v>16</v>
      </c>
      <c r="N139">
        <f t="shared" ref="N139:N202" si="6">(12+K139)*60+L139+M139/60</f>
        <v>924.26666666666665</v>
      </c>
    </row>
    <row r="140" spans="1:20" x14ac:dyDescent="0.25">
      <c r="A140" t="s">
        <v>156</v>
      </c>
      <c r="B140">
        <v>11023</v>
      </c>
      <c r="C140" s="33">
        <v>0.64192129629629635</v>
      </c>
      <c r="D140" s="34">
        <v>2.294201E-10</v>
      </c>
      <c r="E140" s="34"/>
      <c r="F140" s="34"/>
      <c r="G140" s="34">
        <v>9.7257319999999999E-12</v>
      </c>
      <c r="H140" s="34">
        <v>8.3237110000000001E-11</v>
      </c>
      <c r="I140" s="18">
        <f t="shared" si="5"/>
        <v>170.66666666666663</v>
      </c>
      <c r="J140" s="33">
        <v>0.64192129629629635</v>
      </c>
      <c r="K140">
        <v>3</v>
      </c>
      <c r="L140">
        <v>24</v>
      </c>
      <c r="M140">
        <v>22</v>
      </c>
      <c r="N140">
        <f t="shared" si="6"/>
        <v>924.36666666666667</v>
      </c>
    </row>
    <row r="141" spans="1:20" x14ac:dyDescent="0.25">
      <c r="A141" t="s">
        <v>157</v>
      </c>
      <c r="B141">
        <v>11025</v>
      </c>
      <c r="C141" s="33">
        <v>0.64195601851851858</v>
      </c>
      <c r="D141" s="34">
        <v>2.2943570000000001E-10</v>
      </c>
      <c r="E141" s="34"/>
      <c r="F141" s="34"/>
      <c r="G141" s="34">
        <v>9.7229599999999992E-12</v>
      </c>
      <c r="H141" s="34">
        <v>8.3234639999999996E-11</v>
      </c>
      <c r="I141" s="18">
        <f t="shared" si="5"/>
        <v>170.71666666666658</v>
      </c>
      <c r="J141" s="33">
        <v>0.64195601851851858</v>
      </c>
      <c r="K141">
        <v>3</v>
      </c>
      <c r="L141">
        <v>24</v>
      </c>
      <c r="M141">
        <v>25</v>
      </c>
      <c r="N141">
        <f t="shared" si="6"/>
        <v>924.41666666666663</v>
      </c>
    </row>
    <row r="142" spans="1:20" x14ac:dyDescent="0.25">
      <c r="A142" t="s">
        <v>158</v>
      </c>
      <c r="B142">
        <v>11160</v>
      </c>
      <c r="C142" s="33">
        <v>0.64437500000000003</v>
      </c>
      <c r="D142" s="34">
        <v>2.263479E-10</v>
      </c>
      <c r="E142" s="34"/>
      <c r="F142" s="34"/>
      <c r="G142" s="34">
        <v>9.5820120000000006E-12</v>
      </c>
      <c r="H142" s="34">
        <v>7.0018610000000006E-11</v>
      </c>
      <c r="I142" s="18">
        <f t="shared" si="5"/>
        <v>174.19999999999993</v>
      </c>
      <c r="J142" s="33">
        <v>0.64437500000000003</v>
      </c>
      <c r="K142">
        <v>3</v>
      </c>
      <c r="L142">
        <v>27</v>
      </c>
      <c r="M142">
        <v>54</v>
      </c>
      <c r="N142">
        <f t="shared" si="6"/>
        <v>927.9</v>
      </c>
    </row>
    <row r="143" spans="1:20" x14ac:dyDescent="0.25">
      <c r="A143" t="s">
        <v>159</v>
      </c>
      <c r="B143">
        <v>11163</v>
      </c>
      <c r="C143" s="33">
        <v>0.6444212962962963</v>
      </c>
      <c r="D143" s="34">
        <v>2.264217E-10</v>
      </c>
      <c r="E143" s="34"/>
      <c r="F143" s="34"/>
      <c r="G143" s="34">
        <v>9.5804229999999994E-12</v>
      </c>
      <c r="H143" s="34">
        <v>7.0278170000000005E-11</v>
      </c>
      <c r="I143" s="18">
        <f t="shared" si="5"/>
        <v>174.26666666666665</v>
      </c>
      <c r="J143" s="33">
        <v>0.6444212962962963</v>
      </c>
      <c r="K143">
        <v>3</v>
      </c>
      <c r="L143">
        <v>27</v>
      </c>
      <c r="M143">
        <v>58</v>
      </c>
      <c r="N143">
        <f t="shared" si="6"/>
        <v>927.9666666666667</v>
      </c>
    </row>
    <row r="144" spans="1:20" x14ac:dyDescent="0.25">
      <c r="A144" t="s">
        <v>160</v>
      </c>
      <c r="B144">
        <v>11164</v>
      </c>
      <c r="C144" s="33">
        <v>0.64444444444444449</v>
      </c>
      <c r="D144" s="34">
        <v>2.264113E-10</v>
      </c>
      <c r="E144" s="34"/>
      <c r="F144" s="34"/>
      <c r="G144" s="34">
        <v>9.5840529999999995E-12</v>
      </c>
      <c r="H144" s="34">
        <v>6.9990860000000001E-11</v>
      </c>
      <c r="I144" s="18">
        <f t="shared" si="5"/>
        <v>174.29999999999995</v>
      </c>
      <c r="J144" s="33">
        <v>0.64444444444444449</v>
      </c>
      <c r="K144">
        <v>3</v>
      </c>
      <c r="L144">
        <v>28</v>
      </c>
      <c r="M144">
        <v>0</v>
      </c>
      <c r="N144">
        <f t="shared" si="6"/>
        <v>928</v>
      </c>
    </row>
    <row r="145" spans="1:14" x14ac:dyDescent="0.25">
      <c r="A145" t="s">
        <v>78</v>
      </c>
      <c r="B145">
        <v>11341</v>
      </c>
      <c r="C145" s="33">
        <v>0.64760416666666665</v>
      </c>
      <c r="D145" s="34">
        <v>2.5013469999999999E-10</v>
      </c>
      <c r="E145" s="34"/>
      <c r="F145" s="34"/>
      <c r="G145" s="34">
        <v>1.065755E-11</v>
      </c>
      <c r="H145" s="34">
        <v>1.1924849999999999E-10</v>
      </c>
      <c r="I145" s="18">
        <f t="shared" si="5"/>
        <v>178.84999999999991</v>
      </c>
      <c r="J145" s="33">
        <v>0.64760416666666665</v>
      </c>
      <c r="K145">
        <v>3</v>
      </c>
      <c r="L145">
        <v>32</v>
      </c>
      <c r="M145">
        <v>33</v>
      </c>
      <c r="N145">
        <f t="shared" si="6"/>
        <v>932.55</v>
      </c>
    </row>
    <row r="146" spans="1:14" x14ac:dyDescent="0.25">
      <c r="A146" t="s">
        <v>78</v>
      </c>
      <c r="B146">
        <v>11344</v>
      </c>
      <c r="C146" s="33">
        <v>0.64766203703703706</v>
      </c>
      <c r="D146" s="34">
        <v>2.5009130000000001E-10</v>
      </c>
      <c r="E146" s="34"/>
      <c r="F146" s="34"/>
      <c r="G146" s="34">
        <v>1.0659290000000001E-11</v>
      </c>
      <c r="H146" s="34">
        <v>1.192419E-10</v>
      </c>
      <c r="I146" s="18">
        <f t="shared" si="5"/>
        <v>178.93333333333328</v>
      </c>
      <c r="J146" s="33">
        <v>0.64766203703703706</v>
      </c>
      <c r="K146">
        <v>3</v>
      </c>
      <c r="L146">
        <v>32</v>
      </c>
      <c r="M146">
        <v>38</v>
      </c>
      <c r="N146">
        <f t="shared" si="6"/>
        <v>932.63333333333333</v>
      </c>
    </row>
    <row r="147" spans="1:14" x14ac:dyDescent="0.25">
      <c r="A147" t="s">
        <v>78</v>
      </c>
      <c r="B147">
        <v>11347</v>
      </c>
      <c r="C147" s="33">
        <v>0.64770833333333333</v>
      </c>
      <c r="D147" s="34">
        <v>2.5001960000000001E-10</v>
      </c>
      <c r="E147" s="34"/>
      <c r="F147" s="34"/>
      <c r="G147" s="34">
        <v>1.064803E-11</v>
      </c>
      <c r="H147" s="34">
        <v>1.1921410000000001E-10</v>
      </c>
      <c r="I147" s="18">
        <f t="shared" si="5"/>
        <v>179</v>
      </c>
      <c r="J147" s="33">
        <v>0.64770833333333333</v>
      </c>
      <c r="K147">
        <v>3</v>
      </c>
      <c r="L147">
        <v>32</v>
      </c>
      <c r="M147">
        <v>42</v>
      </c>
      <c r="N147">
        <f t="shared" si="6"/>
        <v>932.7</v>
      </c>
    </row>
    <row r="148" spans="1:14" x14ac:dyDescent="0.25">
      <c r="A148" t="s">
        <v>79</v>
      </c>
      <c r="B148">
        <v>11461</v>
      </c>
      <c r="C148" s="33">
        <v>0.64974537037037039</v>
      </c>
      <c r="D148" s="34">
        <v>2.1341649999999999E-10</v>
      </c>
      <c r="E148" s="34"/>
      <c r="F148" s="34"/>
      <c r="G148" s="34">
        <v>8.6799040000000005E-12</v>
      </c>
      <c r="H148" s="34">
        <v>9.9299259999999995E-11</v>
      </c>
      <c r="I148" s="18">
        <f t="shared" si="5"/>
        <v>181.93333333333328</v>
      </c>
      <c r="J148" s="33">
        <v>0.64974537037037039</v>
      </c>
      <c r="K148">
        <v>3</v>
      </c>
      <c r="L148">
        <v>35</v>
      </c>
      <c r="M148">
        <v>38</v>
      </c>
      <c r="N148">
        <f t="shared" si="6"/>
        <v>935.63333333333333</v>
      </c>
    </row>
    <row r="149" spans="1:14" x14ac:dyDescent="0.25">
      <c r="A149" t="s">
        <v>79</v>
      </c>
      <c r="B149">
        <v>11464</v>
      </c>
      <c r="C149" s="33">
        <v>0.64980324074074081</v>
      </c>
      <c r="D149" s="34">
        <v>2.1343010000000001E-10</v>
      </c>
      <c r="E149" s="34"/>
      <c r="F149" s="34"/>
      <c r="G149" s="34">
        <v>8.6760670000000005E-12</v>
      </c>
      <c r="H149" s="34">
        <v>9.9280290000000004E-11</v>
      </c>
      <c r="I149" s="18">
        <f t="shared" si="5"/>
        <v>182.01666666666665</v>
      </c>
      <c r="J149" s="33">
        <v>0.64980324074074081</v>
      </c>
      <c r="K149">
        <v>3</v>
      </c>
      <c r="L149">
        <v>35</v>
      </c>
      <c r="M149">
        <v>43</v>
      </c>
      <c r="N149">
        <f t="shared" si="6"/>
        <v>935.7166666666667</v>
      </c>
    </row>
    <row r="150" spans="1:14" x14ac:dyDescent="0.25">
      <c r="A150" t="s">
        <v>79</v>
      </c>
      <c r="B150">
        <v>11467</v>
      </c>
      <c r="C150" s="33">
        <v>0.64984953703703707</v>
      </c>
      <c r="D150" s="34">
        <v>2.1336190000000001E-10</v>
      </c>
      <c r="E150" s="34"/>
      <c r="F150" s="34"/>
      <c r="G150" s="34">
        <v>8.6742500000000001E-12</v>
      </c>
      <c r="H150" s="34">
        <v>9.9278189999999994E-11</v>
      </c>
      <c r="I150" s="18">
        <f t="shared" si="5"/>
        <v>182.08333333333326</v>
      </c>
      <c r="J150" s="33">
        <v>0.64984953703703707</v>
      </c>
      <c r="K150">
        <v>3</v>
      </c>
      <c r="L150">
        <v>35</v>
      </c>
      <c r="M150">
        <v>47</v>
      </c>
      <c r="N150">
        <f t="shared" si="6"/>
        <v>935.7833333333333</v>
      </c>
    </row>
    <row r="151" spans="1:14" x14ac:dyDescent="0.25">
      <c r="A151" t="s">
        <v>161</v>
      </c>
      <c r="B151">
        <v>11613</v>
      </c>
      <c r="C151" s="33">
        <v>0.65246527777777774</v>
      </c>
      <c r="D151" s="34">
        <v>2.1544350000000001E-10</v>
      </c>
      <c r="E151" s="34"/>
      <c r="F151" s="34"/>
      <c r="G151" s="34">
        <v>9.1046420000000006E-12</v>
      </c>
      <c r="H151" s="34">
        <v>4.8316109999999998E-11</v>
      </c>
      <c r="I151" s="18">
        <f t="shared" si="5"/>
        <v>185.84999999999991</v>
      </c>
      <c r="J151" s="33">
        <v>0.65246527777777774</v>
      </c>
      <c r="K151">
        <v>3</v>
      </c>
      <c r="L151">
        <v>39</v>
      </c>
      <c r="M151">
        <v>33</v>
      </c>
      <c r="N151">
        <f t="shared" si="6"/>
        <v>939.55</v>
      </c>
    </row>
    <row r="152" spans="1:14" x14ac:dyDescent="0.25">
      <c r="A152" t="s">
        <v>162</v>
      </c>
      <c r="B152">
        <v>11615</v>
      </c>
      <c r="C152" s="33">
        <v>0.65249999999999997</v>
      </c>
      <c r="D152" s="34">
        <v>2.1545200000000001E-10</v>
      </c>
      <c r="E152" s="34"/>
      <c r="F152" s="34"/>
      <c r="G152" s="34">
        <v>9.1081790000000003E-12</v>
      </c>
      <c r="H152" s="34">
        <v>4.8275570000000002E-11</v>
      </c>
      <c r="I152" s="18">
        <f t="shared" si="5"/>
        <v>185.89999999999998</v>
      </c>
      <c r="J152" s="33">
        <v>0.65249999999999997</v>
      </c>
      <c r="K152">
        <v>3</v>
      </c>
      <c r="L152">
        <v>39</v>
      </c>
      <c r="M152">
        <v>36</v>
      </c>
      <c r="N152">
        <f t="shared" si="6"/>
        <v>939.6</v>
      </c>
    </row>
    <row r="153" spans="1:14" x14ac:dyDescent="0.25">
      <c r="A153" t="s">
        <v>163</v>
      </c>
      <c r="B153">
        <v>11618</v>
      </c>
      <c r="C153" s="33">
        <v>0.65254629629629635</v>
      </c>
      <c r="D153" s="34">
        <v>2.1553400000000001E-10</v>
      </c>
      <c r="E153" s="34"/>
      <c r="F153" s="34"/>
      <c r="G153" s="34">
        <v>9.1089990000000003E-12</v>
      </c>
      <c r="H153" s="34">
        <v>4.8266919999999998E-11</v>
      </c>
      <c r="I153" s="18">
        <f t="shared" si="5"/>
        <v>185.96666666666658</v>
      </c>
      <c r="J153" s="33">
        <v>0.65254629629629635</v>
      </c>
      <c r="K153">
        <v>3</v>
      </c>
      <c r="L153">
        <v>39</v>
      </c>
      <c r="M153">
        <v>40</v>
      </c>
      <c r="N153">
        <f t="shared" si="6"/>
        <v>939.66666666666663</v>
      </c>
    </row>
    <row r="154" spans="1:14" x14ac:dyDescent="0.25">
      <c r="A154" t="s">
        <v>164</v>
      </c>
      <c r="B154">
        <v>11751</v>
      </c>
      <c r="C154" s="33">
        <v>0.65491898148148153</v>
      </c>
      <c r="D154" s="34">
        <v>2.259191E-10</v>
      </c>
      <c r="E154" s="34"/>
      <c r="F154" s="34"/>
      <c r="G154" s="34">
        <v>9.5448640000000001E-12</v>
      </c>
      <c r="H154" s="34">
        <v>8.6304199999999997E-11</v>
      </c>
      <c r="I154" s="18">
        <f t="shared" si="5"/>
        <v>189.38333333333333</v>
      </c>
      <c r="J154" s="33">
        <v>0.65491898148148153</v>
      </c>
      <c r="K154">
        <v>3</v>
      </c>
      <c r="L154">
        <v>43</v>
      </c>
      <c r="M154">
        <v>5</v>
      </c>
      <c r="N154">
        <f t="shared" si="6"/>
        <v>943.08333333333337</v>
      </c>
    </row>
    <row r="155" spans="1:14" x14ac:dyDescent="0.25">
      <c r="A155" t="s">
        <v>165</v>
      </c>
      <c r="B155">
        <v>11756</v>
      </c>
      <c r="C155" s="33">
        <v>0.65501157407407407</v>
      </c>
      <c r="D155" s="34">
        <v>2.258727E-10</v>
      </c>
      <c r="E155" s="34"/>
      <c r="F155" s="34"/>
      <c r="G155" s="34">
        <v>9.5469440000000004E-12</v>
      </c>
      <c r="H155" s="34">
        <v>8.64089E-11</v>
      </c>
      <c r="I155" s="18">
        <f t="shared" si="5"/>
        <v>189.51666666666665</v>
      </c>
      <c r="J155" s="33">
        <v>0.65501157407407407</v>
      </c>
      <c r="K155">
        <v>3</v>
      </c>
      <c r="L155">
        <v>43</v>
      </c>
      <c r="M155">
        <v>13</v>
      </c>
      <c r="N155">
        <f t="shared" si="6"/>
        <v>943.2166666666667</v>
      </c>
    </row>
    <row r="156" spans="1:14" x14ac:dyDescent="0.25">
      <c r="A156" t="s">
        <v>166</v>
      </c>
      <c r="B156">
        <v>11758</v>
      </c>
      <c r="C156" s="33">
        <v>0.65504629629629629</v>
      </c>
      <c r="D156" s="34">
        <v>2.2585610000000001E-10</v>
      </c>
      <c r="E156" s="34"/>
      <c r="F156" s="34"/>
      <c r="G156" s="34">
        <v>9.5491660000000003E-12</v>
      </c>
      <c r="H156" s="34">
        <v>8.6463819999999999E-11</v>
      </c>
      <c r="I156" s="18">
        <f t="shared" si="5"/>
        <v>189.56666666666661</v>
      </c>
      <c r="J156" s="33">
        <v>0.65504629629629629</v>
      </c>
      <c r="K156">
        <v>3</v>
      </c>
      <c r="L156">
        <v>43</v>
      </c>
      <c r="M156">
        <v>16</v>
      </c>
      <c r="N156">
        <f t="shared" si="6"/>
        <v>943.26666666666665</v>
      </c>
    </row>
    <row r="157" spans="1:14" x14ac:dyDescent="0.25">
      <c r="A157" t="s">
        <v>167</v>
      </c>
      <c r="B157">
        <v>11851</v>
      </c>
      <c r="C157" s="33">
        <v>0.656712962962963</v>
      </c>
      <c r="D157" s="34">
        <v>2.2358299999999999E-10</v>
      </c>
      <c r="E157" s="34"/>
      <c r="F157" s="34"/>
      <c r="G157" s="34">
        <v>9.4542129999999993E-12</v>
      </c>
      <c r="H157" s="34">
        <v>6.8563629999999995E-11</v>
      </c>
      <c r="I157" s="18">
        <f t="shared" si="5"/>
        <v>191.96666666666658</v>
      </c>
      <c r="J157" s="33">
        <v>0.656712962962963</v>
      </c>
      <c r="K157">
        <v>3</v>
      </c>
      <c r="L157">
        <v>45</v>
      </c>
      <c r="M157">
        <v>40</v>
      </c>
      <c r="N157">
        <f t="shared" si="6"/>
        <v>945.66666666666663</v>
      </c>
    </row>
    <row r="158" spans="1:14" x14ac:dyDescent="0.25">
      <c r="A158" t="s">
        <v>168</v>
      </c>
      <c r="B158">
        <v>11856</v>
      </c>
      <c r="C158" s="33">
        <v>0.65679398148148149</v>
      </c>
      <c r="D158" s="34">
        <v>2.237157E-10</v>
      </c>
      <c r="E158" s="34"/>
      <c r="F158" s="34"/>
      <c r="G158" s="34">
        <v>9.4522319999999995E-12</v>
      </c>
      <c r="H158" s="34">
        <v>6.8379569999999998E-11</v>
      </c>
      <c r="I158" s="18">
        <f t="shared" si="5"/>
        <v>192.08333333333326</v>
      </c>
      <c r="J158" s="33">
        <v>0.65679398148148149</v>
      </c>
      <c r="K158">
        <v>3</v>
      </c>
      <c r="L158">
        <v>45</v>
      </c>
      <c r="M158">
        <v>47</v>
      </c>
      <c r="N158">
        <f t="shared" si="6"/>
        <v>945.7833333333333</v>
      </c>
    </row>
    <row r="159" spans="1:14" x14ac:dyDescent="0.25">
      <c r="A159" t="s">
        <v>169</v>
      </c>
      <c r="B159">
        <v>11858</v>
      </c>
      <c r="C159" s="33">
        <v>0.65684027777777776</v>
      </c>
      <c r="D159" s="34">
        <v>2.2373890000000001E-10</v>
      </c>
      <c r="E159" s="34"/>
      <c r="F159" s="34"/>
      <c r="G159" s="34">
        <v>9.4478110000000001E-12</v>
      </c>
      <c r="H159" s="34">
        <v>6.8357840000000004E-11</v>
      </c>
      <c r="I159" s="18">
        <f t="shared" si="5"/>
        <v>192.14999999999998</v>
      </c>
      <c r="J159" s="33">
        <v>0.65684027777777776</v>
      </c>
      <c r="K159">
        <v>3</v>
      </c>
      <c r="L159">
        <v>45</v>
      </c>
      <c r="M159">
        <v>51</v>
      </c>
      <c r="N159">
        <f t="shared" si="6"/>
        <v>945.85</v>
      </c>
    </row>
    <row r="160" spans="1:14" x14ac:dyDescent="0.25">
      <c r="A160" t="s">
        <v>78</v>
      </c>
      <c r="B160">
        <v>11931</v>
      </c>
      <c r="C160" s="33">
        <v>0.65813657407407411</v>
      </c>
      <c r="D160" s="34">
        <v>2.5024020000000002E-10</v>
      </c>
      <c r="E160" s="34"/>
      <c r="F160" s="34"/>
      <c r="G160" s="34">
        <v>1.0628560000000001E-11</v>
      </c>
      <c r="H160" s="34">
        <v>1.133253E-10</v>
      </c>
      <c r="I160" s="18">
        <f t="shared" si="5"/>
        <v>194.01666666666665</v>
      </c>
      <c r="J160" s="33">
        <v>0.65813657407407411</v>
      </c>
      <c r="K160">
        <v>3</v>
      </c>
      <c r="L160">
        <v>47</v>
      </c>
      <c r="M160">
        <v>43</v>
      </c>
      <c r="N160">
        <f t="shared" si="6"/>
        <v>947.7166666666667</v>
      </c>
    </row>
    <row r="161" spans="1:14" x14ac:dyDescent="0.25">
      <c r="A161" t="s">
        <v>78</v>
      </c>
      <c r="B161">
        <v>11934</v>
      </c>
      <c r="C161" s="33">
        <v>0.65819444444444442</v>
      </c>
      <c r="D161" s="34">
        <v>2.502322E-10</v>
      </c>
      <c r="E161" s="34"/>
      <c r="F161" s="34"/>
      <c r="G161" s="34">
        <v>1.063414E-11</v>
      </c>
      <c r="H161" s="34">
        <v>1.138933E-10</v>
      </c>
      <c r="I161" s="18">
        <f t="shared" si="5"/>
        <v>194.09999999999991</v>
      </c>
      <c r="J161" s="33">
        <v>0.65819444444444442</v>
      </c>
      <c r="K161">
        <v>3</v>
      </c>
      <c r="L161">
        <v>47</v>
      </c>
      <c r="M161">
        <v>48</v>
      </c>
      <c r="N161">
        <f t="shared" si="6"/>
        <v>947.8</v>
      </c>
    </row>
    <row r="162" spans="1:14" x14ac:dyDescent="0.25">
      <c r="A162" t="s">
        <v>78</v>
      </c>
      <c r="B162">
        <v>11935</v>
      </c>
      <c r="C162" s="33">
        <v>0.65820601851851857</v>
      </c>
      <c r="D162" s="34">
        <v>2.5028740000000002E-10</v>
      </c>
      <c r="E162" s="34"/>
      <c r="F162" s="34"/>
      <c r="G162" s="34">
        <v>1.0631E-11</v>
      </c>
      <c r="H162" s="34">
        <v>1.141048E-10</v>
      </c>
      <c r="I162" s="18">
        <f t="shared" si="5"/>
        <v>194.11666666666667</v>
      </c>
      <c r="J162" s="33">
        <v>0.65820601851851857</v>
      </c>
      <c r="K162">
        <v>3</v>
      </c>
      <c r="L162">
        <v>47</v>
      </c>
      <c r="M162">
        <v>49</v>
      </c>
      <c r="N162">
        <f t="shared" si="6"/>
        <v>947.81666666666672</v>
      </c>
    </row>
    <row r="163" spans="1:14" x14ac:dyDescent="0.25">
      <c r="A163" t="s">
        <v>79</v>
      </c>
      <c r="B163">
        <v>12019</v>
      </c>
      <c r="C163" s="33">
        <v>0.65971064814814817</v>
      </c>
      <c r="D163" s="34">
        <v>2.1318919999999999E-10</v>
      </c>
      <c r="E163" s="34"/>
      <c r="F163" s="34"/>
      <c r="G163" s="34">
        <v>8.8297529999999997E-12</v>
      </c>
      <c r="H163" s="34">
        <v>9.8279219999999998E-11</v>
      </c>
      <c r="I163" s="18">
        <f t="shared" si="5"/>
        <v>196.2833333333333</v>
      </c>
      <c r="J163" s="33">
        <v>0.65971064814814817</v>
      </c>
      <c r="K163">
        <v>3</v>
      </c>
      <c r="L163">
        <v>49</v>
      </c>
      <c r="M163">
        <v>59</v>
      </c>
      <c r="N163">
        <f t="shared" si="6"/>
        <v>949.98333333333335</v>
      </c>
    </row>
    <row r="164" spans="1:14" x14ac:dyDescent="0.25">
      <c r="A164" t="s">
        <v>79</v>
      </c>
      <c r="B164">
        <v>12023</v>
      </c>
      <c r="C164" s="33">
        <v>0.65978009259259263</v>
      </c>
      <c r="D164" s="34">
        <v>2.1299050000000001E-10</v>
      </c>
      <c r="E164" s="34"/>
      <c r="F164" s="34"/>
      <c r="G164" s="34">
        <v>8.810588E-12</v>
      </c>
      <c r="H164" s="34">
        <v>9.8198340000000005E-11</v>
      </c>
      <c r="I164" s="18">
        <f t="shared" si="5"/>
        <v>196.38333333333333</v>
      </c>
      <c r="J164" s="33">
        <v>0.65978009259259263</v>
      </c>
      <c r="K164">
        <v>3</v>
      </c>
      <c r="L164">
        <v>50</v>
      </c>
      <c r="M164">
        <v>5</v>
      </c>
      <c r="N164">
        <f t="shared" si="6"/>
        <v>950.08333333333337</v>
      </c>
    </row>
    <row r="165" spans="1:14" x14ac:dyDescent="0.25">
      <c r="A165" t="s">
        <v>79</v>
      </c>
      <c r="B165">
        <v>12024</v>
      </c>
      <c r="C165" s="33">
        <v>0.6598032407407407</v>
      </c>
      <c r="D165" s="34">
        <v>2.12923E-10</v>
      </c>
      <c r="E165" s="34"/>
      <c r="F165" s="34"/>
      <c r="G165" s="34">
        <v>8.810798E-12</v>
      </c>
      <c r="H165" s="34">
        <v>9.8172070000000001E-11</v>
      </c>
      <c r="I165" s="18">
        <f t="shared" si="5"/>
        <v>196.41666666666663</v>
      </c>
      <c r="J165" s="33">
        <v>0.6598032407407407</v>
      </c>
      <c r="K165">
        <v>3</v>
      </c>
      <c r="L165">
        <v>50</v>
      </c>
      <c r="M165">
        <v>7</v>
      </c>
      <c r="N165">
        <f t="shared" si="6"/>
        <v>950.11666666666667</v>
      </c>
    </row>
    <row r="166" spans="1:14" x14ac:dyDescent="0.25">
      <c r="A166" t="s">
        <v>170</v>
      </c>
      <c r="B166">
        <v>12156</v>
      </c>
      <c r="C166" s="33">
        <v>0.66215277777777781</v>
      </c>
      <c r="D166" s="34">
        <v>2.2200349999999999E-10</v>
      </c>
      <c r="E166" s="34"/>
      <c r="F166" s="34"/>
      <c r="G166" s="34">
        <v>9.3891769999999993E-12</v>
      </c>
      <c r="H166" s="34">
        <v>5.7772390000000001E-11</v>
      </c>
      <c r="I166" s="18">
        <f t="shared" si="5"/>
        <v>199.79999999999995</v>
      </c>
      <c r="J166" s="33">
        <v>0.66215277777777781</v>
      </c>
      <c r="K166">
        <v>3</v>
      </c>
      <c r="L166">
        <v>53</v>
      </c>
      <c r="M166">
        <v>30</v>
      </c>
      <c r="N166">
        <f t="shared" si="6"/>
        <v>953.5</v>
      </c>
    </row>
    <row r="167" spans="1:14" x14ac:dyDescent="0.25">
      <c r="A167" t="s">
        <v>171</v>
      </c>
      <c r="B167">
        <v>12159</v>
      </c>
      <c r="C167" s="33">
        <v>0.66221064814814812</v>
      </c>
      <c r="D167" s="34">
        <v>2.220873E-10</v>
      </c>
      <c r="E167" s="34"/>
      <c r="F167" s="34"/>
      <c r="G167" s="34">
        <v>9.3893020000000003E-12</v>
      </c>
      <c r="H167" s="34">
        <v>5.7687459999999997E-11</v>
      </c>
      <c r="I167" s="18">
        <f t="shared" si="5"/>
        <v>199.88333333333333</v>
      </c>
      <c r="J167" s="33">
        <v>0.66221064814814812</v>
      </c>
      <c r="K167">
        <v>3</v>
      </c>
      <c r="L167">
        <v>53</v>
      </c>
      <c r="M167">
        <v>35</v>
      </c>
      <c r="N167">
        <f t="shared" si="6"/>
        <v>953.58333333333337</v>
      </c>
    </row>
    <row r="168" spans="1:14" x14ac:dyDescent="0.25">
      <c r="A168" t="s">
        <v>172</v>
      </c>
      <c r="B168">
        <v>12163</v>
      </c>
      <c r="C168" s="33">
        <v>0.66228009259259257</v>
      </c>
      <c r="D168" s="34">
        <v>2.2213009999999999E-10</v>
      </c>
      <c r="E168" s="34"/>
      <c r="F168" s="34"/>
      <c r="G168" s="34">
        <v>9.3909780000000001E-12</v>
      </c>
      <c r="H168" s="34">
        <v>5.7557520000000003E-11</v>
      </c>
      <c r="I168" s="18">
        <f t="shared" si="5"/>
        <v>199.98333333333323</v>
      </c>
      <c r="J168" s="33">
        <v>0.66228009259259257</v>
      </c>
      <c r="K168">
        <v>3</v>
      </c>
      <c r="L168">
        <v>53</v>
      </c>
      <c r="M168">
        <v>41</v>
      </c>
      <c r="N168">
        <f t="shared" si="6"/>
        <v>953.68333333333328</v>
      </c>
    </row>
    <row r="169" spans="1:14" x14ac:dyDescent="0.25">
      <c r="A169" t="s">
        <v>173</v>
      </c>
      <c r="B169">
        <v>12232</v>
      </c>
      <c r="C169" s="33">
        <v>0.66351851851851851</v>
      </c>
      <c r="D169" s="34">
        <v>2.2308419999999999E-10</v>
      </c>
      <c r="E169" s="34"/>
      <c r="F169" s="34"/>
      <c r="G169" s="34">
        <v>9.3755949999999993E-12</v>
      </c>
      <c r="H169" s="34">
        <v>5.2236839999999997E-11</v>
      </c>
      <c r="I169" s="18">
        <f t="shared" si="5"/>
        <v>201.76666666666665</v>
      </c>
      <c r="J169" s="33">
        <v>0.66351851851851851</v>
      </c>
      <c r="K169">
        <v>3</v>
      </c>
      <c r="L169">
        <v>55</v>
      </c>
      <c r="M169">
        <v>28</v>
      </c>
      <c r="N169">
        <f t="shared" si="6"/>
        <v>955.4666666666667</v>
      </c>
    </row>
    <row r="170" spans="1:14" x14ac:dyDescent="0.25">
      <c r="A170" t="s">
        <v>174</v>
      </c>
      <c r="B170">
        <v>12235</v>
      </c>
      <c r="C170" s="33">
        <v>0.66356481481481477</v>
      </c>
      <c r="D170" s="34">
        <v>2.231843E-10</v>
      </c>
      <c r="E170" s="34"/>
      <c r="F170" s="34"/>
      <c r="G170" s="34">
        <v>9.3900949999999993E-12</v>
      </c>
      <c r="H170" s="34">
        <v>5.2115810000000001E-11</v>
      </c>
      <c r="I170" s="18">
        <f t="shared" si="5"/>
        <v>201.83333333333326</v>
      </c>
      <c r="J170" s="33">
        <v>0.66356481481481477</v>
      </c>
      <c r="K170">
        <v>3</v>
      </c>
      <c r="L170">
        <v>55</v>
      </c>
      <c r="M170">
        <v>32</v>
      </c>
      <c r="N170">
        <f t="shared" si="6"/>
        <v>955.5333333333333</v>
      </c>
    </row>
    <row r="171" spans="1:14" x14ac:dyDescent="0.25">
      <c r="A171" t="s">
        <v>175</v>
      </c>
      <c r="B171">
        <v>12238</v>
      </c>
      <c r="C171" s="33">
        <v>0.66362268518518519</v>
      </c>
      <c r="D171" s="34">
        <v>2.2331369999999999E-10</v>
      </c>
      <c r="E171" s="34"/>
      <c r="F171" s="34"/>
      <c r="G171" s="34">
        <v>9.3917099999999994E-12</v>
      </c>
      <c r="H171" s="34">
        <v>5.2033550000000001E-11</v>
      </c>
      <c r="I171" s="18">
        <f t="shared" si="5"/>
        <v>201.91666666666663</v>
      </c>
      <c r="J171" s="33">
        <v>0.66362268518518519</v>
      </c>
      <c r="K171">
        <v>3</v>
      </c>
      <c r="L171">
        <v>55</v>
      </c>
      <c r="M171">
        <v>37</v>
      </c>
      <c r="N171">
        <f t="shared" si="6"/>
        <v>955.61666666666667</v>
      </c>
    </row>
    <row r="172" spans="1:14" x14ac:dyDescent="0.25">
      <c r="A172" t="s">
        <v>176</v>
      </c>
      <c r="B172">
        <v>12343</v>
      </c>
      <c r="C172" s="33">
        <v>0.66549768518518515</v>
      </c>
      <c r="D172" s="34">
        <v>2.2434100000000001E-10</v>
      </c>
      <c r="E172" s="34"/>
      <c r="F172" s="34"/>
      <c r="G172" s="34">
        <v>9.4387389999999992E-12</v>
      </c>
      <c r="H172" s="34">
        <v>6.4923159999999996E-11</v>
      </c>
      <c r="I172" s="18">
        <f t="shared" si="5"/>
        <v>204.61666666666667</v>
      </c>
      <c r="J172" s="33">
        <v>0.66549768518518515</v>
      </c>
      <c r="K172">
        <v>3</v>
      </c>
      <c r="L172">
        <v>58</v>
      </c>
      <c r="M172">
        <v>19</v>
      </c>
      <c r="N172">
        <f t="shared" si="6"/>
        <v>958.31666666666672</v>
      </c>
    </row>
    <row r="173" spans="1:14" x14ac:dyDescent="0.25">
      <c r="A173" t="s">
        <v>177</v>
      </c>
      <c r="B173">
        <v>12346</v>
      </c>
      <c r="C173" s="33">
        <v>0.66555555555555557</v>
      </c>
      <c r="D173" s="34">
        <v>2.243474E-10</v>
      </c>
      <c r="E173" s="34"/>
      <c r="F173" s="34"/>
      <c r="G173" s="34">
        <v>9.4321509999999993E-12</v>
      </c>
      <c r="H173" s="34">
        <v>6.4967950000000002E-11</v>
      </c>
      <c r="I173" s="18">
        <f t="shared" si="5"/>
        <v>204.69999999999993</v>
      </c>
      <c r="J173" s="33">
        <v>0.66555555555555557</v>
      </c>
      <c r="K173">
        <v>3</v>
      </c>
      <c r="L173">
        <v>58</v>
      </c>
      <c r="M173">
        <v>24</v>
      </c>
      <c r="N173">
        <f t="shared" si="6"/>
        <v>958.4</v>
      </c>
    </row>
    <row r="174" spans="1:14" x14ac:dyDescent="0.25">
      <c r="A174" t="s">
        <v>178</v>
      </c>
      <c r="B174">
        <v>12348</v>
      </c>
      <c r="C174" s="33">
        <v>0.66559027777777779</v>
      </c>
      <c r="D174" s="34">
        <v>2.2428E-10</v>
      </c>
      <c r="E174" s="34"/>
      <c r="F174" s="34"/>
      <c r="G174" s="34">
        <v>9.4418870000000006E-12</v>
      </c>
      <c r="H174" s="34">
        <v>6.500977E-11</v>
      </c>
      <c r="I174" s="18">
        <f t="shared" si="5"/>
        <v>204.75</v>
      </c>
      <c r="J174" s="33">
        <v>0.66559027777777779</v>
      </c>
      <c r="K174">
        <v>3</v>
      </c>
      <c r="L174">
        <v>58</v>
      </c>
      <c r="M174">
        <v>27</v>
      </c>
      <c r="N174">
        <f t="shared" si="6"/>
        <v>958.45</v>
      </c>
    </row>
    <row r="175" spans="1:14" x14ac:dyDescent="0.25">
      <c r="A175" t="s">
        <v>78</v>
      </c>
      <c r="B175">
        <v>12935</v>
      </c>
      <c r="C175" s="33">
        <v>0.67606481481481473</v>
      </c>
      <c r="D175" s="34">
        <v>2.442816E-10</v>
      </c>
      <c r="E175" s="34"/>
      <c r="F175" s="34"/>
      <c r="G175" s="34">
        <v>1.041676E-11</v>
      </c>
      <c r="H175" s="34">
        <v>1.174578E-10</v>
      </c>
      <c r="I175" s="18">
        <f t="shared" si="5"/>
        <v>219.83333333333326</v>
      </c>
      <c r="J175" s="33">
        <v>0.67606481481481473</v>
      </c>
      <c r="K175">
        <v>4</v>
      </c>
      <c r="L175">
        <v>13</v>
      </c>
      <c r="M175">
        <v>32</v>
      </c>
      <c r="N175">
        <f t="shared" si="6"/>
        <v>973.5333333333333</v>
      </c>
    </row>
    <row r="176" spans="1:14" x14ac:dyDescent="0.25">
      <c r="A176" t="s">
        <v>78</v>
      </c>
      <c r="B176">
        <v>12938</v>
      </c>
      <c r="C176" s="33">
        <v>0.67612268518518515</v>
      </c>
      <c r="D176" s="34">
        <v>2.4411250000000002E-10</v>
      </c>
      <c r="E176" s="34"/>
      <c r="F176" s="34"/>
      <c r="G176" s="34">
        <v>1.0411759999999999E-11</v>
      </c>
      <c r="H176" s="34">
        <v>1.174219E-10</v>
      </c>
      <c r="I176" s="18">
        <f t="shared" si="5"/>
        <v>219.91666666666663</v>
      </c>
      <c r="J176" s="33">
        <v>0.67612268518518515</v>
      </c>
      <c r="K176">
        <v>4</v>
      </c>
      <c r="L176">
        <v>13</v>
      </c>
      <c r="M176">
        <v>37</v>
      </c>
      <c r="N176">
        <f t="shared" si="6"/>
        <v>973.61666666666667</v>
      </c>
    </row>
    <row r="177" spans="1:14" x14ac:dyDescent="0.25">
      <c r="A177" t="s">
        <v>78</v>
      </c>
      <c r="B177">
        <v>12941</v>
      </c>
      <c r="C177" s="33">
        <v>0.67616898148148141</v>
      </c>
      <c r="D177" s="34">
        <v>2.4412129999999998E-10</v>
      </c>
      <c r="E177" s="34"/>
      <c r="F177" s="34"/>
      <c r="G177" s="34">
        <v>1.040776E-11</v>
      </c>
      <c r="H177" s="34">
        <v>1.1743069999999999E-10</v>
      </c>
      <c r="I177" s="18">
        <f t="shared" si="5"/>
        <v>219.98333333333323</v>
      </c>
      <c r="J177" s="33">
        <v>0.67616898148148141</v>
      </c>
      <c r="K177">
        <v>4</v>
      </c>
      <c r="L177">
        <v>13</v>
      </c>
      <c r="M177">
        <v>41</v>
      </c>
      <c r="N177">
        <f t="shared" si="6"/>
        <v>973.68333333333328</v>
      </c>
    </row>
    <row r="178" spans="1:14" x14ac:dyDescent="0.25">
      <c r="A178" t="s">
        <v>79</v>
      </c>
      <c r="B178">
        <v>13120</v>
      </c>
      <c r="C178" s="33">
        <v>0.6793634259259258</v>
      </c>
      <c r="D178" s="34">
        <v>2.067794E-10</v>
      </c>
      <c r="E178" s="34"/>
      <c r="F178" s="34"/>
      <c r="G178" s="34">
        <v>8.4305859999999992E-12</v>
      </c>
      <c r="H178" s="34">
        <v>9.6856980000000004E-11</v>
      </c>
      <c r="I178" s="18">
        <f t="shared" si="5"/>
        <v>224.58333333333326</v>
      </c>
      <c r="J178" s="33">
        <v>0.6793634259259258</v>
      </c>
      <c r="K178">
        <v>4</v>
      </c>
      <c r="L178">
        <v>18</v>
      </c>
      <c r="M178">
        <v>17</v>
      </c>
      <c r="N178">
        <f t="shared" si="6"/>
        <v>978.2833333333333</v>
      </c>
    </row>
    <row r="179" spans="1:14" x14ac:dyDescent="0.25">
      <c r="A179" t="s">
        <v>79</v>
      </c>
      <c r="B179">
        <v>13124</v>
      </c>
      <c r="C179" s="33">
        <v>0.67944444444444441</v>
      </c>
      <c r="D179" s="34">
        <v>2.0665480000000001E-10</v>
      </c>
      <c r="E179" s="34"/>
      <c r="F179" s="34"/>
      <c r="G179" s="34">
        <v>8.4301960000000003E-12</v>
      </c>
      <c r="H179" s="34">
        <v>9.6801369999999994E-11</v>
      </c>
      <c r="I179" s="18">
        <f t="shared" si="5"/>
        <v>224.69999999999993</v>
      </c>
      <c r="J179" s="33">
        <v>0.67944444444444441</v>
      </c>
      <c r="K179">
        <v>4</v>
      </c>
      <c r="L179">
        <v>18</v>
      </c>
      <c r="M179">
        <v>24</v>
      </c>
      <c r="N179">
        <f t="shared" si="6"/>
        <v>978.4</v>
      </c>
    </row>
    <row r="180" spans="1:14" x14ac:dyDescent="0.25">
      <c r="A180" t="s">
        <v>79</v>
      </c>
      <c r="B180">
        <v>13127</v>
      </c>
      <c r="C180" s="33">
        <v>0.67949074074074067</v>
      </c>
      <c r="D180" s="34">
        <v>2.0669460000000001E-10</v>
      </c>
      <c r="E180" s="34"/>
      <c r="F180" s="34"/>
      <c r="G180" s="34">
        <v>8.4314989999999996E-12</v>
      </c>
      <c r="H180" s="34">
        <v>9.6810509999999997E-11</v>
      </c>
      <c r="I180" s="18">
        <f t="shared" si="5"/>
        <v>224.76666666666665</v>
      </c>
      <c r="J180" s="33">
        <v>0.67949074074074067</v>
      </c>
      <c r="K180">
        <v>4</v>
      </c>
      <c r="L180">
        <v>18</v>
      </c>
      <c r="M180">
        <v>28</v>
      </c>
      <c r="N180">
        <f t="shared" si="6"/>
        <v>978.4666666666667</v>
      </c>
    </row>
    <row r="181" spans="1:14" x14ac:dyDescent="0.25">
      <c r="A181" t="s">
        <v>179</v>
      </c>
      <c r="B181">
        <v>13298</v>
      </c>
      <c r="C181" s="33">
        <v>0.68254629629629615</v>
      </c>
      <c r="D181" s="34">
        <v>2.1030160000000001E-10</v>
      </c>
      <c r="E181" s="34"/>
      <c r="F181" s="34"/>
      <c r="G181" s="34">
        <v>8.8981260000000003E-12</v>
      </c>
      <c r="H181" s="34">
        <v>3.7822020000000001E-11</v>
      </c>
      <c r="I181" s="18">
        <f t="shared" si="5"/>
        <v>229.16666666666663</v>
      </c>
      <c r="J181" s="33">
        <v>0.68254629629629615</v>
      </c>
      <c r="K181">
        <v>4</v>
      </c>
      <c r="L181">
        <v>22</v>
      </c>
      <c r="M181">
        <v>52</v>
      </c>
      <c r="N181">
        <f t="shared" si="6"/>
        <v>982.86666666666667</v>
      </c>
    </row>
    <row r="182" spans="1:14" x14ac:dyDescent="0.25">
      <c r="A182" t="s">
        <v>180</v>
      </c>
      <c r="B182">
        <v>13301</v>
      </c>
      <c r="C182" s="33">
        <v>0.68260416666666657</v>
      </c>
      <c r="D182" s="34">
        <v>2.103586E-10</v>
      </c>
      <c r="E182" s="34"/>
      <c r="F182" s="34"/>
      <c r="G182" s="34">
        <v>8.9001300000000004E-12</v>
      </c>
      <c r="H182" s="34">
        <v>3.7797039999999999E-11</v>
      </c>
      <c r="I182" s="18">
        <f t="shared" si="5"/>
        <v>229.25</v>
      </c>
      <c r="J182" s="33">
        <v>0.68260416666666657</v>
      </c>
      <c r="K182">
        <v>4</v>
      </c>
      <c r="L182">
        <v>22</v>
      </c>
      <c r="M182">
        <v>57</v>
      </c>
      <c r="N182">
        <f t="shared" si="6"/>
        <v>982.95</v>
      </c>
    </row>
    <row r="183" spans="1:14" x14ac:dyDescent="0.25">
      <c r="A183" t="s">
        <v>181</v>
      </c>
      <c r="B183">
        <v>13303</v>
      </c>
      <c r="C183" s="33">
        <v>0.68263888888888891</v>
      </c>
      <c r="D183" s="34">
        <v>2.1039990000000001E-10</v>
      </c>
      <c r="E183" s="34"/>
      <c r="F183" s="34"/>
      <c r="G183" s="34">
        <v>8.9004610000000008E-12</v>
      </c>
      <c r="H183" s="34">
        <v>3.78048E-11</v>
      </c>
      <c r="I183" s="18">
        <f t="shared" si="5"/>
        <v>229.29999999999995</v>
      </c>
      <c r="J183" s="33">
        <v>0.68263888888888891</v>
      </c>
      <c r="K183">
        <v>4</v>
      </c>
      <c r="L183">
        <v>23</v>
      </c>
      <c r="M183">
        <v>0</v>
      </c>
      <c r="N183">
        <f t="shared" si="6"/>
        <v>983</v>
      </c>
    </row>
    <row r="184" spans="1:14" x14ac:dyDescent="0.25">
      <c r="A184" t="s">
        <v>182</v>
      </c>
      <c r="B184">
        <v>13409</v>
      </c>
      <c r="C184" s="33">
        <v>0.68452546296296302</v>
      </c>
      <c r="D184" s="34">
        <v>2.3567110000000001E-10</v>
      </c>
      <c r="E184" s="34"/>
      <c r="F184" s="34"/>
      <c r="G184" s="34">
        <v>9.6595979999999994E-12</v>
      </c>
      <c r="H184" s="34">
        <v>5.3674850000000002E-11</v>
      </c>
      <c r="I184" s="18">
        <f t="shared" si="5"/>
        <v>232.01666666666665</v>
      </c>
      <c r="J184" s="33">
        <v>0.68452546296296302</v>
      </c>
      <c r="K184">
        <v>4</v>
      </c>
      <c r="L184">
        <v>25</v>
      </c>
      <c r="M184">
        <v>43</v>
      </c>
      <c r="N184">
        <f t="shared" si="6"/>
        <v>985.7166666666667</v>
      </c>
    </row>
    <row r="185" spans="1:14" x14ac:dyDescent="0.25">
      <c r="A185" t="s">
        <v>183</v>
      </c>
      <c r="B185">
        <v>13413</v>
      </c>
      <c r="C185" s="33">
        <v>0.68460648148148151</v>
      </c>
      <c r="D185" s="34">
        <v>2.3573619999999998E-10</v>
      </c>
      <c r="E185" s="34"/>
      <c r="F185" s="34"/>
      <c r="G185" s="34">
        <v>9.6531550000000008E-12</v>
      </c>
      <c r="H185" s="34">
        <v>5.37177E-11</v>
      </c>
      <c r="I185" s="18">
        <f t="shared" si="5"/>
        <v>232.13333333333333</v>
      </c>
      <c r="J185" s="33">
        <v>0.68460648148148151</v>
      </c>
      <c r="K185">
        <v>4</v>
      </c>
      <c r="L185">
        <v>25</v>
      </c>
      <c r="M185">
        <v>50</v>
      </c>
      <c r="N185">
        <f t="shared" si="6"/>
        <v>985.83333333333337</v>
      </c>
    </row>
    <row r="186" spans="1:14" x14ac:dyDescent="0.25">
      <c r="A186" t="s">
        <v>184</v>
      </c>
      <c r="B186">
        <v>13417</v>
      </c>
      <c r="C186" s="33">
        <v>0.68467592592592597</v>
      </c>
      <c r="D186" s="34">
        <v>2.3568769999999998E-10</v>
      </c>
      <c r="E186" s="34"/>
      <c r="F186" s="34"/>
      <c r="G186" s="34">
        <v>9.6596899999999992E-12</v>
      </c>
      <c r="H186" s="34">
        <v>5.3776130000000003E-11</v>
      </c>
      <c r="I186" s="18">
        <f t="shared" si="5"/>
        <v>232.23333333333323</v>
      </c>
      <c r="J186" s="33">
        <v>0.68467592592592597</v>
      </c>
      <c r="K186">
        <v>4</v>
      </c>
      <c r="L186">
        <v>25</v>
      </c>
      <c r="M186">
        <v>56</v>
      </c>
      <c r="N186">
        <f t="shared" si="6"/>
        <v>985.93333333333328</v>
      </c>
    </row>
    <row r="187" spans="1:14" x14ac:dyDescent="0.25">
      <c r="A187" t="s">
        <v>185</v>
      </c>
      <c r="B187">
        <v>13538</v>
      </c>
      <c r="C187" s="33">
        <v>0.68682870370370375</v>
      </c>
      <c r="D187" s="34">
        <v>2.2246490000000001E-10</v>
      </c>
      <c r="E187" s="34"/>
      <c r="F187" s="34"/>
      <c r="G187" s="34">
        <v>9.4305929999999998E-12</v>
      </c>
      <c r="H187" s="34">
        <v>6.939879E-11</v>
      </c>
      <c r="I187" s="18">
        <f t="shared" si="5"/>
        <v>235.33333333333326</v>
      </c>
      <c r="J187" s="33">
        <v>0.68682870370370375</v>
      </c>
      <c r="K187">
        <v>4</v>
      </c>
      <c r="L187">
        <v>29</v>
      </c>
      <c r="M187">
        <v>2</v>
      </c>
      <c r="N187">
        <f t="shared" si="6"/>
        <v>989.0333333333333</v>
      </c>
    </row>
    <row r="188" spans="1:14" x14ac:dyDescent="0.25">
      <c r="A188" t="s">
        <v>186</v>
      </c>
      <c r="B188">
        <v>13540</v>
      </c>
      <c r="C188" s="33">
        <v>0.68687500000000001</v>
      </c>
      <c r="D188" s="34">
        <v>2.2256449999999999E-10</v>
      </c>
      <c r="E188" s="34"/>
      <c r="F188" s="34"/>
      <c r="G188" s="34">
        <v>9.4329790000000007E-12</v>
      </c>
      <c r="H188" s="34">
        <v>6.9452289999999994E-11</v>
      </c>
      <c r="I188" s="18">
        <f t="shared" si="5"/>
        <v>235.39999999999998</v>
      </c>
      <c r="J188" s="33">
        <v>0.68687500000000001</v>
      </c>
      <c r="K188">
        <v>4</v>
      </c>
      <c r="L188">
        <v>29</v>
      </c>
      <c r="M188">
        <v>6</v>
      </c>
      <c r="N188">
        <f t="shared" si="6"/>
        <v>989.1</v>
      </c>
    </row>
    <row r="189" spans="1:14" x14ac:dyDescent="0.25">
      <c r="A189" t="s">
        <v>187</v>
      </c>
      <c r="B189">
        <v>13543</v>
      </c>
      <c r="C189" s="33">
        <v>0.68692129629629628</v>
      </c>
      <c r="D189" s="34">
        <v>2.2262879999999999E-10</v>
      </c>
      <c r="E189" s="34"/>
      <c r="F189" s="34"/>
      <c r="G189" s="34">
        <v>9.4302520000000001E-12</v>
      </c>
      <c r="H189" s="34">
        <v>6.9514919999999998E-11</v>
      </c>
      <c r="I189" s="18">
        <f t="shared" si="5"/>
        <v>235.46666666666658</v>
      </c>
      <c r="J189" s="33">
        <v>0.68692129629629628</v>
      </c>
      <c r="K189">
        <v>4</v>
      </c>
      <c r="L189">
        <v>29</v>
      </c>
      <c r="M189">
        <v>10</v>
      </c>
      <c r="N189">
        <f t="shared" si="6"/>
        <v>989.16666666666663</v>
      </c>
    </row>
    <row r="190" spans="1:14" x14ac:dyDescent="0.25">
      <c r="A190" t="s">
        <v>78</v>
      </c>
      <c r="B190">
        <v>13656</v>
      </c>
      <c r="C190" s="33">
        <v>0.6889467592592593</v>
      </c>
      <c r="D190" s="34">
        <v>2.4528120000000003E-10</v>
      </c>
      <c r="E190" s="34"/>
      <c r="F190" s="34"/>
      <c r="G190" s="34">
        <v>1.0434040000000001E-11</v>
      </c>
      <c r="H190" s="34">
        <v>1.146954E-10</v>
      </c>
      <c r="I190" s="18">
        <f t="shared" si="5"/>
        <v>238.38333333333333</v>
      </c>
      <c r="J190" s="33">
        <v>0.6889467592592593</v>
      </c>
      <c r="K190">
        <v>4</v>
      </c>
      <c r="L190">
        <v>32</v>
      </c>
      <c r="M190">
        <v>5</v>
      </c>
      <c r="N190">
        <f t="shared" si="6"/>
        <v>992.08333333333337</v>
      </c>
    </row>
    <row r="191" spans="1:14" x14ac:dyDescent="0.25">
      <c r="A191" t="s">
        <v>78</v>
      </c>
      <c r="B191">
        <v>13660</v>
      </c>
      <c r="C191" s="33">
        <v>0.68901620370370364</v>
      </c>
      <c r="D191" s="34">
        <v>2.4510589999999998E-10</v>
      </c>
      <c r="E191" s="34"/>
      <c r="F191" s="34"/>
      <c r="G191" s="34">
        <v>1.04251E-11</v>
      </c>
      <c r="H191" s="34">
        <v>1.147632E-10</v>
      </c>
      <c r="I191" s="18">
        <f t="shared" si="5"/>
        <v>238.48333333333323</v>
      </c>
      <c r="J191" s="33">
        <v>0.68901620370370364</v>
      </c>
      <c r="K191">
        <v>4</v>
      </c>
      <c r="L191">
        <v>32</v>
      </c>
      <c r="M191">
        <v>11</v>
      </c>
      <c r="N191">
        <f t="shared" si="6"/>
        <v>992.18333333333328</v>
      </c>
    </row>
    <row r="192" spans="1:14" x14ac:dyDescent="0.25">
      <c r="A192" t="s">
        <v>78</v>
      </c>
      <c r="B192">
        <v>13663</v>
      </c>
      <c r="C192" s="33">
        <v>0.68906250000000002</v>
      </c>
      <c r="D192" s="34">
        <v>2.4502930000000002E-10</v>
      </c>
      <c r="E192" s="34"/>
      <c r="F192" s="34"/>
      <c r="G192" s="34">
        <v>1.04229E-11</v>
      </c>
      <c r="H192" s="34">
        <v>1.148483E-10</v>
      </c>
      <c r="I192" s="18">
        <f t="shared" si="5"/>
        <v>238.54999999999995</v>
      </c>
      <c r="J192" s="33">
        <v>0.68906250000000002</v>
      </c>
      <c r="K192">
        <v>4</v>
      </c>
      <c r="L192">
        <v>32</v>
      </c>
      <c r="M192">
        <v>15</v>
      </c>
      <c r="N192">
        <f t="shared" si="6"/>
        <v>992.25</v>
      </c>
    </row>
    <row r="193" spans="1:14" x14ac:dyDescent="0.25">
      <c r="A193" t="s">
        <v>79</v>
      </c>
      <c r="B193">
        <v>13773</v>
      </c>
      <c r="C193" s="33">
        <v>0.69103009259259263</v>
      </c>
      <c r="D193" s="34">
        <v>2.0733670000000001E-10</v>
      </c>
      <c r="E193" s="34"/>
      <c r="F193" s="34"/>
      <c r="G193" s="34">
        <v>8.4601159999999998E-12</v>
      </c>
      <c r="H193" s="34">
        <v>9.5973359999999994E-11</v>
      </c>
      <c r="I193" s="18">
        <f t="shared" si="5"/>
        <v>241.38333333333333</v>
      </c>
      <c r="J193" s="33">
        <v>0.69103009259259263</v>
      </c>
      <c r="K193">
        <v>4</v>
      </c>
      <c r="L193">
        <v>35</v>
      </c>
      <c r="M193">
        <v>5</v>
      </c>
      <c r="N193">
        <f t="shared" si="6"/>
        <v>995.08333333333337</v>
      </c>
    </row>
    <row r="194" spans="1:14" x14ac:dyDescent="0.25">
      <c r="A194" t="s">
        <v>79</v>
      </c>
      <c r="B194">
        <v>13776</v>
      </c>
      <c r="C194" s="33">
        <v>0.69108796296296293</v>
      </c>
      <c r="D194" s="34">
        <v>2.072769E-10</v>
      </c>
      <c r="E194" s="34"/>
      <c r="F194" s="34"/>
      <c r="G194" s="34">
        <v>8.4563569999999996E-12</v>
      </c>
      <c r="H194" s="34">
        <v>9.5928409999999998E-11</v>
      </c>
      <c r="I194" s="18">
        <f t="shared" si="5"/>
        <v>241.46666666666658</v>
      </c>
      <c r="J194" s="33">
        <v>0.69108796296296293</v>
      </c>
      <c r="K194">
        <v>4</v>
      </c>
      <c r="L194">
        <v>35</v>
      </c>
      <c r="M194">
        <v>10</v>
      </c>
      <c r="N194">
        <f t="shared" si="6"/>
        <v>995.16666666666663</v>
      </c>
    </row>
    <row r="195" spans="1:14" x14ac:dyDescent="0.25">
      <c r="A195" t="s">
        <v>79</v>
      </c>
      <c r="B195">
        <v>13778</v>
      </c>
      <c r="C195" s="33">
        <v>0.69112268518518516</v>
      </c>
      <c r="D195" s="34">
        <v>2.0723809999999999E-10</v>
      </c>
      <c r="E195" s="34"/>
      <c r="F195" s="34"/>
      <c r="G195" s="34">
        <v>8.4485939999999999E-12</v>
      </c>
      <c r="H195" s="34">
        <v>9.5918120000000004E-11</v>
      </c>
      <c r="I195" s="18">
        <f t="shared" si="5"/>
        <v>241.51666666666665</v>
      </c>
      <c r="J195" s="33">
        <v>0.69112268518518516</v>
      </c>
      <c r="K195">
        <v>4</v>
      </c>
      <c r="L195">
        <v>35</v>
      </c>
      <c r="M195">
        <v>13</v>
      </c>
      <c r="N195">
        <f t="shared" si="6"/>
        <v>995.2166666666667</v>
      </c>
    </row>
    <row r="196" spans="1:14" x14ac:dyDescent="0.25">
      <c r="A196" t="s">
        <v>188</v>
      </c>
      <c r="B196">
        <v>13919</v>
      </c>
      <c r="C196" s="33">
        <v>0.69363425925925926</v>
      </c>
      <c r="D196" s="34">
        <v>2.2209560000000001E-10</v>
      </c>
      <c r="E196" s="34"/>
      <c r="F196" s="34"/>
      <c r="G196" s="34">
        <v>9.4158209999999995E-12</v>
      </c>
      <c r="H196" s="34">
        <v>7.978142E-11</v>
      </c>
      <c r="I196" s="18">
        <f t="shared" si="5"/>
        <v>245.13333333333333</v>
      </c>
      <c r="J196" s="33">
        <v>0.69363425925925926</v>
      </c>
      <c r="K196">
        <v>4</v>
      </c>
      <c r="L196">
        <v>38</v>
      </c>
      <c r="M196">
        <v>50</v>
      </c>
      <c r="N196">
        <f t="shared" si="6"/>
        <v>998.83333333333337</v>
      </c>
    </row>
    <row r="197" spans="1:14" x14ac:dyDescent="0.25">
      <c r="A197" t="s">
        <v>189</v>
      </c>
      <c r="B197">
        <v>13924</v>
      </c>
      <c r="C197" s="33">
        <v>0.69372685185185179</v>
      </c>
      <c r="D197" s="34">
        <v>2.222002E-10</v>
      </c>
      <c r="E197" s="34"/>
      <c r="F197" s="34"/>
      <c r="G197" s="34">
        <v>9.4197290000000001E-12</v>
      </c>
      <c r="H197" s="34">
        <v>7.9716749999999995E-11</v>
      </c>
      <c r="I197" s="18">
        <f t="shared" si="5"/>
        <v>245.26666666666665</v>
      </c>
      <c r="J197" s="33">
        <v>0.69372685185185179</v>
      </c>
      <c r="K197">
        <v>4</v>
      </c>
      <c r="L197">
        <v>38</v>
      </c>
      <c r="M197">
        <v>58</v>
      </c>
      <c r="N197">
        <f t="shared" si="6"/>
        <v>998.9666666666667</v>
      </c>
    </row>
    <row r="198" spans="1:14" x14ac:dyDescent="0.25">
      <c r="A198" t="s">
        <v>190</v>
      </c>
      <c r="B198">
        <v>13925</v>
      </c>
      <c r="C198" s="33">
        <v>0.69373842592592594</v>
      </c>
      <c r="D198" s="34">
        <v>2.2220890000000001E-10</v>
      </c>
      <c r="E198" s="34"/>
      <c r="F198" s="34"/>
      <c r="G198" s="34">
        <v>9.4173469999999999E-12</v>
      </c>
      <c r="H198" s="34">
        <v>7.9686239999999999E-11</v>
      </c>
      <c r="I198" s="18">
        <f t="shared" si="5"/>
        <v>245.2833333333333</v>
      </c>
      <c r="J198" s="33">
        <v>0.69373842592592594</v>
      </c>
      <c r="K198">
        <v>4</v>
      </c>
      <c r="L198">
        <v>38</v>
      </c>
      <c r="M198">
        <v>59</v>
      </c>
      <c r="N198">
        <f t="shared" si="6"/>
        <v>998.98333333333335</v>
      </c>
    </row>
    <row r="199" spans="1:14" x14ac:dyDescent="0.25">
      <c r="A199" t="s">
        <v>191</v>
      </c>
      <c r="B199">
        <v>14032</v>
      </c>
      <c r="C199" s="33">
        <v>0.69565972222222217</v>
      </c>
      <c r="D199" s="34">
        <v>2.1552920000000001E-10</v>
      </c>
      <c r="E199" s="34"/>
      <c r="F199" s="34"/>
      <c r="G199" s="34">
        <v>9.1632270000000006E-12</v>
      </c>
      <c r="H199" s="34">
        <v>4.790962E-11</v>
      </c>
      <c r="I199" s="18">
        <f t="shared" si="5"/>
        <v>248.04999999999995</v>
      </c>
      <c r="J199" s="33">
        <v>0.69565972222222217</v>
      </c>
      <c r="K199">
        <v>4</v>
      </c>
      <c r="L199">
        <v>41</v>
      </c>
      <c r="M199">
        <v>45</v>
      </c>
      <c r="N199">
        <f t="shared" si="6"/>
        <v>1001.75</v>
      </c>
    </row>
    <row r="200" spans="1:14" x14ac:dyDescent="0.25">
      <c r="A200" t="s">
        <v>192</v>
      </c>
      <c r="B200">
        <v>14035</v>
      </c>
      <c r="C200" s="33">
        <v>0.69570601851851854</v>
      </c>
      <c r="D200" s="34">
        <v>2.1530800000000001E-10</v>
      </c>
      <c r="E200" s="34"/>
      <c r="F200" s="34"/>
      <c r="G200" s="34">
        <v>9.1566670000000007E-12</v>
      </c>
      <c r="H200" s="34">
        <v>4.7767450000000002E-11</v>
      </c>
      <c r="I200" s="18">
        <f t="shared" si="5"/>
        <v>248.11666666666667</v>
      </c>
      <c r="J200" s="33">
        <v>0.69570601851851854</v>
      </c>
      <c r="K200">
        <v>4</v>
      </c>
      <c r="L200">
        <v>41</v>
      </c>
      <c r="M200">
        <v>49</v>
      </c>
      <c r="N200">
        <f t="shared" si="6"/>
        <v>1001.8166666666667</v>
      </c>
    </row>
    <row r="201" spans="1:14" x14ac:dyDescent="0.25">
      <c r="A201" t="s">
        <v>193</v>
      </c>
      <c r="B201">
        <v>14038</v>
      </c>
      <c r="C201" s="33">
        <v>0.69576388888888885</v>
      </c>
      <c r="D201" s="34">
        <v>2.1516090000000001E-10</v>
      </c>
      <c r="E201" s="34"/>
      <c r="F201" s="34"/>
      <c r="G201" s="34">
        <v>9.1584029999999995E-12</v>
      </c>
      <c r="H201" s="34">
        <v>4.7643120000000001E-11</v>
      </c>
      <c r="I201" s="18">
        <f t="shared" si="5"/>
        <v>248.19999999999993</v>
      </c>
      <c r="J201" s="33">
        <v>0.69576388888888885</v>
      </c>
      <c r="K201">
        <v>4</v>
      </c>
      <c r="L201">
        <v>41</v>
      </c>
      <c r="M201">
        <v>54</v>
      </c>
      <c r="N201">
        <f t="shared" si="6"/>
        <v>1001.9</v>
      </c>
    </row>
    <row r="202" spans="1:14" x14ac:dyDescent="0.25">
      <c r="A202" t="s">
        <v>194</v>
      </c>
      <c r="B202">
        <v>14116</v>
      </c>
      <c r="C202" s="33">
        <v>0.69715277777777773</v>
      </c>
      <c r="D202" s="34">
        <v>2.220316E-10</v>
      </c>
      <c r="E202" s="34"/>
      <c r="F202" s="34"/>
      <c r="G202" s="34">
        <v>9.3625610000000006E-12</v>
      </c>
      <c r="H202" s="34">
        <v>4.941451E-11</v>
      </c>
      <c r="I202" s="18">
        <f t="shared" si="5"/>
        <v>250.19999999999993</v>
      </c>
      <c r="J202" s="33">
        <v>0.69715277777777773</v>
      </c>
      <c r="K202">
        <v>4</v>
      </c>
      <c r="L202">
        <v>43</v>
      </c>
      <c r="M202">
        <v>54</v>
      </c>
      <c r="N202">
        <f t="shared" si="6"/>
        <v>1003.9</v>
      </c>
    </row>
    <row r="203" spans="1:14" x14ac:dyDescent="0.25">
      <c r="A203" t="s">
        <v>195</v>
      </c>
      <c r="B203">
        <v>14118</v>
      </c>
      <c r="C203" s="33">
        <v>0.69718749999999996</v>
      </c>
      <c r="D203" s="34">
        <v>2.2212860000000001E-10</v>
      </c>
      <c r="E203" s="34"/>
      <c r="F203" s="34"/>
      <c r="G203" s="34">
        <v>9.3631409999999994E-12</v>
      </c>
      <c r="H203" s="34">
        <v>4.9430690000000002E-11</v>
      </c>
      <c r="I203" s="18">
        <f t="shared" ref="I203:I206" si="7">N203-N$10</f>
        <v>250.25</v>
      </c>
      <c r="J203" s="33">
        <v>0.69718749999999996</v>
      </c>
      <c r="K203">
        <v>4</v>
      </c>
      <c r="L203">
        <v>43</v>
      </c>
      <c r="M203">
        <v>57</v>
      </c>
      <c r="N203">
        <f t="shared" ref="N203:N255" si="8">(12+K203)*60+L203+M203/60</f>
        <v>1003.95</v>
      </c>
    </row>
    <row r="204" spans="1:14" x14ac:dyDescent="0.25">
      <c r="A204" t="s">
        <v>196</v>
      </c>
      <c r="B204">
        <v>14120</v>
      </c>
      <c r="C204" s="33">
        <v>0.69722222222222219</v>
      </c>
      <c r="D204" s="34">
        <v>2.221353E-10</v>
      </c>
      <c r="E204" s="34"/>
      <c r="F204" s="34"/>
      <c r="G204" s="34">
        <v>9.3622569999999996E-12</v>
      </c>
      <c r="H204" s="34">
        <v>4.9431209999999998E-11</v>
      </c>
      <c r="I204" s="18">
        <f t="shared" si="7"/>
        <v>250.29999999999995</v>
      </c>
      <c r="J204" s="33">
        <v>0.69722222222222219</v>
      </c>
      <c r="K204">
        <v>4</v>
      </c>
      <c r="L204">
        <v>44</v>
      </c>
      <c r="M204">
        <v>0</v>
      </c>
      <c r="N204">
        <f t="shared" si="8"/>
        <v>1004</v>
      </c>
    </row>
    <row r="205" spans="1:14" x14ac:dyDescent="0.25">
      <c r="A205" t="s">
        <v>78</v>
      </c>
      <c r="B205">
        <v>14254</v>
      </c>
      <c r="C205" s="33">
        <v>0.69961805555555556</v>
      </c>
      <c r="D205" s="34">
        <v>2.4341900000000002E-10</v>
      </c>
      <c r="E205" s="34"/>
      <c r="F205" s="34"/>
      <c r="G205" s="34">
        <v>1.037584E-11</v>
      </c>
      <c r="H205" s="34">
        <v>1.140837E-10</v>
      </c>
      <c r="I205" s="18">
        <f t="shared" si="7"/>
        <v>253.75</v>
      </c>
      <c r="J205" s="33">
        <v>0.69961805555555556</v>
      </c>
      <c r="K205">
        <v>4</v>
      </c>
      <c r="L205">
        <v>47</v>
      </c>
      <c r="M205">
        <v>27</v>
      </c>
      <c r="N205">
        <f t="shared" si="8"/>
        <v>1007.45</v>
      </c>
    </row>
    <row r="206" spans="1:14" x14ac:dyDescent="0.25">
      <c r="A206" t="s">
        <v>78</v>
      </c>
      <c r="B206">
        <v>14256</v>
      </c>
      <c r="C206" s="33">
        <v>0.69965277777777779</v>
      </c>
      <c r="D206" s="34">
        <v>2.433758E-10</v>
      </c>
      <c r="E206" s="34"/>
      <c r="F206" s="34"/>
      <c r="G206" s="34">
        <v>1.0372550000000001E-11</v>
      </c>
      <c r="H206" s="34">
        <v>1.141152E-10</v>
      </c>
      <c r="I206" s="18">
        <f t="shared" si="7"/>
        <v>253.79999999999995</v>
      </c>
      <c r="J206" s="33">
        <v>0.69965277777777779</v>
      </c>
      <c r="K206">
        <v>4</v>
      </c>
      <c r="L206">
        <v>47</v>
      </c>
      <c r="M206">
        <v>30</v>
      </c>
      <c r="N206">
        <f t="shared" si="8"/>
        <v>1007.5</v>
      </c>
    </row>
    <row r="207" spans="1:14" x14ac:dyDescent="0.25">
      <c r="A207" t="s">
        <v>78</v>
      </c>
      <c r="B207">
        <v>14260</v>
      </c>
      <c r="C207" s="33">
        <v>0.69972222222222213</v>
      </c>
      <c r="D207" s="34">
        <v>2.4329770000000002E-10</v>
      </c>
      <c r="E207" s="34"/>
      <c r="F207" s="34"/>
      <c r="G207" s="34">
        <v>1.0355539999999999E-11</v>
      </c>
      <c r="H207" s="34">
        <v>1.1419060000000001E-10</v>
      </c>
      <c r="I207" s="18">
        <f>N207-N$10</f>
        <v>253.89999999999998</v>
      </c>
      <c r="J207" s="33">
        <v>0.69972222222222213</v>
      </c>
      <c r="K207">
        <v>4</v>
      </c>
      <c r="L207">
        <v>47</v>
      </c>
      <c r="M207">
        <v>36</v>
      </c>
      <c r="N207">
        <f t="shared" si="8"/>
        <v>1007.6</v>
      </c>
    </row>
    <row r="208" spans="1:14" x14ac:dyDescent="0.25">
      <c r="A208" t="s">
        <v>79</v>
      </c>
      <c r="B208">
        <v>14380</v>
      </c>
      <c r="C208" s="33">
        <v>0.70186342592592588</v>
      </c>
      <c r="D208" s="34">
        <v>2.0568919999999999E-10</v>
      </c>
      <c r="E208" s="34"/>
      <c r="F208" s="34"/>
      <c r="G208" s="34">
        <v>8.3924670000000004E-12</v>
      </c>
      <c r="H208" s="34">
        <v>9.5290569999999994E-11</v>
      </c>
      <c r="I208" s="18">
        <f t="shared" ref="I208:I255" si="9">N208-N$10</f>
        <v>256.98333333333323</v>
      </c>
      <c r="J208" s="33">
        <v>0.70186342592592588</v>
      </c>
      <c r="K208">
        <v>4</v>
      </c>
      <c r="L208">
        <v>50</v>
      </c>
      <c r="M208">
        <v>41</v>
      </c>
      <c r="N208">
        <f t="shared" si="8"/>
        <v>1010.6833333333333</v>
      </c>
    </row>
    <row r="209" spans="1:14" x14ac:dyDescent="0.25">
      <c r="A209" t="s">
        <v>79</v>
      </c>
      <c r="B209">
        <v>14383</v>
      </c>
      <c r="C209" s="33">
        <v>0.70192129629629629</v>
      </c>
      <c r="D209" s="34">
        <v>2.0560429999999999E-10</v>
      </c>
      <c r="E209" s="34"/>
      <c r="F209" s="34"/>
      <c r="G209" s="34">
        <v>8.3868119999999994E-12</v>
      </c>
      <c r="H209" s="34">
        <v>9.5274029999999998E-11</v>
      </c>
      <c r="I209" s="18">
        <f t="shared" si="9"/>
        <v>257.06666666666661</v>
      </c>
      <c r="J209" s="33">
        <v>0.70192129629629629</v>
      </c>
      <c r="K209">
        <v>4</v>
      </c>
      <c r="L209">
        <v>50</v>
      </c>
      <c r="M209">
        <v>46</v>
      </c>
      <c r="N209">
        <f t="shared" si="8"/>
        <v>1010.7666666666667</v>
      </c>
    </row>
    <row r="210" spans="1:14" x14ac:dyDescent="0.25">
      <c r="A210" t="s">
        <v>79</v>
      </c>
      <c r="B210">
        <v>14388</v>
      </c>
      <c r="C210" s="33">
        <v>0.70201388888888883</v>
      </c>
      <c r="D210" s="34">
        <v>2.0554939999999999E-10</v>
      </c>
      <c r="E210" s="34"/>
      <c r="F210" s="34"/>
      <c r="G210" s="34">
        <v>8.3811169999999996E-12</v>
      </c>
      <c r="H210" s="34">
        <v>9.5274690000000004E-11</v>
      </c>
      <c r="I210" s="18">
        <f t="shared" si="9"/>
        <v>257.19999999999993</v>
      </c>
      <c r="J210" s="33">
        <v>0.70201388888888883</v>
      </c>
      <c r="K210">
        <v>4</v>
      </c>
      <c r="L210">
        <v>50</v>
      </c>
      <c r="M210">
        <v>54</v>
      </c>
      <c r="N210">
        <f t="shared" si="8"/>
        <v>1010.9</v>
      </c>
    </row>
    <row r="211" spans="1:14" x14ac:dyDescent="0.25">
      <c r="A211" t="s">
        <v>197</v>
      </c>
      <c r="B211">
        <v>14488</v>
      </c>
      <c r="C211" s="33">
        <v>0.70379629629629625</v>
      </c>
      <c r="D211" s="34">
        <v>2.213827E-10</v>
      </c>
      <c r="E211" s="34"/>
      <c r="F211" s="34"/>
      <c r="G211" s="34">
        <v>9.3787060000000002E-12</v>
      </c>
      <c r="H211" s="34">
        <v>6.9876109999999999E-11</v>
      </c>
      <c r="I211" s="18">
        <f t="shared" si="9"/>
        <v>259.76666666666665</v>
      </c>
      <c r="J211" s="33">
        <v>0.70379629629629625</v>
      </c>
      <c r="K211">
        <v>4</v>
      </c>
      <c r="L211">
        <v>53</v>
      </c>
      <c r="M211">
        <v>28</v>
      </c>
      <c r="N211">
        <f t="shared" si="8"/>
        <v>1013.4666666666667</v>
      </c>
    </row>
    <row r="212" spans="1:14" x14ac:dyDescent="0.25">
      <c r="A212" t="s">
        <v>198</v>
      </c>
      <c r="B212">
        <v>14491</v>
      </c>
      <c r="C212" s="33">
        <v>0.70385416666666656</v>
      </c>
      <c r="D212" s="34">
        <v>2.2150130000000001E-10</v>
      </c>
      <c r="E212" s="34"/>
      <c r="F212" s="34"/>
      <c r="G212" s="34">
        <v>9.3752280000000007E-12</v>
      </c>
      <c r="H212" s="34">
        <v>6.9740840000000003E-11</v>
      </c>
      <c r="I212" s="18">
        <f t="shared" si="9"/>
        <v>259.84999999999991</v>
      </c>
      <c r="J212" s="33">
        <v>0.70385416666666656</v>
      </c>
      <c r="K212">
        <v>4</v>
      </c>
      <c r="L212">
        <v>53</v>
      </c>
      <c r="M212">
        <v>33</v>
      </c>
      <c r="N212">
        <f t="shared" si="8"/>
        <v>1013.55</v>
      </c>
    </row>
    <row r="213" spans="1:14" x14ac:dyDescent="0.25">
      <c r="A213" t="s">
        <v>199</v>
      </c>
      <c r="B213">
        <v>14493</v>
      </c>
      <c r="C213" s="33">
        <v>0.70388888888888879</v>
      </c>
      <c r="D213" s="34">
        <v>2.2150949999999999E-10</v>
      </c>
      <c r="E213" s="34"/>
      <c r="F213" s="34"/>
      <c r="G213" s="34">
        <v>9.3799570000000002E-12</v>
      </c>
      <c r="H213" s="34">
        <v>6.9645249999999998E-11</v>
      </c>
      <c r="I213" s="18">
        <f t="shared" si="9"/>
        <v>259.89999999999998</v>
      </c>
      <c r="J213" s="33">
        <v>0.70388888888888879</v>
      </c>
      <c r="K213">
        <v>4</v>
      </c>
      <c r="L213">
        <v>53</v>
      </c>
      <c r="M213">
        <v>36</v>
      </c>
      <c r="N213">
        <f t="shared" si="8"/>
        <v>1013.6</v>
      </c>
    </row>
    <row r="214" spans="1:14" x14ac:dyDescent="0.25">
      <c r="A214" t="s">
        <v>200</v>
      </c>
      <c r="B214">
        <v>14612</v>
      </c>
      <c r="C214" s="33">
        <v>0.70600694444444434</v>
      </c>
      <c r="D214" s="34">
        <v>2.2204429999999999E-10</v>
      </c>
      <c r="E214" s="34"/>
      <c r="F214" s="34"/>
      <c r="G214" s="34">
        <v>9.3875599999999996E-12</v>
      </c>
      <c r="H214" s="34">
        <v>9.0556120000000005E-11</v>
      </c>
      <c r="I214" s="18">
        <f t="shared" si="9"/>
        <v>262.94999999999993</v>
      </c>
      <c r="J214" s="33">
        <v>0.70600694444444434</v>
      </c>
      <c r="K214">
        <v>4</v>
      </c>
      <c r="L214">
        <v>56</v>
      </c>
      <c r="M214">
        <v>39</v>
      </c>
      <c r="N214">
        <f t="shared" si="8"/>
        <v>1016.65</v>
      </c>
    </row>
    <row r="215" spans="1:14" x14ac:dyDescent="0.25">
      <c r="A215" t="s">
        <v>201</v>
      </c>
      <c r="B215">
        <v>14614</v>
      </c>
      <c r="C215" s="33">
        <v>0.70604166666666657</v>
      </c>
      <c r="D215" s="34">
        <v>2.2202490000000001E-10</v>
      </c>
      <c r="E215" s="34"/>
      <c r="F215" s="34"/>
      <c r="G215" s="34">
        <v>9.3897580000000002E-12</v>
      </c>
      <c r="H215" s="34">
        <v>9.0594270000000003E-11</v>
      </c>
      <c r="I215" s="18">
        <f t="shared" si="9"/>
        <v>263</v>
      </c>
      <c r="J215" s="33">
        <v>0.70604166666666657</v>
      </c>
      <c r="K215">
        <v>4</v>
      </c>
      <c r="L215">
        <v>56</v>
      </c>
      <c r="M215">
        <v>42</v>
      </c>
      <c r="N215">
        <f t="shared" si="8"/>
        <v>1016.7</v>
      </c>
    </row>
    <row r="216" spans="1:14" x14ac:dyDescent="0.25">
      <c r="A216" t="s">
        <v>202</v>
      </c>
      <c r="B216">
        <v>14618</v>
      </c>
      <c r="C216" s="33">
        <v>0.70612268518518517</v>
      </c>
      <c r="D216" s="34">
        <v>2.2201160000000001E-10</v>
      </c>
      <c r="E216" s="34"/>
      <c r="F216" s="34"/>
      <c r="G216" s="34">
        <v>9.3895460000000006E-12</v>
      </c>
      <c r="H216" s="34">
        <v>9.0632389999999998E-11</v>
      </c>
      <c r="I216" s="18">
        <f t="shared" si="9"/>
        <v>263.11666666666667</v>
      </c>
      <c r="J216" s="33">
        <v>0.70612268518518517</v>
      </c>
      <c r="K216">
        <v>4</v>
      </c>
      <c r="L216">
        <v>56</v>
      </c>
      <c r="M216">
        <v>49</v>
      </c>
      <c r="N216">
        <f t="shared" si="8"/>
        <v>1016.8166666666667</v>
      </c>
    </row>
    <row r="217" spans="1:14" x14ac:dyDescent="0.25">
      <c r="A217" t="s">
        <v>203</v>
      </c>
      <c r="B217">
        <v>14724</v>
      </c>
      <c r="C217" s="33">
        <v>0.70800925925925917</v>
      </c>
      <c r="D217" s="34">
        <v>2.1818209999999999E-10</v>
      </c>
      <c r="E217" s="34"/>
      <c r="F217" s="34"/>
      <c r="G217" s="34">
        <v>9.1656039999999995E-12</v>
      </c>
      <c r="H217" s="34">
        <v>7.0692829999999996E-11</v>
      </c>
      <c r="I217" s="18">
        <f t="shared" si="9"/>
        <v>265.83333333333326</v>
      </c>
      <c r="J217" s="33">
        <v>0.70800925925925917</v>
      </c>
      <c r="K217">
        <v>4</v>
      </c>
      <c r="L217">
        <v>59</v>
      </c>
      <c r="M217">
        <v>32</v>
      </c>
      <c r="N217">
        <f t="shared" si="8"/>
        <v>1019.5333333333333</v>
      </c>
    </row>
    <row r="218" spans="1:14" x14ac:dyDescent="0.25">
      <c r="A218" t="s">
        <v>204</v>
      </c>
      <c r="B218">
        <v>14727</v>
      </c>
      <c r="C218" s="33">
        <v>0.70806712962962959</v>
      </c>
      <c r="D218" s="34">
        <v>2.1817659999999999E-10</v>
      </c>
      <c r="E218" s="34"/>
      <c r="F218" s="34"/>
      <c r="G218" s="34">
        <v>9.1663720000000002E-12</v>
      </c>
      <c r="H218" s="34">
        <v>7.0600060000000003E-11</v>
      </c>
      <c r="I218" s="18">
        <f t="shared" si="9"/>
        <v>265.91666666666663</v>
      </c>
      <c r="J218" s="33">
        <v>0.70806712962962959</v>
      </c>
      <c r="K218">
        <v>4</v>
      </c>
      <c r="L218">
        <v>59</v>
      </c>
      <c r="M218">
        <v>37</v>
      </c>
      <c r="N218">
        <f t="shared" si="8"/>
        <v>1019.6166666666667</v>
      </c>
    </row>
    <row r="219" spans="1:14" x14ac:dyDescent="0.25">
      <c r="A219" t="s">
        <v>205</v>
      </c>
      <c r="B219">
        <v>14730</v>
      </c>
      <c r="C219" s="33">
        <v>0.70811342592592585</v>
      </c>
      <c r="D219" s="34">
        <v>2.182007E-10</v>
      </c>
      <c r="E219" s="34"/>
      <c r="F219" s="34"/>
      <c r="G219" s="34">
        <v>9.1637989999999996E-12</v>
      </c>
      <c r="H219" s="34">
        <v>7.0522210000000002E-11</v>
      </c>
      <c r="I219" s="18">
        <f t="shared" si="9"/>
        <v>265.98333333333323</v>
      </c>
      <c r="J219" s="33">
        <v>0.70811342592592585</v>
      </c>
      <c r="K219">
        <v>4</v>
      </c>
      <c r="L219">
        <v>59</v>
      </c>
      <c r="M219">
        <v>41</v>
      </c>
      <c r="N219">
        <f t="shared" si="8"/>
        <v>1019.6833333333333</v>
      </c>
    </row>
    <row r="220" spans="1:14" x14ac:dyDescent="0.25">
      <c r="A220" t="s">
        <v>78</v>
      </c>
      <c r="B220">
        <v>14834</v>
      </c>
      <c r="C220" s="33">
        <v>0.70997685185185189</v>
      </c>
      <c r="D220" s="34">
        <v>2.4111449999999999E-10</v>
      </c>
      <c r="E220" s="34"/>
      <c r="F220" s="34"/>
      <c r="G220" s="34">
        <v>1.027097E-11</v>
      </c>
      <c r="H220" s="34">
        <v>1.134566E-10</v>
      </c>
      <c r="I220" s="18">
        <f t="shared" si="9"/>
        <v>268.66666666666663</v>
      </c>
      <c r="J220" s="33">
        <v>0.70997685185185189</v>
      </c>
      <c r="K220">
        <v>5</v>
      </c>
      <c r="L220">
        <v>2</v>
      </c>
      <c r="M220">
        <v>22</v>
      </c>
      <c r="N220">
        <f t="shared" si="8"/>
        <v>1022.3666666666667</v>
      </c>
    </row>
    <row r="221" spans="1:14" x14ac:dyDescent="0.25">
      <c r="A221" t="s">
        <v>78</v>
      </c>
      <c r="B221">
        <v>14839</v>
      </c>
      <c r="C221" s="33">
        <v>0.71005787037037038</v>
      </c>
      <c r="D221" s="34">
        <v>2.409864E-10</v>
      </c>
      <c r="E221" s="34"/>
      <c r="F221" s="34"/>
      <c r="G221" s="34">
        <v>1.026911E-11</v>
      </c>
      <c r="H221" s="34">
        <v>1.1360910000000001E-10</v>
      </c>
      <c r="I221" s="18">
        <f t="shared" si="9"/>
        <v>268.7833333333333</v>
      </c>
      <c r="J221" s="33">
        <v>0.71005787037037038</v>
      </c>
      <c r="K221">
        <v>5</v>
      </c>
      <c r="L221">
        <v>2</v>
      </c>
      <c r="M221">
        <v>29</v>
      </c>
      <c r="N221">
        <f t="shared" si="8"/>
        <v>1022.4833333333333</v>
      </c>
    </row>
    <row r="222" spans="1:14" x14ac:dyDescent="0.25">
      <c r="A222" t="s">
        <v>78</v>
      </c>
      <c r="B222">
        <v>14843</v>
      </c>
      <c r="C222" s="33">
        <v>0.71013888888888888</v>
      </c>
      <c r="D222" s="34">
        <v>2.4097770000000002E-10</v>
      </c>
      <c r="E222" s="34"/>
      <c r="F222" s="34"/>
      <c r="G222" s="34">
        <v>1.027228E-11</v>
      </c>
      <c r="H222" s="34">
        <v>1.137761E-10</v>
      </c>
      <c r="I222" s="18">
        <f t="shared" si="9"/>
        <v>268.89999999999998</v>
      </c>
      <c r="J222" s="33">
        <v>0.71013888888888888</v>
      </c>
      <c r="K222">
        <v>5</v>
      </c>
      <c r="L222">
        <v>2</v>
      </c>
      <c r="M222">
        <v>36</v>
      </c>
      <c r="N222">
        <f t="shared" si="8"/>
        <v>1022.6</v>
      </c>
    </row>
    <row r="223" spans="1:14" x14ac:dyDescent="0.25">
      <c r="A223" t="s">
        <v>79</v>
      </c>
      <c r="B223">
        <v>14947</v>
      </c>
      <c r="C223" s="33">
        <v>0.71199074074074076</v>
      </c>
      <c r="D223" s="34">
        <v>2.040666E-10</v>
      </c>
      <c r="E223" s="34"/>
      <c r="F223" s="34"/>
      <c r="G223" s="34">
        <v>8.3271790000000003E-12</v>
      </c>
      <c r="H223" s="34">
        <v>9.4972839999999994E-11</v>
      </c>
      <c r="I223" s="18">
        <f t="shared" si="9"/>
        <v>271.56666666666661</v>
      </c>
      <c r="J223" s="33">
        <v>0.71199074074074076</v>
      </c>
      <c r="K223">
        <v>5</v>
      </c>
      <c r="L223">
        <v>5</v>
      </c>
      <c r="M223">
        <v>16</v>
      </c>
      <c r="N223">
        <f t="shared" si="8"/>
        <v>1025.2666666666667</v>
      </c>
    </row>
    <row r="224" spans="1:14" x14ac:dyDescent="0.25">
      <c r="A224" t="s">
        <v>79</v>
      </c>
      <c r="B224">
        <v>14949</v>
      </c>
      <c r="C224" s="33">
        <v>0.71202546296296299</v>
      </c>
      <c r="D224" s="34">
        <v>2.0398789999999999E-10</v>
      </c>
      <c r="E224" s="34"/>
      <c r="F224" s="34"/>
      <c r="G224" s="34">
        <v>8.3231300000000007E-12</v>
      </c>
      <c r="H224" s="34">
        <v>9.4935850000000006E-11</v>
      </c>
      <c r="I224" s="18">
        <f t="shared" si="9"/>
        <v>271.61666666666656</v>
      </c>
      <c r="J224" s="33">
        <v>0.71202546296296299</v>
      </c>
      <c r="K224">
        <v>5</v>
      </c>
      <c r="L224">
        <v>5</v>
      </c>
      <c r="M224">
        <v>19</v>
      </c>
      <c r="N224">
        <f t="shared" si="8"/>
        <v>1025.3166666666666</v>
      </c>
    </row>
    <row r="225" spans="1:14" x14ac:dyDescent="0.25">
      <c r="A225" t="s">
        <v>79</v>
      </c>
      <c r="B225">
        <v>14952</v>
      </c>
      <c r="C225" s="33">
        <v>0.7120833333333334</v>
      </c>
      <c r="D225" s="34">
        <v>2.038371E-10</v>
      </c>
      <c r="E225" s="34"/>
      <c r="F225" s="34"/>
      <c r="G225" s="34">
        <v>8.3225799999999999E-12</v>
      </c>
      <c r="H225" s="34">
        <v>9.4883729999999994E-11</v>
      </c>
      <c r="I225" s="18">
        <f t="shared" si="9"/>
        <v>271.70000000000005</v>
      </c>
      <c r="J225" s="33">
        <v>0.7120833333333334</v>
      </c>
      <c r="K225">
        <v>5</v>
      </c>
      <c r="L225">
        <v>5</v>
      </c>
      <c r="M225">
        <v>24</v>
      </c>
      <c r="N225">
        <f t="shared" si="8"/>
        <v>1025.4000000000001</v>
      </c>
    </row>
    <row r="226" spans="1:14" x14ac:dyDescent="0.25">
      <c r="A226" t="s">
        <v>206</v>
      </c>
      <c r="B226">
        <v>15090</v>
      </c>
      <c r="C226" s="33">
        <v>0.71454861111111112</v>
      </c>
      <c r="D226" s="34">
        <v>2.160591E-10</v>
      </c>
      <c r="E226" s="34"/>
      <c r="F226" s="34"/>
      <c r="G226" s="34">
        <v>9.0568919999999997E-12</v>
      </c>
      <c r="H226" s="34">
        <v>6.7040260000000003E-11</v>
      </c>
      <c r="I226" s="18">
        <f t="shared" si="9"/>
        <v>275.25</v>
      </c>
      <c r="J226" s="33">
        <v>0.71454861111111112</v>
      </c>
      <c r="K226">
        <v>5</v>
      </c>
      <c r="L226">
        <v>8</v>
      </c>
      <c r="M226">
        <v>57</v>
      </c>
      <c r="N226">
        <f t="shared" si="8"/>
        <v>1028.95</v>
      </c>
    </row>
    <row r="227" spans="1:14" x14ac:dyDescent="0.25">
      <c r="A227" t="s">
        <v>207</v>
      </c>
      <c r="B227">
        <v>15092</v>
      </c>
      <c r="C227" s="33">
        <v>0.71458333333333335</v>
      </c>
      <c r="D227" s="34">
        <v>2.1608280000000001E-10</v>
      </c>
      <c r="E227" s="34"/>
      <c r="F227" s="34"/>
      <c r="G227" s="34">
        <v>9.0545239999999996E-12</v>
      </c>
      <c r="H227" s="34">
        <v>6.7017450000000006E-11</v>
      </c>
      <c r="I227" s="18">
        <f t="shared" si="9"/>
        <v>275.29999999999995</v>
      </c>
      <c r="J227" s="33">
        <v>0.71458333333333335</v>
      </c>
      <c r="K227">
        <v>5</v>
      </c>
      <c r="L227">
        <v>9</v>
      </c>
      <c r="M227">
        <v>0</v>
      </c>
      <c r="N227">
        <f t="shared" si="8"/>
        <v>1029</v>
      </c>
    </row>
    <row r="228" spans="1:14" x14ac:dyDescent="0.25">
      <c r="A228" t="s">
        <v>208</v>
      </c>
      <c r="B228">
        <v>15095</v>
      </c>
      <c r="C228" s="33">
        <v>0.71462962962962961</v>
      </c>
      <c r="D228" s="34">
        <v>2.1615190000000001E-10</v>
      </c>
      <c r="E228" s="34"/>
      <c r="F228" s="34"/>
      <c r="G228" s="34">
        <v>9.0583710000000005E-12</v>
      </c>
      <c r="H228" s="34">
        <v>6.6964189999999996E-11</v>
      </c>
      <c r="I228" s="18">
        <f t="shared" si="9"/>
        <v>275.36666666666656</v>
      </c>
      <c r="J228" s="33">
        <v>0.71462962962962961</v>
      </c>
      <c r="K228">
        <v>5</v>
      </c>
      <c r="L228">
        <v>9</v>
      </c>
      <c r="M228">
        <v>4</v>
      </c>
      <c r="N228">
        <f t="shared" si="8"/>
        <v>1029.0666666666666</v>
      </c>
    </row>
    <row r="229" spans="1:14" x14ac:dyDescent="0.25">
      <c r="A229" t="s">
        <v>209</v>
      </c>
      <c r="B229">
        <v>15201</v>
      </c>
      <c r="C229" s="33">
        <v>0.71652777777777776</v>
      </c>
      <c r="D229" s="34">
        <v>2.1207880000000001E-10</v>
      </c>
      <c r="E229" s="34"/>
      <c r="F229" s="34"/>
      <c r="G229" s="34">
        <v>8.9040960000000005E-12</v>
      </c>
      <c r="H229" s="34">
        <v>4.8005800000000003E-11</v>
      </c>
      <c r="I229" s="18">
        <f t="shared" si="9"/>
        <v>278.09999999999991</v>
      </c>
      <c r="J229" s="33">
        <v>0.71652777777777776</v>
      </c>
      <c r="K229">
        <v>5</v>
      </c>
      <c r="L229">
        <v>11</v>
      </c>
      <c r="M229">
        <v>48</v>
      </c>
      <c r="N229">
        <f t="shared" si="8"/>
        <v>1031.8</v>
      </c>
    </row>
    <row r="230" spans="1:14" x14ac:dyDescent="0.25">
      <c r="A230" t="s">
        <v>210</v>
      </c>
      <c r="B230">
        <v>15204</v>
      </c>
      <c r="C230" s="33">
        <v>0.71658564814814818</v>
      </c>
      <c r="D230" s="34">
        <v>2.1208820000000001E-10</v>
      </c>
      <c r="E230" s="34"/>
      <c r="F230" s="34"/>
      <c r="G230" s="34">
        <v>8.9040620000000003E-12</v>
      </c>
      <c r="H230" s="34">
        <v>4.7920799999999998E-11</v>
      </c>
      <c r="I230" s="18">
        <f t="shared" si="9"/>
        <v>278.18333333333339</v>
      </c>
      <c r="J230" s="33">
        <v>0.71658564814814818</v>
      </c>
      <c r="K230">
        <v>5</v>
      </c>
      <c r="L230">
        <v>11</v>
      </c>
      <c r="M230">
        <v>53</v>
      </c>
      <c r="N230">
        <f t="shared" si="8"/>
        <v>1031.8833333333334</v>
      </c>
    </row>
    <row r="231" spans="1:14" x14ac:dyDescent="0.25">
      <c r="A231" t="s">
        <v>211</v>
      </c>
      <c r="B231">
        <v>15207</v>
      </c>
      <c r="C231" s="33">
        <v>0.71663194444444445</v>
      </c>
      <c r="D231" s="34">
        <v>2.1209380000000001E-10</v>
      </c>
      <c r="E231" s="34"/>
      <c r="F231" s="34"/>
      <c r="G231" s="34">
        <v>8.9079500000000006E-12</v>
      </c>
      <c r="H231" s="34">
        <v>4.7835069999999997E-11</v>
      </c>
      <c r="I231" s="18">
        <f t="shared" si="9"/>
        <v>278.25</v>
      </c>
      <c r="J231" s="33">
        <v>0.71663194444444445</v>
      </c>
      <c r="K231">
        <v>5</v>
      </c>
      <c r="L231">
        <v>11</v>
      </c>
      <c r="M231">
        <v>57</v>
      </c>
      <c r="N231">
        <f t="shared" si="8"/>
        <v>1031.95</v>
      </c>
    </row>
    <row r="232" spans="1:14" x14ac:dyDescent="0.25">
      <c r="A232" t="s">
        <v>212</v>
      </c>
      <c r="B232">
        <v>15336</v>
      </c>
      <c r="C232" s="33">
        <v>0.71893518518518518</v>
      </c>
      <c r="D232" s="34">
        <v>2.16747E-10</v>
      </c>
      <c r="E232" s="34"/>
      <c r="F232" s="34"/>
      <c r="G232" s="34">
        <v>9.0357690000000006E-12</v>
      </c>
      <c r="H232" s="34">
        <v>7.3540779999999997E-11</v>
      </c>
      <c r="I232" s="18">
        <f t="shared" si="9"/>
        <v>281.56666666666661</v>
      </c>
      <c r="J232" s="33">
        <v>0.71893518518518518</v>
      </c>
      <c r="K232">
        <v>5</v>
      </c>
      <c r="L232">
        <v>15</v>
      </c>
      <c r="M232">
        <v>16</v>
      </c>
      <c r="N232">
        <f t="shared" si="8"/>
        <v>1035.2666666666667</v>
      </c>
    </row>
    <row r="233" spans="1:14" x14ac:dyDescent="0.25">
      <c r="A233" t="s">
        <v>213</v>
      </c>
      <c r="B233">
        <v>15339</v>
      </c>
      <c r="C233" s="33">
        <v>0.71899305555555559</v>
      </c>
      <c r="D233" s="34">
        <v>2.167058E-10</v>
      </c>
      <c r="E233" s="34"/>
      <c r="F233" s="34"/>
      <c r="G233" s="34">
        <v>9.0320550000000005E-12</v>
      </c>
      <c r="H233" s="34">
        <v>7.356369E-11</v>
      </c>
      <c r="I233" s="18">
        <f t="shared" si="9"/>
        <v>281.64999999999986</v>
      </c>
      <c r="J233" s="33">
        <v>0.71899305555555559</v>
      </c>
      <c r="K233">
        <v>5</v>
      </c>
      <c r="L233">
        <v>15</v>
      </c>
      <c r="M233">
        <v>21</v>
      </c>
      <c r="N233">
        <f t="shared" si="8"/>
        <v>1035.3499999999999</v>
      </c>
    </row>
    <row r="234" spans="1:14" x14ac:dyDescent="0.25">
      <c r="A234" t="s">
        <v>214</v>
      </c>
      <c r="B234">
        <v>15341</v>
      </c>
      <c r="C234" s="33">
        <v>0.71902777777777782</v>
      </c>
      <c r="D234" s="34">
        <v>2.1665920000000001E-10</v>
      </c>
      <c r="E234" s="34"/>
      <c r="F234" s="34"/>
      <c r="G234" s="34">
        <v>9.0303610000000001E-12</v>
      </c>
      <c r="H234" s="34">
        <v>7.3601850000000005E-11</v>
      </c>
      <c r="I234" s="18">
        <f t="shared" si="9"/>
        <v>281.70000000000005</v>
      </c>
      <c r="J234" s="33">
        <v>0.71902777777777782</v>
      </c>
      <c r="K234">
        <v>5</v>
      </c>
      <c r="L234">
        <v>15</v>
      </c>
      <c r="M234">
        <v>24</v>
      </c>
      <c r="N234">
        <f t="shared" si="8"/>
        <v>1035.4000000000001</v>
      </c>
    </row>
    <row r="235" spans="1:14" x14ac:dyDescent="0.25">
      <c r="A235" t="s">
        <v>78</v>
      </c>
      <c r="B235">
        <v>15438</v>
      </c>
      <c r="C235" s="33">
        <v>0.72076388888888887</v>
      </c>
      <c r="D235" s="34">
        <v>2.3998840000000002E-10</v>
      </c>
      <c r="E235" s="34"/>
      <c r="F235" s="34"/>
      <c r="G235" s="34">
        <v>1.023822E-11</v>
      </c>
      <c r="H235" s="34">
        <v>1.119744E-10</v>
      </c>
      <c r="I235" s="18">
        <f t="shared" si="9"/>
        <v>284.20000000000005</v>
      </c>
      <c r="J235" s="33">
        <v>0.72076388888888887</v>
      </c>
      <c r="K235">
        <v>5</v>
      </c>
      <c r="L235">
        <v>17</v>
      </c>
      <c r="M235">
        <v>54</v>
      </c>
      <c r="N235">
        <f t="shared" si="8"/>
        <v>1037.9000000000001</v>
      </c>
    </row>
    <row r="236" spans="1:14" x14ac:dyDescent="0.25">
      <c r="A236" t="s">
        <v>78</v>
      </c>
      <c r="B236">
        <v>15439</v>
      </c>
      <c r="C236" s="33">
        <v>0.72077546296296291</v>
      </c>
      <c r="D236" s="34">
        <v>2.4003380000000002E-10</v>
      </c>
      <c r="E236" s="34"/>
      <c r="F236" s="34"/>
      <c r="G236" s="34">
        <v>1.023162E-11</v>
      </c>
      <c r="H236" s="34">
        <v>1.1203760000000001E-10</v>
      </c>
      <c r="I236" s="18">
        <f t="shared" si="9"/>
        <v>284.2166666666667</v>
      </c>
      <c r="J236" s="33">
        <v>0.72077546296296291</v>
      </c>
      <c r="K236">
        <v>5</v>
      </c>
      <c r="L236">
        <v>17</v>
      </c>
      <c r="M236">
        <v>55</v>
      </c>
      <c r="N236">
        <f t="shared" si="8"/>
        <v>1037.9166666666667</v>
      </c>
    </row>
    <row r="237" spans="1:14" x14ac:dyDescent="0.25">
      <c r="A237" t="s">
        <v>78</v>
      </c>
      <c r="B237">
        <v>15442</v>
      </c>
      <c r="C237" s="33">
        <v>0.72083333333333333</v>
      </c>
      <c r="D237" s="34">
        <v>2.3999650000000002E-10</v>
      </c>
      <c r="E237" s="34"/>
      <c r="F237" s="34"/>
      <c r="G237" s="34">
        <v>1.023648E-11</v>
      </c>
      <c r="H237" s="34">
        <v>1.1222589999999999E-10</v>
      </c>
      <c r="I237" s="18">
        <f t="shared" si="9"/>
        <v>284.29999999999995</v>
      </c>
      <c r="J237" s="33">
        <v>0.72083333333333333</v>
      </c>
      <c r="K237">
        <v>5</v>
      </c>
      <c r="L237">
        <v>18</v>
      </c>
      <c r="M237">
        <v>0</v>
      </c>
      <c r="N237">
        <f t="shared" si="8"/>
        <v>1038</v>
      </c>
    </row>
    <row r="238" spans="1:14" x14ac:dyDescent="0.25">
      <c r="A238" t="s">
        <v>79</v>
      </c>
      <c r="B238">
        <v>15562</v>
      </c>
      <c r="C238" s="33">
        <v>0.72297453703703707</v>
      </c>
      <c r="D238" s="34">
        <v>2.0232300000000001E-10</v>
      </c>
      <c r="E238" s="34"/>
      <c r="F238" s="34"/>
      <c r="G238" s="34">
        <v>8.267362E-12</v>
      </c>
      <c r="H238" s="34">
        <v>9.3971719999999997E-11</v>
      </c>
      <c r="I238" s="18">
        <f t="shared" si="9"/>
        <v>287.38333333333321</v>
      </c>
      <c r="J238" s="33">
        <v>0.72297453703703707</v>
      </c>
      <c r="K238">
        <v>5</v>
      </c>
      <c r="L238">
        <v>21</v>
      </c>
      <c r="M238">
        <v>5</v>
      </c>
      <c r="N238">
        <f t="shared" si="8"/>
        <v>1041.0833333333333</v>
      </c>
    </row>
    <row r="239" spans="1:14" x14ac:dyDescent="0.25">
      <c r="A239" t="s">
        <v>79</v>
      </c>
      <c r="B239">
        <v>15565</v>
      </c>
      <c r="C239" s="33">
        <v>0.72302083333333333</v>
      </c>
      <c r="D239" s="34">
        <v>2.0223300000000001E-10</v>
      </c>
      <c r="E239" s="34"/>
      <c r="F239" s="34"/>
      <c r="G239" s="34">
        <v>8.2656009999999996E-12</v>
      </c>
      <c r="H239" s="34">
        <v>9.3947620000000005E-11</v>
      </c>
      <c r="I239" s="18">
        <f t="shared" si="9"/>
        <v>287.45000000000005</v>
      </c>
      <c r="J239" s="33">
        <v>0.72302083333333333</v>
      </c>
      <c r="K239">
        <v>5</v>
      </c>
      <c r="L239">
        <v>21</v>
      </c>
      <c r="M239">
        <v>9</v>
      </c>
      <c r="N239">
        <f t="shared" si="8"/>
        <v>1041.1500000000001</v>
      </c>
    </row>
    <row r="240" spans="1:14" x14ac:dyDescent="0.25">
      <c r="A240" t="s">
        <v>79</v>
      </c>
      <c r="B240">
        <v>15567</v>
      </c>
      <c r="C240" s="33">
        <v>0.7230671296296296</v>
      </c>
      <c r="D240" s="34">
        <v>2.0216149999999999E-10</v>
      </c>
      <c r="E240" s="34"/>
      <c r="F240" s="34"/>
      <c r="G240" s="34">
        <v>8.2614699999999995E-12</v>
      </c>
      <c r="H240" s="34">
        <v>9.3901200000000001E-11</v>
      </c>
      <c r="I240" s="18">
        <f t="shared" si="9"/>
        <v>287.51666666666665</v>
      </c>
      <c r="J240" s="33">
        <v>0.7230671296296296</v>
      </c>
      <c r="K240">
        <v>5</v>
      </c>
      <c r="L240">
        <v>21</v>
      </c>
      <c r="M240">
        <v>13</v>
      </c>
      <c r="N240">
        <f t="shared" si="8"/>
        <v>1041.2166666666667</v>
      </c>
    </row>
    <row r="241" spans="1:14" x14ac:dyDescent="0.25">
      <c r="A241" t="s">
        <v>215</v>
      </c>
      <c r="B241">
        <v>15698</v>
      </c>
      <c r="C241" s="33">
        <v>0.72540509259259267</v>
      </c>
      <c r="D241" s="34">
        <v>2.1406309999999999E-10</v>
      </c>
      <c r="E241" s="34"/>
      <c r="F241" s="34"/>
      <c r="G241" s="34">
        <v>8.9462289999999998E-12</v>
      </c>
      <c r="H241" s="34">
        <v>6.3791079999999997E-11</v>
      </c>
      <c r="I241" s="18">
        <f t="shared" si="9"/>
        <v>290.88333333333321</v>
      </c>
      <c r="J241" s="33">
        <v>0.72540509259259267</v>
      </c>
      <c r="K241">
        <v>5</v>
      </c>
      <c r="L241">
        <v>24</v>
      </c>
      <c r="M241">
        <v>35</v>
      </c>
      <c r="N241">
        <f t="shared" si="8"/>
        <v>1044.5833333333333</v>
      </c>
    </row>
    <row r="242" spans="1:14" x14ac:dyDescent="0.25">
      <c r="A242" t="s">
        <v>216</v>
      </c>
      <c r="B242">
        <v>15702</v>
      </c>
      <c r="C242" s="33">
        <v>0.72547453703703713</v>
      </c>
      <c r="D242" s="34">
        <v>2.1412789999999999E-10</v>
      </c>
      <c r="E242" s="34"/>
      <c r="F242" s="34"/>
      <c r="G242" s="34">
        <v>8.9491079999999993E-12</v>
      </c>
      <c r="H242" s="34">
        <v>6.3721249999999999E-11</v>
      </c>
      <c r="I242" s="18">
        <f t="shared" si="9"/>
        <v>290.98333333333335</v>
      </c>
      <c r="J242" s="33">
        <v>0.72547453703703713</v>
      </c>
      <c r="K242">
        <v>5</v>
      </c>
      <c r="L242">
        <v>24</v>
      </c>
      <c r="M242">
        <v>41</v>
      </c>
      <c r="N242">
        <f t="shared" si="8"/>
        <v>1044.6833333333334</v>
      </c>
    </row>
    <row r="243" spans="1:14" x14ac:dyDescent="0.25">
      <c r="A243" t="s">
        <v>217</v>
      </c>
      <c r="B243">
        <v>15704</v>
      </c>
      <c r="C243" s="33">
        <v>0.72550925925925935</v>
      </c>
      <c r="D243" s="34">
        <v>2.1416340000000001E-10</v>
      </c>
      <c r="E243" s="34"/>
      <c r="F243" s="34"/>
      <c r="G243" s="34">
        <v>8.9462720000000004E-12</v>
      </c>
      <c r="H243" s="34">
        <v>6.3675880000000006E-11</v>
      </c>
      <c r="I243" s="18">
        <f t="shared" si="9"/>
        <v>291.0333333333333</v>
      </c>
      <c r="J243" s="33">
        <v>0.72550925925925935</v>
      </c>
      <c r="K243">
        <v>5</v>
      </c>
      <c r="L243">
        <v>24</v>
      </c>
      <c r="M243">
        <v>44</v>
      </c>
      <c r="N243">
        <f t="shared" si="8"/>
        <v>1044.7333333333333</v>
      </c>
    </row>
    <row r="244" spans="1:14" x14ac:dyDescent="0.25">
      <c r="A244" t="s">
        <v>218</v>
      </c>
      <c r="B244">
        <v>15782</v>
      </c>
      <c r="C244" s="33">
        <v>0.72689814814814824</v>
      </c>
      <c r="D244" s="34">
        <v>2.1562440000000001E-10</v>
      </c>
      <c r="E244" s="34"/>
      <c r="F244" s="34"/>
      <c r="G244" s="34">
        <v>8.9897300000000003E-12</v>
      </c>
      <c r="H244" s="34">
        <v>6.5693550000000002E-11</v>
      </c>
      <c r="I244" s="18">
        <f t="shared" si="9"/>
        <v>293.0333333333333</v>
      </c>
      <c r="J244" s="33">
        <v>0.72689814814814824</v>
      </c>
      <c r="K244">
        <v>5</v>
      </c>
      <c r="L244">
        <v>26</v>
      </c>
      <c r="M244">
        <v>44</v>
      </c>
      <c r="N244">
        <f t="shared" si="8"/>
        <v>1046.7333333333333</v>
      </c>
    </row>
    <row r="245" spans="1:14" x14ac:dyDescent="0.25">
      <c r="A245" t="s">
        <v>219</v>
      </c>
      <c r="B245">
        <v>15785</v>
      </c>
      <c r="C245" s="33">
        <v>0.72695601851851865</v>
      </c>
      <c r="D245" s="34">
        <v>2.1565199999999999E-10</v>
      </c>
      <c r="E245" s="34"/>
      <c r="F245" s="34"/>
      <c r="G245" s="34">
        <v>8.9874229999999998E-12</v>
      </c>
      <c r="H245" s="34">
        <v>6.5716050000000001E-11</v>
      </c>
      <c r="I245" s="18">
        <f t="shared" si="9"/>
        <v>293.11666666666656</v>
      </c>
      <c r="J245" s="33">
        <v>0.72695601851851865</v>
      </c>
      <c r="K245">
        <v>5</v>
      </c>
      <c r="L245">
        <v>26</v>
      </c>
      <c r="M245">
        <v>49</v>
      </c>
      <c r="N245">
        <f t="shared" si="8"/>
        <v>1046.8166666666666</v>
      </c>
    </row>
    <row r="246" spans="1:14" x14ac:dyDescent="0.25">
      <c r="A246" t="s">
        <v>220</v>
      </c>
      <c r="B246">
        <v>15787</v>
      </c>
      <c r="C246" s="33">
        <v>0.72699074074074077</v>
      </c>
      <c r="D246" s="34">
        <v>2.1566170000000001E-10</v>
      </c>
      <c r="E246" s="34"/>
      <c r="F246" s="34"/>
      <c r="G246" s="34">
        <v>8.9851859999999993E-12</v>
      </c>
      <c r="H246" s="34">
        <v>6.5723089999999994E-11</v>
      </c>
      <c r="I246" s="18">
        <f t="shared" si="9"/>
        <v>293.16666666666652</v>
      </c>
      <c r="J246" s="33">
        <v>0.72699074074074077</v>
      </c>
      <c r="K246">
        <v>5</v>
      </c>
      <c r="L246">
        <v>26</v>
      </c>
      <c r="M246">
        <v>52</v>
      </c>
      <c r="N246">
        <f t="shared" si="8"/>
        <v>1046.8666666666666</v>
      </c>
    </row>
    <row r="247" spans="1:14" x14ac:dyDescent="0.25">
      <c r="A247" t="s">
        <v>221</v>
      </c>
      <c r="B247">
        <v>15901</v>
      </c>
      <c r="C247" s="33">
        <v>0.72902777777777783</v>
      </c>
      <c r="D247" s="34">
        <v>2.2799260000000001E-10</v>
      </c>
      <c r="E247" s="34"/>
      <c r="F247" s="34"/>
      <c r="G247" s="34">
        <v>9.2419930000000004E-12</v>
      </c>
      <c r="H247" s="34">
        <v>4.9160570000000001E-11</v>
      </c>
      <c r="I247" s="18">
        <f t="shared" si="9"/>
        <v>296.09999999999991</v>
      </c>
      <c r="J247" s="33">
        <v>0.72902777777777783</v>
      </c>
      <c r="K247">
        <v>5</v>
      </c>
      <c r="L247">
        <v>29</v>
      </c>
      <c r="M247">
        <v>48</v>
      </c>
      <c r="N247">
        <f t="shared" si="8"/>
        <v>1049.8</v>
      </c>
    </row>
    <row r="248" spans="1:14" x14ac:dyDescent="0.25">
      <c r="A248" t="s">
        <v>222</v>
      </c>
      <c r="B248">
        <v>15906</v>
      </c>
      <c r="C248" s="33">
        <v>0.72912037037037047</v>
      </c>
      <c r="D248" s="34">
        <v>2.2814490000000001E-10</v>
      </c>
      <c r="E248" s="34"/>
      <c r="F248" s="34"/>
      <c r="G248" s="34">
        <v>9.2391720000000004E-12</v>
      </c>
      <c r="H248" s="34">
        <v>4.9071039999999998E-11</v>
      </c>
      <c r="I248" s="18">
        <f t="shared" si="9"/>
        <v>296.23333333333335</v>
      </c>
      <c r="J248" s="33">
        <v>0.72912037037037047</v>
      </c>
      <c r="K248">
        <v>5</v>
      </c>
      <c r="L248">
        <v>29</v>
      </c>
      <c r="M248">
        <v>56</v>
      </c>
      <c r="N248">
        <f t="shared" si="8"/>
        <v>1049.9333333333334</v>
      </c>
    </row>
    <row r="249" spans="1:14" x14ac:dyDescent="0.25">
      <c r="A249" t="s">
        <v>223</v>
      </c>
      <c r="B249">
        <v>15908</v>
      </c>
      <c r="C249" s="33">
        <v>0.7291550925925927</v>
      </c>
      <c r="D249" s="34">
        <v>2.281352E-10</v>
      </c>
      <c r="E249" s="34"/>
      <c r="F249" s="34"/>
      <c r="G249" s="34">
        <v>9.2443089999999996E-12</v>
      </c>
      <c r="H249" s="34">
        <v>4.9039469999999997E-11</v>
      </c>
      <c r="I249" s="18">
        <f t="shared" si="9"/>
        <v>296.2833333333333</v>
      </c>
      <c r="J249" s="33">
        <v>0.7291550925925927</v>
      </c>
      <c r="K249">
        <v>5</v>
      </c>
      <c r="L249">
        <v>29</v>
      </c>
      <c r="M249">
        <v>59</v>
      </c>
      <c r="N249">
        <f t="shared" si="8"/>
        <v>1049.9833333333333</v>
      </c>
    </row>
    <row r="250" spans="1:14" x14ac:dyDescent="0.25">
      <c r="A250" t="s">
        <v>78</v>
      </c>
      <c r="B250">
        <v>16096</v>
      </c>
      <c r="C250" s="33">
        <v>0.73251157407407419</v>
      </c>
      <c r="D250" s="34">
        <v>2.381881E-10</v>
      </c>
      <c r="E250" s="34"/>
      <c r="F250" s="34"/>
      <c r="G250" s="34">
        <v>1.017031E-11</v>
      </c>
      <c r="H250" s="34">
        <v>1.131547E-10</v>
      </c>
      <c r="I250" s="18">
        <f t="shared" si="9"/>
        <v>301.11666666666656</v>
      </c>
      <c r="J250" s="33">
        <v>0.73251157407407419</v>
      </c>
      <c r="K250">
        <v>5</v>
      </c>
      <c r="L250">
        <v>34</v>
      </c>
      <c r="M250">
        <v>49</v>
      </c>
      <c r="N250">
        <f t="shared" si="8"/>
        <v>1054.8166666666666</v>
      </c>
    </row>
    <row r="251" spans="1:14" x14ac:dyDescent="0.25">
      <c r="A251" t="s">
        <v>78</v>
      </c>
      <c r="B251">
        <v>16101</v>
      </c>
      <c r="C251" s="33">
        <v>0.73260416666666672</v>
      </c>
      <c r="D251" s="34">
        <v>2.3808429999999999E-10</v>
      </c>
      <c r="E251" s="34"/>
      <c r="F251" s="34"/>
      <c r="G251" s="34">
        <v>1.016607E-11</v>
      </c>
      <c r="H251" s="34">
        <v>1.131529E-10</v>
      </c>
      <c r="I251" s="18">
        <f t="shared" si="9"/>
        <v>301.25</v>
      </c>
      <c r="J251" s="33">
        <v>0.73260416666666672</v>
      </c>
      <c r="K251">
        <v>5</v>
      </c>
      <c r="L251">
        <v>34</v>
      </c>
      <c r="M251">
        <v>57</v>
      </c>
      <c r="N251">
        <f t="shared" si="8"/>
        <v>1054.95</v>
      </c>
    </row>
    <row r="252" spans="1:14" x14ac:dyDescent="0.25">
      <c r="A252" t="s">
        <v>78</v>
      </c>
      <c r="B252">
        <v>16106</v>
      </c>
      <c r="C252" s="33">
        <v>0.73268518518518522</v>
      </c>
      <c r="D252" s="34">
        <v>2.3812839999999999E-10</v>
      </c>
      <c r="E252" s="34"/>
      <c r="F252" s="34"/>
      <c r="G252" s="34">
        <v>1.0168450000000001E-11</v>
      </c>
      <c r="H252" s="34">
        <v>1.132203E-10</v>
      </c>
      <c r="I252" s="18">
        <f t="shared" si="9"/>
        <v>301.36666666666656</v>
      </c>
      <c r="J252" s="33">
        <v>0.73268518518518522</v>
      </c>
      <c r="K252">
        <v>5</v>
      </c>
      <c r="L252">
        <v>35</v>
      </c>
      <c r="M252">
        <v>4</v>
      </c>
      <c r="N252">
        <f t="shared" si="8"/>
        <v>1055.0666666666666</v>
      </c>
    </row>
    <row r="253" spans="1:14" x14ac:dyDescent="0.25">
      <c r="A253" t="s">
        <v>79</v>
      </c>
      <c r="B253">
        <v>16238</v>
      </c>
      <c r="C253" s="33">
        <v>0.73504629629629636</v>
      </c>
      <c r="D253" s="34">
        <v>2.0098980000000001E-10</v>
      </c>
      <c r="E253" s="34"/>
      <c r="F253" s="34"/>
      <c r="G253" s="34">
        <v>8.2100070000000008E-12</v>
      </c>
      <c r="H253" s="34">
        <v>9.3536520000000002E-11</v>
      </c>
      <c r="I253" s="18">
        <f t="shared" si="9"/>
        <v>304.76666666666665</v>
      </c>
      <c r="J253" s="33">
        <v>0.73504629629629636</v>
      </c>
      <c r="K253">
        <v>5</v>
      </c>
      <c r="L253">
        <v>38</v>
      </c>
      <c r="M253">
        <v>28</v>
      </c>
      <c r="N253">
        <f t="shared" si="8"/>
        <v>1058.4666666666667</v>
      </c>
    </row>
    <row r="254" spans="1:14" x14ac:dyDescent="0.25">
      <c r="A254" t="s">
        <v>79</v>
      </c>
      <c r="B254">
        <v>16242</v>
      </c>
      <c r="C254" s="33">
        <v>0.73511574074074082</v>
      </c>
      <c r="D254" s="34">
        <v>2.0086979999999999E-10</v>
      </c>
      <c r="E254" s="34"/>
      <c r="F254" s="34"/>
      <c r="G254" s="34">
        <v>8.2041740000000005E-12</v>
      </c>
      <c r="H254" s="34">
        <v>9.3508729999999999E-11</v>
      </c>
      <c r="I254" s="18">
        <f t="shared" si="9"/>
        <v>304.86666666666656</v>
      </c>
      <c r="J254" s="33">
        <v>0.73511574074074082</v>
      </c>
      <c r="K254">
        <v>5</v>
      </c>
      <c r="L254">
        <v>38</v>
      </c>
      <c r="M254">
        <v>34</v>
      </c>
      <c r="N254">
        <f t="shared" si="8"/>
        <v>1058.5666666666666</v>
      </c>
    </row>
    <row r="255" spans="1:14" x14ac:dyDescent="0.25">
      <c r="A255" t="s">
        <v>79</v>
      </c>
      <c r="B255">
        <v>16246</v>
      </c>
      <c r="C255" s="33">
        <v>0.73518518518518527</v>
      </c>
      <c r="D255" s="34">
        <v>2.0078260000000001E-10</v>
      </c>
      <c r="E255" s="34"/>
      <c r="F255" s="34"/>
      <c r="G255" s="34">
        <v>8.2027669999999993E-12</v>
      </c>
      <c r="H255" s="34">
        <v>9.3498649999999996E-11</v>
      </c>
      <c r="I255" s="18">
        <f t="shared" si="9"/>
        <v>304.9666666666667</v>
      </c>
      <c r="J255" s="33">
        <v>0.73518518518518527</v>
      </c>
      <c r="K255">
        <v>5</v>
      </c>
      <c r="L255">
        <v>38</v>
      </c>
      <c r="M255">
        <v>40</v>
      </c>
      <c r="N255">
        <f t="shared" si="8"/>
        <v>1058.6666666666667</v>
      </c>
    </row>
    <row r="256" spans="1:14" x14ac:dyDescent="0.25">
      <c r="C256" s="1"/>
      <c r="D256" s="2"/>
      <c r="E256" s="2"/>
      <c r="F256" s="2"/>
      <c r="G256" s="2"/>
      <c r="H256" s="2"/>
      <c r="J256" s="1"/>
    </row>
    <row r="257" spans="3:10" x14ac:dyDescent="0.25">
      <c r="C257" s="1"/>
      <c r="D257" s="2"/>
      <c r="E257" s="2"/>
      <c r="F257" s="2"/>
      <c r="G257" s="2"/>
      <c r="H257" s="2"/>
      <c r="J257" s="1"/>
    </row>
    <row r="258" spans="3:10" x14ac:dyDescent="0.25">
      <c r="C258" s="1"/>
      <c r="D258" s="2"/>
      <c r="E258" s="2"/>
      <c r="F258" s="2"/>
      <c r="G258" s="2"/>
      <c r="H258" s="2"/>
      <c r="J258" s="1"/>
    </row>
    <row r="259" spans="3:10" x14ac:dyDescent="0.25">
      <c r="C259" s="1"/>
      <c r="D259" s="2"/>
      <c r="E259" s="2"/>
      <c r="F259" s="2"/>
      <c r="G259" s="2"/>
      <c r="H259" s="2"/>
      <c r="J259" s="1"/>
    </row>
    <row r="260" spans="3:10" x14ac:dyDescent="0.25">
      <c r="C260" s="1"/>
      <c r="D260" s="2"/>
      <c r="E260" s="2"/>
      <c r="F260" s="2"/>
      <c r="G260" s="2"/>
      <c r="H260" s="2"/>
      <c r="J260" s="1"/>
    </row>
    <row r="261" spans="3:10" x14ac:dyDescent="0.25">
      <c r="C261" s="1"/>
      <c r="D261" s="2"/>
      <c r="E261" s="2"/>
      <c r="F261" s="2"/>
      <c r="G261" s="2"/>
      <c r="H261" s="2"/>
      <c r="J261" s="1"/>
    </row>
    <row r="262" spans="3:10" x14ac:dyDescent="0.25">
      <c r="C262" s="1"/>
      <c r="D262" s="2"/>
      <c r="E262" s="2"/>
      <c r="F262" s="2"/>
      <c r="G262" s="2"/>
      <c r="H262" s="2"/>
      <c r="J262" s="1"/>
    </row>
    <row r="263" spans="3:10" x14ac:dyDescent="0.25">
      <c r="C263" s="1"/>
      <c r="D263" s="2"/>
      <c r="E263" s="2"/>
      <c r="F263" s="2"/>
      <c r="G263" s="2"/>
      <c r="H263" s="2"/>
      <c r="J263" s="1"/>
    </row>
    <row r="264" spans="3:10" x14ac:dyDescent="0.25">
      <c r="C264" s="1"/>
      <c r="D264" s="2"/>
      <c r="E264" s="2"/>
      <c r="F264" s="2"/>
      <c r="G264" s="2"/>
      <c r="H264" s="2"/>
      <c r="J264" s="1"/>
    </row>
    <row r="265" spans="3:10" x14ac:dyDescent="0.25">
      <c r="C265" s="1"/>
      <c r="D265" s="2"/>
      <c r="E265" s="2"/>
      <c r="F265" s="2"/>
      <c r="G265" s="2"/>
      <c r="H265" s="2"/>
      <c r="J265" s="1"/>
    </row>
    <row r="266" spans="3:10" x14ac:dyDescent="0.25">
      <c r="C266" s="1"/>
      <c r="D266" s="2"/>
      <c r="E266" s="2"/>
      <c r="F266" s="2"/>
      <c r="G266" s="2"/>
      <c r="H266" s="2"/>
      <c r="J266" s="1"/>
    </row>
    <row r="267" spans="3:10" x14ac:dyDescent="0.25">
      <c r="C267" s="1"/>
      <c r="D267" s="2"/>
      <c r="E267" s="2"/>
      <c r="F267" s="2"/>
      <c r="G267" s="2"/>
      <c r="H267" s="2"/>
      <c r="J267" s="1"/>
    </row>
    <row r="268" spans="3:10" x14ac:dyDescent="0.25">
      <c r="C268" s="1"/>
      <c r="D268" s="2"/>
      <c r="E268" s="2"/>
      <c r="F268" s="2"/>
      <c r="G268" s="2"/>
      <c r="H268" s="2"/>
      <c r="J268" s="1"/>
    </row>
    <row r="269" spans="3:10" x14ac:dyDescent="0.25">
      <c r="C269" s="1"/>
      <c r="D269" s="2"/>
      <c r="E269" s="2"/>
      <c r="F269" s="2"/>
      <c r="G269" s="2"/>
      <c r="H269" s="2"/>
      <c r="J269" s="1"/>
    </row>
    <row r="270" spans="3:10" x14ac:dyDescent="0.25">
      <c r="C270" s="1"/>
      <c r="D270" s="2"/>
      <c r="E270" s="2"/>
      <c r="F270" s="2"/>
      <c r="G270" s="2"/>
      <c r="H270" s="2"/>
      <c r="J270" s="1"/>
    </row>
    <row r="271" spans="3:10" x14ac:dyDescent="0.25">
      <c r="C271" s="1"/>
      <c r="D271" s="2"/>
      <c r="E271" s="2"/>
      <c r="F271" s="2"/>
      <c r="G271" s="2"/>
      <c r="H271" s="2"/>
      <c r="J271" s="1"/>
    </row>
    <row r="272" spans="3:10" x14ac:dyDescent="0.25">
      <c r="C272" s="1"/>
      <c r="D272" s="2"/>
      <c r="E272" s="2"/>
      <c r="F272" s="2"/>
      <c r="G272" s="2"/>
      <c r="H272" s="2"/>
      <c r="J272" s="1"/>
    </row>
    <row r="273" spans="3:10" x14ac:dyDescent="0.25">
      <c r="C273" s="1"/>
      <c r="D273" s="2"/>
      <c r="E273" s="2"/>
      <c r="F273" s="2"/>
      <c r="G273" s="2"/>
      <c r="H273" s="2"/>
      <c r="J273" s="1"/>
    </row>
    <row r="274" spans="3:10" x14ac:dyDescent="0.25">
      <c r="C274" s="1"/>
      <c r="D274" s="2"/>
      <c r="E274" s="2"/>
      <c r="F274" s="2"/>
      <c r="G274" s="2"/>
      <c r="H274" s="2"/>
      <c r="J274" s="1"/>
    </row>
    <row r="275" spans="3:10" x14ac:dyDescent="0.25">
      <c r="C275" s="1"/>
      <c r="D275" s="2"/>
      <c r="E275" s="2"/>
      <c r="F275" s="2"/>
      <c r="G275" s="2"/>
      <c r="H275" s="2"/>
      <c r="J275" s="1"/>
    </row>
    <row r="276" spans="3:10" x14ac:dyDescent="0.25">
      <c r="C276" s="1"/>
      <c r="D276" s="2"/>
      <c r="E276" s="2"/>
      <c r="F276" s="2"/>
      <c r="G276" s="2"/>
      <c r="H276" s="2"/>
      <c r="J276" s="1"/>
    </row>
    <row r="277" spans="3:10" x14ac:dyDescent="0.25">
      <c r="C277" s="1"/>
      <c r="D277" s="2"/>
      <c r="E277" s="2"/>
      <c r="F277" s="2"/>
      <c r="G277" s="2"/>
      <c r="H277" s="2"/>
      <c r="J277" s="1"/>
    </row>
    <row r="278" spans="3:10" x14ac:dyDescent="0.25">
      <c r="C278" s="1"/>
      <c r="D278" s="2"/>
      <c r="E278" s="2"/>
      <c r="F278" s="2"/>
      <c r="G278" s="2"/>
      <c r="H278" s="2"/>
      <c r="J278" s="1"/>
    </row>
    <row r="279" spans="3:10" x14ac:dyDescent="0.25">
      <c r="C279" s="1"/>
      <c r="D279" s="2"/>
      <c r="E279" s="2"/>
      <c r="F279" s="2"/>
      <c r="G279" s="2"/>
      <c r="H279" s="2"/>
      <c r="J279" s="1"/>
    </row>
    <row r="280" spans="3:10" x14ac:dyDescent="0.25">
      <c r="C280" s="1"/>
      <c r="D280" s="2"/>
      <c r="E280" s="2"/>
      <c r="F280" s="2"/>
      <c r="G280" s="2"/>
      <c r="H280" s="2"/>
      <c r="J280" s="1"/>
    </row>
    <row r="281" spans="3:10" x14ac:dyDescent="0.25">
      <c r="C281" s="1"/>
      <c r="D281" s="2"/>
      <c r="E281" s="2"/>
      <c r="F281" s="2"/>
      <c r="G281" s="2"/>
      <c r="H281" s="2"/>
      <c r="J281" s="1"/>
    </row>
    <row r="282" spans="3:10" x14ac:dyDescent="0.25">
      <c r="C282" s="1"/>
      <c r="D282" s="2"/>
      <c r="E282" s="2"/>
      <c r="F282" s="2"/>
      <c r="G282" s="2"/>
      <c r="H282" s="2"/>
      <c r="J282" s="1"/>
    </row>
    <row r="283" spans="3:10" x14ac:dyDescent="0.25">
      <c r="C283" s="1"/>
      <c r="D283" s="2"/>
      <c r="E283" s="2"/>
      <c r="F283" s="2"/>
      <c r="G283" s="2"/>
      <c r="H283" s="2"/>
      <c r="J283" s="1"/>
    </row>
    <row r="284" spans="3:10" x14ac:dyDescent="0.25">
      <c r="C284" s="1"/>
      <c r="D284" s="2"/>
      <c r="E284" s="2"/>
      <c r="F284" s="2"/>
      <c r="G284" s="2"/>
      <c r="H284" s="2"/>
      <c r="J284" s="1"/>
    </row>
    <row r="285" spans="3:10" x14ac:dyDescent="0.25">
      <c r="C285" s="1"/>
      <c r="D285" s="2"/>
      <c r="E285" s="2"/>
      <c r="F285" s="2"/>
      <c r="G285" s="2"/>
      <c r="H285" s="2"/>
      <c r="J285" s="1"/>
    </row>
    <row r="286" spans="3:10" x14ac:dyDescent="0.25">
      <c r="C286" s="1"/>
      <c r="D286" s="2"/>
      <c r="E286" s="2"/>
      <c r="F286" s="2"/>
      <c r="G286" s="2"/>
      <c r="H286" s="2"/>
      <c r="J286" s="1"/>
    </row>
    <row r="287" spans="3:10" x14ac:dyDescent="0.25">
      <c r="C287" s="1"/>
      <c r="D287" s="2"/>
      <c r="E287" s="2"/>
      <c r="F287" s="2"/>
      <c r="G287" s="2"/>
      <c r="H287" s="2"/>
      <c r="J287" s="1"/>
    </row>
    <row r="288" spans="3:10" x14ac:dyDescent="0.25">
      <c r="C288" s="1"/>
      <c r="D288" s="2"/>
      <c r="E288" s="2"/>
      <c r="F288" s="2"/>
      <c r="G288" s="2"/>
      <c r="H288" s="2"/>
      <c r="J288" s="1"/>
    </row>
    <row r="289" spans="3:10" x14ac:dyDescent="0.25">
      <c r="C289" s="1"/>
      <c r="D289" s="2"/>
      <c r="E289" s="2"/>
      <c r="F289" s="2"/>
      <c r="G289" s="2"/>
      <c r="H289" s="2"/>
      <c r="J289" s="1"/>
    </row>
    <row r="290" spans="3:10" x14ac:dyDescent="0.25">
      <c r="C290" s="1"/>
      <c r="D290" s="2"/>
      <c r="E290" s="2"/>
      <c r="F290" s="2"/>
      <c r="G290" s="2"/>
      <c r="H290" s="2"/>
      <c r="J290" s="1"/>
    </row>
    <row r="291" spans="3:10" x14ac:dyDescent="0.25">
      <c r="C291" s="1"/>
      <c r="D291" s="2"/>
      <c r="E291" s="2"/>
      <c r="F291" s="2"/>
      <c r="G291" s="2"/>
      <c r="H291" s="2"/>
      <c r="J291" s="1"/>
    </row>
    <row r="292" spans="3:10" x14ac:dyDescent="0.25">
      <c r="C292" s="1"/>
      <c r="D292" s="2"/>
      <c r="E292" s="2"/>
      <c r="F292" s="2"/>
      <c r="G292" s="2"/>
      <c r="H292" s="2"/>
      <c r="J292" s="1"/>
    </row>
    <row r="293" spans="3:10" x14ac:dyDescent="0.25">
      <c r="C293" s="1"/>
      <c r="D293" s="2"/>
      <c r="E293" s="2"/>
      <c r="F293" s="2"/>
      <c r="G293" s="2"/>
      <c r="H293" s="2"/>
      <c r="J293" s="1"/>
    </row>
    <row r="294" spans="3:10" x14ac:dyDescent="0.25">
      <c r="C294" s="1"/>
      <c r="D294" s="2"/>
      <c r="E294" s="2"/>
      <c r="F294" s="2"/>
      <c r="G294" s="2"/>
      <c r="H294" s="2"/>
      <c r="J294" s="1"/>
    </row>
    <row r="295" spans="3:10" x14ac:dyDescent="0.25">
      <c r="C295" s="1"/>
      <c r="D295" s="2"/>
      <c r="E295" s="2"/>
      <c r="F295" s="2"/>
      <c r="G295" s="2"/>
      <c r="H295" s="2"/>
      <c r="J295" s="1"/>
    </row>
    <row r="296" spans="3:10" x14ac:dyDescent="0.25">
      <c r="C296" s="1"/>
      <c r="D296" s="2"/>
      <c r="E296" s="2"/>
      <c r="F296" s="2"/>
      <c r="G296" s="2"/>
      <c r="H296" s="2"/>
      <c r="J296" s="1"/>
    </row>
    <row r="297" spans="3:10" x14ac:dyDescent="0.25">
      <c r="C297" s="1"/>
      <c r="D297" s="2"/>
      <c r="E297" s="2"/>
      <c r="F297" s="2"/>
      <c r="G297" s="2"/>
      <c r="H297" s="2"/>
      <c r="J297" s="1"/>
    </row>
    <row r="298" spans="3:10" x14ac:dyDescent="0.25">
      <c r="C298" s="1"/>
      <c r="D298" s="2"/>
      <c r="E298" s="2"/>
      <c r="F298" s="2"/>
      <c r="G298" s="2"/>
      <c r="H298" s="2"/>
      <c r="J298" s="1"/>
    </row>
    <row r="299" spans="3:10" x14ac:dyDescent="0.25">
      <c r="C299" s="1"/>
      <c r="D299" s="2"/>
      <c r="E299" s="2"/>
      <c r="F299" s="2"/>
      <c r="G299" s="2"/>
      <c r="H299" s="2"/>
      <c r="J299" s="1"/>
    </row>
    <row r="300" spans="3:10" x14ac:dyDescent="0.25">
      <c r="C300" s="1"/>
      <c r="D300" s="2"/>
      <c r="E300" s="2"/>
      <c r="F300" s="2"/>
      <c r="G300" s="2"/>
      <c r="H300" s="2"/>
      <c r="J300" s="1"/>
    </row>
    <row r="301" spans="3:10" x14ac:dyDescent="0.25">
      <c r="C301" s="1"/>
      <c r="D301" s="2"/>
      <c r="E301" s="2"/>
      <c r="F301" s="2"/>
      <c r="G301" s="2"/>
      <c r="H301" s="2"/>
      <c r="J301" s="1"/>
    </row>
    <row r="302" spans="3:10" x14ac:dyDescent="0.25">
      <c r="C302" s="1"/>
      <c r="D302" s="2"/>
      <c r="E302" s="2"/>
      <c r="F302" s="2"/>
      <c r="G302" s="2"/>
      <c r="H302" s="2"/>
      <c r="J302" s="1"/>
    </row>
    <row r="303" spans="3:10" x14ac:dyDescent="0.25">
      <c r="C303" s="1"/>
      <c r="D303" s="2"/>
      <c r="E303" s="2"/>
      <c r="F303" s="2"/>
      <c r="G303" s="2"/>
      <c r="H303" s="2"/>
      <c r="J303" s="1"/>
    </row>
    <row r="304" spans="3:10" x14ac:dyDescent="0.25">
      <c r="C304" s="1"/>
      <c r="D304" s="2"/>
      <c r="E304" s="2"/>
      <c r="F304" s="2"/>
      <c r="G304" s="2"/>
      <c r="H304" s="2"/>
      <c r="J304" s="1"/>
    </row>
    <row r="305" spans="3:10" x14ac:dyDescent="0.25">
      <c r="C305" s="1"/>
      <c r="D305" s="2"/>
      <c r="E305" s="2"/>
      <c r="F305" s="2"/>
      <c r="G305" s="2"/>
      <c r="H305" s="2"/>
      <c r="J305" s="1"/>
    </row>
    <row r="306" spans="3:10" x14ac:dyDescent="0.25">
      <c r="C306" s="1"/>
      <c r="D306" s="2"/>
      <c r="E306" s="2"/>
      <c r="F306" s="2"/>
      <c r="G306" s="2"/>
      <c r="H306" s="2"/>
      <c r="J306" s="1"/>
    </row>
    <row r="307" spans="3:10" x14ac:dyDescent="0.25">
      <c r="C307" s="1"/>
      <c r="D307" s="2"/>
      <c r="E307" s="2"/>
      <c r="F307" s="2"/>
      <c r="G307" s="2"/>
      <c r="H307" s="2"/>
      <c r="J307" s="1"/>
    </row>
    <row r="308" spans="3:10" x14ac:dyDescent="0.25">
      <c r="C308" s="1"/>
      <c r="D308" s="2"/>
      <c r="E308" s="2"/>
      <c r="F308" s="2"/>
      <c r="G308" s="2"/>
      <c r="H308" s="2"/>
      <c r="J308" s="1"/>
    </row>
    <row r="309" spans="3:10" x14ac:dyDescent="0.25">
      <c r="C309" s="1"/>
      <c r="D309" s="2"/>
      <c r="E309" s="2"/>
      <c r="F309" s="2"/>
      <c r="G309" s="2"/>
      <c r="H309" s="2"/>
      <c r="J309" s="1"/>
    </row>
    <row r="310" spans="3:10" x14ac:dyDescent="0.25">
      <c r="C310" s="1"/>
      <c r="D310" s="2"/>
      <c r="E310" s="2"/>
      <c r="F310" s="2"/>
      <c r="G310" s="2"/>
      <c r="H310" s="2"/>
      <c r="J310" s="1"/>
    </row>
    <row r="311" spans="3:10" x14ac:dyDescent="0.25">
      <c r="C311" s="1"/>
      <c r="D311" s="2"/>
      <c r="E311" s="2"/>
      <c r="F311" s="2"/>
      <c r="G311" s="2"/>
      <c r="H311" s="2"/>
      <c r="J311" s="1"/>
    </row>
    <row r="312" spans="3:10" x14ac:dyDescent="0.25">
      <c r="C312" s="1"/>
      <c r="D312" s="2"/>
      <c r="E312" s="2"/>
      <c r="F312" s="2"/>
      <c r="G312" s="2"/>
      <c r="H312" s="2"/>
      <c r="J312" s="1"/>
    </row>
    <row r="313" spans="3:10" x14ac:dyDescent="0.25">
      <c r="C313" s="1"/>
      <c r="D313" s="2"/>
      <c r="E313" s="2"/>
      <c r="F313" s="2"/>
      <c r="G313" s="2"/>
      <c r="H313" s="2"/>
      <c r="J313" s="1"/>
    </row>
    <row r="314" spans="3:10" x14ac:dyDescent="0.25">
      <c r="C314" s="1"/>
      <c r="D314" s="2"/>
      <c r="E314" s="2"/>
      <c r="F314" s="2"/>
      <c r="G314" s="2"/>
      <c r="H314" s="2"/>
      <c r="J314" s="1"/>
    </row>
    <row r="315" spans="3:10" x14ac:dyDescent="0.25">
      <c r="C315" s="1"/>
      <c r="D315" s="2"/>
      <c r="E315" s="2"/>
      <c r="F315" s="2"/>
      <c r="G315" s="2"/>
      <c r="H315" s="2"/>
      <c r="J315" s="1"/>
    </row>
    <row r="316" spans="3:10" x14ac:dyDescent="0.25">
      <c r="C316" s="1"/>
      <c r="D316" s="2"/>
      <c r="E316" s="2"/>
      <c r="F316" s="2"/>
      <c r="G316" s="2"/>
      <c r="H316" s="2"/>
      <c r="J316" s="1"/>
    </row>
    <row r="317" spans="3:10" x14ac:dyDescent="0.25">
      <c r="C317" s="1"/>
      <c r="D317" s="2"/>
      <c r="E317" s="2"/>
      <c r="F317" s="2"/>
      <c r="G317" s="2"/>
      <c r="H317" s="2"/>
      <c r="J317" s="1"/>
    </row>
    <row r="318" spans="3:10" x14ac:dyDescent="0.25">
      <c r="C318" s="1"/>
      <c r="D318" s="2"/>
      <c r="E318" s="2"/>
      <c r="F318" s="2"/>
      <c r="G318" s="2"/>
      <c r="H318" s="2"/>
      <c r="J318" s="1"/>
    </row>
    <row r="319" spans="3:10" x14ac:dyDescent="0.25">
      <c r="C319" s="1"/>
      <c r="D319" s="2"/>
      <c r="E319" s="2"/>
      <c r="F319" s="2"/>
      <c r="G319" s="2"/>
      <c r="H319" s="2"/>
      <c r="J319" s="1"/>
    </row>
    <row r="320" spans="3:10" x14ac:dyDescent="0.25">
      <c r="C320" s="1"/>
      <c r="D320" s="2"/>
      <c r="E320" s="2"/>
      <c r="F320" s="2"/>
      <c r="G320" s="2"/>
      <c r="H320" s="2"/>
      <c r="J320" s="1"/>
    </row>
    <row r="321" spans="3:10" x14ac:dyDescent="0.25">
      <c r="C321" s="1"/>
      <c r="D321" s="2"/>
      <c r="E321" s="2"/>
      <c r="F321" s="2"/>
      <c r="G321" s="2"/>
      <c r="H321" s="2"/>
      <c r="J321" s="1"/>
    </row>
    <row r="322" spans="3:10" x14ac:dyDescent="0.25">
      <c r="C322" s="1"/>
      <c r="D322" s="2"/>
      <c r="E322" s="2"/>
      <c r="F322" s="2"/>
      <c r="G322" s="2"/>
      <c r="H322" s="2"/>
      <c r="J322" s="1"/>
    </row>
    <row r="323" spans="3:10" x14ac:dyDescent="0.25">
      <c r="C323" s="1"/>
      <c r="D323" s="2"/>
      <c r="E323" s="2"/>
      <c r="F323" s="2"/>
      <c r="G323" s="2"/>
      <c r="H323" s="2"/>
      <c r="J323" s="1"/>
    </row>
    <row r="324" spans="3:10" x14ac:dyDescent="0.25">
      <c r="C324" s="1"/>
      <c r="D324" s="2"/>
      <c r="E324" s="2"/>
      <c r="F324" s="2"/>
      <c r="G324" s="2"/>
      <c r="H324" s="2"/>
      <c r="J324" s="1"/>
    </row>
    <row r="325" spans="3:10" x14ac:dyDescent="0.25">
      <c r="C325" s="1"/>
      <c r="D325" s="2"/>
      <c r="E325" s="2"/>
      <c r="F325" s="2"/>
      <c r="G325" s="2"/>
      <c r="H325" s="2"/>
      <c r="J325" s="1"/>
    </row>
    <row r="326" spans="3:10" x14ac:dyDescent="0.25">
      <c r="C326" s="1"/>
      <c r="D326" s="2"/>
      <c r="E326" s="2"/>
      <c r="F326" s="2"/>
      <c r="G326" s="2"/>
      <c r="H326" s="2"/>
      <c r="J326" s="1"/>
    </row>
    <row r="327" spans="3:10" x14ac:dyDescent="0.25">
      <c r="C327" s="1"/>
      <c r="D327" s="2"/>
      <c r="E327" s="2"/>
      <c r="F327" s="2"/>
      <c r="G327" s="2"/>
      <c r="H327" s="2"/>
      <c r="J327" s="1"/>
    </row>
    <row r="328" spans="3:10" x14ac:dyDescent="0.25">
      <c r="C328" s="1"/>
      <c r="D328" s="2"/>
      <c r="E328" s="2"/>
      <c r="F328" s="2"/>
      <c r="G328" s="2"/>
      <c r="H328" s="2"/>
      <c r="J328" s="1"/>
    </row>
    <row r="329" spans="3:10" x14ac:dyDescent="0.25">
      <c r="C329" s="1"/>
      <c r="D329" s="2"/>
      <c r="E329" s="2"/>
      <c r="F329" s="2"/>
      <c r="G329" s="2"/>
      <c r="H329" s="2"/>
      <c r="J329" s="1"/>
    </row>
    <row r="330" spans="3:10" x14ac:dyDescent="0.25">
      <c r="C330" s="1"/>
      <c r="D330" s="2"/>
      <c r="E330" s="2"/>
      <c r="F330" s="2"/>
      <c r="G330" s="2"/>
      <c r="H330" s="2"/>
      <c r="J330" s="1"/>
    </row>
    <row r="331" spans="3:10" x14ac:dyDescent="0.25">
      <c r="C331" s="1"/>
      <c r="D331" s="2"/>
      <c r="E331" s="2"/>
      <c r="F331" s="2"/>
      <c r="G331" s="2"/>
      <c r="H331" s="2"/>
      <c r="J331" s="1"/>
    </row>
    <row r="332" spans="3:10" x14ac:dyDescent="0.25">
      <c r="C332" s="1"/>
      <c r="D332" s="2"/>
      <c r="E332" s="2"/>
      <c r="F332" s="2"/>
      <c r="G332" s="2"/>
      <c r="H332" s="2"/>
      <c r="J332" s="1"/>
    </row>
    <row r="333" spans="3:10" x14ac:dyDescent="0.25">
      <c r="C333" s="1"/>
      <c r="D333" s="2"/>
      <c r="E333" s="2"/>
      <c r="F333" s="2"/>
      <c r="G333" s="2"/>
      <c r="H333" s="2"/>
      <c r="J333" s="1"/>
    </row>
  </sheetData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"/>
  <sheetViews>
    <sheetView workbookViewId="0">
      <selection activeCell="N73" sqref="N73"/>
    </sheetView>
  </sheetViews>
  <sheetFormatPr defaultColWidth="8.81640625" defaultRowHeight="12.5" x14ac:dyDescent="0.25"/>
  <cols>
    <col min="1" max="1" width="17.36328125" bestFit="1" customWidth="1"/>
    <col min="2" max="2" width="8.6328125" bestFit="1" customWidth="1"/>
    <col min="5" max="5" width="9.36328125" bestFit="1" customWidth="1"/>
    <col min="6" max="6" width="12.453125" bestFit="1" customWidth="1"/>
    <col min="7" max="7" width="9.36328125" bestFit="1" customWidth="1"/>
  </cols>
  <sheetData>
    <row r="1" spans="1:12" x14ac:dyDescent="0.25">
      <c r="A1" t="s">
        <v>15</v>
      </c>
      <c r="D1" t="s">
        <v>16</v>
      </c>
    </row>
    <row r="2" spans="1:12" ht="13" thickBot="1" x14ac:dyDescent="0.3"/>
    <row r="3" spans="1:12" ht="13" x14ac:dyDescent="0.3">
      <c r="A3" t="s">
        <v>17</v>
      </c>
      <c r="B3" t="s">
        <v>18</v>
      </c>
      <c r="D3" s="14" t="s">
        <v>19</v>
      </c>
      <c r="E3" s="14"/>
    </row>
    <row r="4" spans="1:12" x14ac:dyDescent="0.25">
      <c r="A4" s="3">
        <f>Data!D10/Data!G10</f>
        <v>23.414663125001557</v>
      </c>
      <c r="B4" s="3">
        <f>Data!I10</f>
        <v>0</v>
      </c>
      <c r="D4" t="s">
        <v>20</v>
      </c>
      <c r="E4">
        <v>0.3281905902715212</v>
      </c>
    </row>
    <row r="5" spans="1:12" x14ac:dyDescent="0.25">
      <c r="A5" s="3">
        <f>Data!D11/Data!G11</f>
        <v>23.397699823760071</v>
      </c>
      <c r="B5" s="3">
        <f>Data!I11</f>
        <v>0.16666666666662877</v>
      </c>
      <c r="D5" t="s">
        <v>21</v>
      </c>
      <c r="E5">
        <v>0.1077090635427695</v>
      </c>
    </row>
    <row r="6" spans="1:12" x14ac:dyDescent="0.25">
      <c r="A6" s="3">
        <f>Data!D12/Data!G12</f>
        <v>23.405415382159568</v>
      </c>
      <c r="B6" s="3">
        <f>Data!I12</f>
        <v>0.28333333333330302</v>
      </c>
      <c r="D6" t="s">
        <v>22</v>
      </c>
      <c r="E6">
        <v>5.19408800141926E-2</v>
      </c>
    </row>
    <row r="7" spans="1:12" x14ac:dyDescent="0.25">
      <c r="A7" s="3">
        <f>Data!D25/Data!G25</f>
        <v>23.638415119851665</v>
      </c>
      <c r="B7" s="3">
        <f>Data!I25</f>
        <v>25.449999999999932</v>
      </c>
      <c r="D7" t="s">
        <v>23</v>
      </c>
      <c r="E7">
        <v>7.3523613914239061E-2</v>
      </c>
    </row>
    <row r="8" spans="1:12" ht="13" thickBot="1" x14ac:dyDescent="0.3">
      <c r="A8" s="3">
        <f>Data!D26/Data!G26</f>
        <v>23.597248729395748</v>
      </c>
      <c r="B8" s="3">
        <f>Data!I26</f>
        <v>25.549999999999955</v>
      </c>
      <c r="D8" s="6" t="s">
        <v>24</v>
      </c>
      <c r="E8" s="6">
        <v>18</v>
      </c>
    </row>
    <row r="9" spans="1:12" x14ac:dyDescent="0.25">
      <c r="A9" s="3">
        <f>Data!D27/Data!G27</f>
        <v>23.596176841950452</v>
      </c>
      <c r="B9" s="3">
        <f>Data!I27</f>
        <v>25.649999999999977</v>
      </c>
    </row>
    <row r="10" spans="1:12" ht="13" thickBot="1" x14ac:dyDescent="0.3">
      <c r="A10" s="3">
        <f>Data!D100/Data!G100</f>
        <v>23.529014445329487</v>
      </c>
      <c r="B10" s="3">
        <f>Data!I100</f>
        <v>119.13333333333333</v>
      </c>
      <c r="D10" t="s">
        <v>25</v>
      </c>
    </row>
    <row r="11" spans="1:12" ht="13" x14ac:dyDescent="0.3">
      <c r="A11" s="3">
        <f>Data!D101/Data!G101</f>
        <v>23.538163987720925</v>
      </c>
      <c r="B11" s="3">
        <f>Data!I101</f>
        <v>119.23333333333323</v>
      </c>
      <c r="D11" s="13"/>
      <c r="E11" s="13" t="s">
        <v>26</v>
      </c>
      <c r="F11" s="13" t="s">
        <v>27</v>
      </c>
      <c r="G11" s="13" t="s">
        <v>28</v>
      </c>
      <c r="H11" s="13" t="s">
        <v>29</v>
      </c>
      <c r="I11" s="13" t="s">
        <v>30</v>
      </c>
    </row>
    <row r="12" spans="1:12" x14ac:dyDescent="0.25">
      <c r="A12" s="3">
        <f>Data!D102/Data!G102</f>
        <v>23.507808377847912</v>
      </c>
      <c r="B12" s="3">
        <f>Data!I102</f>
        <v>119.29999999999995</v>
      </c>
      <c r="D12" t="s">
        <v>31</v>
      </c>
      <c r="E12">
        <v>1</v>
      </c>
      <c r="F12">
        <v>1.0440455405483884E-2</v>
      </c>
      <c r="G12">
        <v>1.0440455405483884E-2</v>
      </c>
      <c r="H12">
        <v>1.9313711999885541</v>
      </c>
      <c r="I12">
        <v>0.18364418091208146</v>
      </c>
    </row>
    <row r="13" spans="1:12" x14ac:dyDescent="0.25">
      <c r="A13" s="3">
        <f>Data!D115/Data!G115</f>
        <v>23.551482663045412</v>
      </c>
      <c r="B13" s="3">
        <f>Data!I115</f>
        <v>145.83333333333326</v>
      </c>
      <c r="D13" t="s">
        <v>32</v>
      </c>
      <c r="E13">
        <v>16</v>
      </c>
      <c r="F13">
        <v>8.6491548848161404E-2</v>
      </c>
      <c r="G13">
        <v>5.4057218030100877E-3</v>
      </c>
    </row>
    <row r="14" spans="1:12" ht="13" thickBot="1" x14ac:dyDescent="0.3">
      <c r="A14" s="3">
        <f>Data!D116/Data!G116</f>
        <v>23.543678010746255</v>
      </c>
      <c r="B14" s="3">
        <f>Data!I116</f>
        <v>145.91666666666663</v>
      </c>
      <c r="D14" s="6" t="s">
        <v>33</v>
      </c>
      <c r="E14" s="6">
        <v>17</v>
      </c>
      <c r="F14" s="6">
        <v>9.6932004253645287E-2</v>
      </c>
      <c r="G14" s="6"/>
      <c r="H14" s="6"/>
      <c r="I14" s="6"/>
    </row>
    <row r="15" spans="1:12" ht="13" thickBot="1" x14ac:dyDescent="0.3">
      <c r="A15" s="3">
        <f>Data!D117/Data!G117</f>
        <v>23.55549747979634</v>
      </c>
      <c r="B15" s="3">
        <f>Data!I117</f>
        <v>145.98333333333323</v>
      </c>
    </row>
    <row r="16" spans="1:12" ht="13" x14ac:dyDescent="0.3">
      <c r="A16" s="3">
        <f>Data!D205/Data!G205</f>
        <v>23.460172863112771</v>
      </c>
      <c r="B16" s="3">
        <f>Data!I205</f>
        <v>253.75</v>
      </c>
      <c r="D16" s="13"/>
      <c r="E16" s="13" t="s">
        <v>34</v>
      </c>
      <c r="F16" s="13" t="s">
        <v>23</v>
      </c>
      <c r="G16" s="13" t="s">
        <v>35</v>
      </c>
      <c r="H16" s="13" t="s">
        <v>36</v>
      </c>
      <c r="I16" s="13" t="s">
        <v>37</v>
      </c>
      <c r="J16" s="13" t="s">
        <v>38</v>
      </c>
      <c r="K16" s="13" t="s">
        <v>39</v>
      </c>
      <c r="L16" s="13" t="s">
        <v>40</v>
      </c>
    </row>
    <row r="17" spans="1:12" x14ac:dyDescent="0.25">
      <c r="A17" s="3">
        <f>Data!D206/Data!G206</f>
        <v>23.463449200052057</v>
      </c>
      <c r="B17" s="3">
        <f>Data!I206</f>
        <v>253.79999999999995</v>
      </c>
      <c r="D17" t="s">
        <v>41</v>
      </c>
      <c r="E17">
        <v>23.528265531659017</v>
      </c>
      <c r="F17">
        <v>2.8235620056241431E-2</v>
      </c>
      <c r="G17">
        <v>833.28311844379482</v>
      </c>
      <c r="H17">
        <v>1.5606356781480965E-38</v>
      </c>
      <c r="I17">
        <v>23.468408691074991</v>
      </c>
      <c r="J17">
        <v>23.588122372243042</v>
      </c>
      <c r="K17">
        <v>23.468408691074991</v>
      </c>
      <c r="L17">
        <v>23.588122372243042</v>
      </c>
    </row>
    <row r="18" spans="1:12" ht="13" thickBot="1" x14ac:dyDescent="0.3">
      <c r="A18" s="3">
        <f>Data!D207/Data!G207</f>
        <v>23.494448382218604</v>
      </c>
      <c r="B18" s="3">
        <f>Data!I207</f>
        <v>253.89999999999998</v>
      </c>
      <c r="D18" s="6" t="s">
        <v>42</v>
      </c>
      <c r="E18" s="6">
        <v>-2.1974378130011686E-4</v>
      </c>
      <c r="F18" s="6">
        <v>1.5811887581437505E-4</v>
      </c>
      <c r="G18" s="6">
        <v>-1.3897378169959094</v>
      </c>
      <c r="H18" s="6">
        <v>0.18364418091208159</v>
      </c>
      <c r="I18" s="6">
        <v>-5.5494082404591806E-4</v>
      </c>
      <c r="J18" s="6">
        <v>1.1545326144568436E-4</v>
      </c>
      <c r="K18" s="6">
        <v>-5.5494082404591806E-4</v>
      </c>
      <c r="L18" s="6">
        <v>1.1545326144568436E-4</v>
      </c>
    </row>
    <row r="19" spans="1:12" x14ac:dyDescent="0.25">
      <c r="A19" s="3">
        <f>Data!D250/Data!G250</f>
        <v>23.419944918099841</v>
      </c>
      <c r="B19" s="3">
        <f>Data!I250</f>
        <v>301.11666666666656</v>
      </c>
    </row>
    <row r="20" spans="1:12" x14ac:dyDescent="0.25">
      <c r="A20" s="3">
        <f>Data!D251/Data!G251</f>
        <v>23.419502324890541</v>
      </c>
      <c r="B20" s="3">
        <f>Data!I251</f>
        <v>301.25</v>
      </c>
    </row>
    <row r="21" spans="1:12" x14ac:dyDescent="0.25">
      <c r="A21" s="3">
        <f>Data!D252/Data!G252</f>
        <v>23.418357763474273</v>
      </c>
      <c r="B21" s="3">
        <f>Data!I252</f>
        <v>301.36666666666656</v>
      </c>
    </row>
    <row r="22" spans="1:12" s="12" customFormat="1" x14ac:dyDescent="0.25"/>
    <row r="23" spans="1:12" x14ac:dyDescent="0.25">
      <c r="A23" t="s">
        <v>43</v>
      </c>
      <c r="D23" t="s">
        <v>16</v>
      </c>
    </row>
    <row r="24" spans="1:12" ht="13" thickBot="1" x14ac:dyDescent="0.3"/>
    <row r="25" spans="1:12" ht="13" x14ac:dyDescent="0.3">
      <c r="A25" t="s">
        <v>17</v>
      </c>
      <c r="B25" t="s">
        <v>18</v>
      </c>
      <c r="D25" s="14" t="s">
        <v>19</v>
      </c>
      <c r="E25" s="14"/>
    </row>
    <row r="26" spans="1:12" x14ac:dyDescent="0.25">
      <c r="A26" s="3">
        <f>Data!D13/Data!G13</f>
        <v>24.64650888437782</v>
      </c>
      <c r="B26" s="3">
        <f>Data!I13</f>
        <v>6.2666666666666515</v>
      </c>
      <c r="D26" t="s">
        <v>20</v>
      </c>
      <c r="E26">
        <v>0.21109726017169531</v>
      </c>
    </row>
    <row r="27" spans="1:12" x14ac:dyDescent="0.25">
      <c r="A27" s="3">
        <f>Data!D14/Data!G14</f>
        <v>24.658163888921745</v>
      </c>
      <c r="B27" s="3">
        <f>Data!I14</f>
        <v>6.3999999999999773</v>
      </c>
      <c r="D27" t="s">
        <v>21</v>
      </c>
      <c r="E27">
        <v>4.4562053251996421E-2</v>
      </c>
    </row>
    <row r="28" spans="1:12" x14ac:dyDescent="0.25">
      <c r="A28" s="3">
        <f>Data!D15/Data!G15</f>
        <v>24.658114979261907</v>
      </c>
      <c r="B28" s="3">
        <f>Data!I15</f>
        <v>6.4499999999999318</v>
      </c>
      <c r="D28" t="s">
        <v>22</v>
      </c>
      <c r="E28">
        <v>-1.51528184197538E-2</v>
      </c>
    </row>
    <row r="29" spans="1:12" x14ac:dyDescent="0.25">
      <c r="A29" s="3">
        <f>Data!D28/Data!G28</f>
        <v>24.490956994785559</v>
      </c>
      <c r="B29" s="3">
        <f>Data!I28</f>
        <v>29.949999999999932</v>
      </c>
      <c r="D29" t="s">
        <v>23</v>
      </c>
      <c r="E29">
        <v>0.14595491794006618</v>
      </c>
    </row>
    <row r="30" spans="1:12" ht="13" thickBot="1" x14ac:dyDescent="0.3">
      <c r="A30" s="3">
        <f>Data!D29/Data!G29</f>
        <v>24.501285111673955</v>
      </c>
      <c r="B30" s="3">
        <f>Data!I29</f>
        <v>30.066666666666606</v>
      </c>
      <c r="D30" s="6" t="s">
        <v>24</v>
      </c>
      <c r="E30" s="6">
        <v>18</v>
      </c>
    </row>
    <row r="31" spans="1:12" x14ac:dyDescent="0.25">
      <c r="A31" s="3">
        <f>Data!D30/Data!G30</f>
        <v>24.49841606136939</v>
      </c>
      <c r="B31" s="3">
        <f>Data!I30</f>
        <v>30.166666666666629</v>
      </c>
    </row>
    <row r="32" spans="1:12" ht="13" thickBot="1" x14ac:dyDescent="0.3">
      <c r="A32" s="3">
        <f>Data!D103/Data!G103</f>
        <v>24.277982123963415</v>
      </c>
      <c r="B32" s="3">
        <f>Data!I103</f>
        <v>128.89999999999998</v>
      </c>
      <c r="D32" t="s">
        <v>25</v>
      </c>
    </row>
    <row r="33" spans="1:12" ht="13" x14ac:dyDescent="0.3">
      <c r="A33" s="3">
        <f>Data!D104/Data!G104</f>
        <v>24.278898940028835</v>
      </c>
      <c r="B33" s="3">
        <f>Data!I104</f>
        <v>128.96666666666658</v>
      </c>
      <c r="D33" s="13"/>
      <c r="E33" s="13" t="s">
        <v>26</v>
      </c>
      <c r="F33" s="13" t="s">
        <v>27</v>
      </c>
      <c r="G33" s="13" t="s">
        <v>28</v>
      </c>
      <c r="H33" s="13" t="s">
        <v>29</v>
      </c>
      <c r="I33" s="13" t="s">
        <v>30</v>
      </c>
    </row>
    <row r="34" spans="1:12" x14ac:dyDescent="0.25">
      <c r="A34" s="3">
        <f>Data!D105/Data!G105</f>
        <v>24.272016084738162</v>
      </c>
      <c r="B34" s="3">
        <f>Data!I105</f>
        <v>129.08333333333326</v>
      </c>
      <c r="D34" t="s">
        <v>31</v>
      </c>
      <c r="E34">
        <v>1</v>
      </c>
      <c r="F34">
        <v>1.5897182359395634E-2</v>
      </c>
      <c r="G34">
        <v>1.5897182359395634E-2</v>
      </c>
      <c r="H34">
        <v>0.74624715760844107</v>
      </c>
      <c r="I34">
        <v>0.40043227162549622</v>
      </c>
    </row>
    <row r="35" spans="1:12" x14ac:dyDescent="0.25">
      <c r="A35">
        <f>Data!D118/Data!G118</f>
        <v>24.248080701784328</v>
      </c>
      <c r="B35" s="3">
        <f>Data!I118</f>
        <v>149.19999999999993</v>
      </c>
      <c r="D35" t="s">
        <v>32</v>
      </c>
      <c r="E35">
        <v>16</v>
      </c>
      <c r="F35">
        <v>0.34084540913426326</v>
      </c>
      <c r="G35">
        <v>2.1302838070891453E-2</v>
      </c>
    </row>
    <row r="36" spans="1:12" ht="13" thickBot="1" x14ac:dyDescent="0.3">
      <c r="A36">
        <f>Data!D119/Data!G119</f>
        <v>24.24337145303706</v>
      </c>
      <c r="B36" s="3">
        <f>Data!I119</f>
        <v>149.25</v>
      </c>
      <c r="D36" s="6" t="s">
        <v>33</v>
      </c>
      <c r="E36" s="6">
        <v>17</v>
      </c>
      <c r="F36" s="6">
        <v>0.35674259149365889</v>
      </c>
      <c r="G36" s="6"/>
      <c r="H36" s="6"/>
      <c r="I36" s="6"/>
    </row>
    <row r="37" spans="1:12" ht="13" thickBot="1" x14ac:dyDescent="0.3">
      <c r="A37">
        <f>Data!D120/Data!G120</f>
        <v>24.263283967367649</v>
      </c>
      <c r="B37" s="3">
        <f>Data!I120</f>
        <v>149.2833333333333</v>
      </c>
    </row>
    <row r="38" spans="1:12" ht="13" x14ac:dyDescent="0.3">
      <c r="A38" s="3">
        <f>Data!D208/Data!G208</f>
        <v>24.508788655350088</v>
      </c>
      <c r="B38" s="3">
        <f>Data!I208</f>
        <v>256.98333333333323</v>
      </c>
      <c r="D38" s="13"/>
      <c r="E38" s="13" t="s">
        <v>34</v>
      </c>
      <c r="F38" s="13" t="s">
        <v>23</v>
      </c>
      <c r="G38" s="13" t="s">
        <v>35</v>
      </c>
      <c r="H38" s="13" t="s">
        <v>36</v>
      </c>
      <c r="I38" s="13" t="s">
        <v>37</v>
      </c>
      <c r="J38" s="13" t="s">
        <v>38</v>
      </c>
      <c r="K38" s="13" t="s">
        <v>39</v>
      </c>
      <c r="L38" s="13" t="s">
        <v>40</v>
      </c>
    </row>
    <row r="39" spans="1:12" x14ac:dyDescent="0.25">
      <c r="A39" s="3">
        <f>Data!D209/Data!G209</f>
        <v>24.515191231185344</v>
      </c>
      <c r="B39" s="3">
        <f>Data!I209</f>
        <v>257.06666666666661</v>
      </c>
      <c r="D39" t="s">
        <v>41</v>
      </c>
      <c r="E39">
        <v>24.486005400135621</v>
      </c>
      <c r="F39">
        <v>5.7653269734267709E-2</v>
      </c>
      <c r="G39">
        <v>424.71147799587385</v>
      </c>
      <c r="H39">
        <v>7.5207899645978116E-34</v>
      </c>
      <c r="I39">
        <v>24.363785928108516</v>
      </c>
      <c r="J39">
        <v>24.608224872162726</v>
      </c>
      <c r="K39">
        <v>24.363785928108516</v>
      </c>
      <c r="L39">
        <v>24.608224872162726</v>
      </c>
    </row>
    <row r="40" spans="1:12" ht="13" thickBot="1" x14ac:dyDescent="0.3">
      <c r="A40" s="3">
        <f>Data!D210/Data!G210</f>
        <v>24.525298954781327</v>
      </c>
      <c r="B40" s="3">
        <f>Data!I210</f>
        <v>257.19999999999993</v>
      </c>
      <c r="D40" s="6" t="s">
        <v>42</v>
      </c>
      <c r="E40" s="6">
        <v>-2.7354826117296816E-4</v>
      </c>
      <c r="F40" s="6">
        <v>3.1665956696267549E-4</v>
      </c>
      <c r="G40" s="6">
        <v>-0.86385598198336189</v>
      </c>
      <c r="H40" s="6">
        <v>0.40043227162549699</v>
      </c>
      <c r="I40" s="6">
        <v>-9.4483655522625181E-4</v>
      </c>
      <c r="J40" s="6">
        <v>3.9774003288031544E-4</v>
      </c>
      <c r="K40" s="6">
        <v>-9.4483655522625181E-4</v>
      </c>
      <c r="L40" s="6">
        <v>3.9774003288031544E-4</v>
      </c>
    </row>
    <row r="41" spans="1:12" x14ac:dyDescent="0.25">
      <c r="A41" s="3">
        <f>Data!D253/Data!G253</f>
        <v>24.48107535109288</v>
      </c>
      <c r="B41" s="3">
        <f>Data!I253</f>
        <v>304.76666666666665</v>
      </c>
    </row>
    <row r="42" spans="1:12" x14ac:dyDescent="0.25">
      <c r="A42" s="3">
        <f>Data!D254/Data!G254</f>
        <v>24.483854194218697</v>
      </c>
      <c r="B42" s="3">
        <f>Data!I254</f>
        <v>304.86666666666656</v>
      </c>
    </row>
    <row r="43" spans="1:12" x14ac:dyDescent="0.25">
      <c r="A43" s="3">
        <f>Data!D255/Data!G255</f>
        <v>24.477423288995045</v>
      </c>
      <c r="B43" s="3">
        <f>Data!I255</f>
        <v>304.9666666666667</v>
      </c>
    </row>
    <row r="45" spans="1:12" x14ac:dyDescent="0.25">
      <c r="A45" t="s">
        <v>15</v>
      </c>
      <c r="D45" t="s">
        <v>16</v>
      </c>
    </row>
    <row r="46" spans="1:12" ht="13" thickBot="1" x14ac:dyDescent="0.3"/>
    <row r="47" spans="1:12" ht="13" x14ac:dyDescent="0.3">
      <c r="A47" t="s">
        <v>44</v>
      </c>
      <c r="B47" t="s">
        <v>45</v>
      </c>
      <c r="D47" s="14" t="s">
        <v>19</v>
      </c>
      <c r="E47" s="14"/>
    </row>
    <row r="48" spans="1:12" x14ac:dyDescent="0.25">
      <c r="A48" s="3">
        <f>Data!H10/Data!G10</f>
        <v>11.300024842614972</v>
      </c>
      <c r="B48" s="3">
        <f>Data!I10</f>
        <v>0</v>
      </c>
      <c r="D48" t="s">
        <v>20</v>
      </c>
      <c r="E48">
        <v>0.50239625392498144</v>
      </c>
    </row>
    <row r="49" spans="1:12" x14ac:dyDescent="0.25">
      <c r="A49" s="3">
        <f>Data!H11/Data!G11</f>
        <v>11.297303720149932</v>
      </c>
      <c r="B49" s="3">
        <f>Data!I11</f>
        <v>0.16666666666662877</v>
      </c>
      <c r="D49" t="s">
        <v>21</v>
      </c>
      <c r="E49">
        <v>0.2524019959578544</v>
      </c>
    </row>
    <row r="50" spans="1:12" x14ac:dyDescent="0.25">
      <c r="A50" s="3">
        <f>Data!H12/Data!G12</f>
        <v>11.303654152491363</v>
      </c>
      <c r="B50" s="3">
        <f>Data!I12</f>
        <v>0.28333333333330302</v>
      </c>
      <c r="D50" t="s">
        <v>22</v>
      </c>
      <c r="E50">
        <v>0.20567712070522032</v>
      </c>
    </row>
    <row r="51" spans="1:12" x14ac:dyDescent="0.25">
      <c r="A51" s="3">
        <f>Data!H25/Data!G25</f>
        <v>11.17457812615049</v>
      </c>
      <c r="B51" s="3">
        <f>Data!I25</f>
        <v>25.449999999999932</v>
      </c>
      <c r="D51" t="s">
        <v>23</v>
      </c>
      <c r="E51">
        <v>0.10724000736064197</v>
      </c>
    </row>
    <row r="52" spans="1:12" ht="13" thickBot="1" x14ac:dyDescent="0.3">
      <c r="A52" s="3">
        <f>Data!H26/Data!G26</f>
        <v>11.168346189022481</v>
      </c>
      <c r="B52" s="3">
        <f>Data!I26</f>
        <v>25.549999999999955</v>
      </c>
      <c r="D52" s="6" t="s">
        <v>24</v>
      </c>
      <c r="E52" s="6">
        <v>18</v>
      </c>
    </row>
    <row r="53" spans="1:12" x14ac:dyDescent="0.25">
      <c r="A53" s="3">
        <f>Data!H27/Data!G27</f>
        <v>11.173052384585366</v>
      </c>
      <c r="B53" s="3">
        <f>Data!I27</f>
        <v>25.649999999999977</v>
      </c>
    </row>
    <row r="54" spans="1:12" ht="13" thickBot="1" x14ac:dyDescent="0.3">
      <c r="A54" s="3">
        <f>Data!H100/Data!G100</f>
        <v>10.957613040264652</v>
      </c>
      <c r="B54" s="3">
        <f>Data!I100</f>
        <v>119.13333333333333</v>
      </c>
      <c r="D54" t="s">
        <v>25</v>
      </c>
    </row>
    <row r="55" spans="1:12" ht="13" x14ac:dyDescent="0.3">
      <c r="A55" s="3">
        <f>Data!H101/Data!G101</f>
        <v>10.983644646025716</v>
      </c>
      <c r="B55" s="3">
        <f>Data!I101</f>
        <v>119.23333333333323</v>
      </c>
      <c r="D55" s="13"/>
      <c r="E55" s="13" t="s">
        <v>26</v>
      </c>
      <c r="F55" s="13" t="s">
        <v>27</v>
      </c>
      <c r="G55" s="13" t="s">
        <v>28</v>
      </c>
      <c r="H55" s="13" t="s">
        <v>29</v>
      </c>
      <c r="I55" s="13" t="s">
        <v>30</v>
      </c>
    </row>
    <row r="56" spans="1:12" x14ac:dyDescent="0.25">
      <c r="A56" s="3">
        <f>Data!H102/Data!G102</f>
        <v>10.982494864736305</v>
      </c>
      <c r="B56" s="3">
        <f>Data!I102</f>
        <v>119.29999999999995</v>
      </c>
      <c r="D56" t="s">
        <v>31</v>
      </c>
      <c r="E56">
        <v>1</v>
      </c>
      <c r="F56">
        <v>6.2123841730211793E-2</v>
      </c>
      <c r="G56">
        <v>6.2123841730211793E-2</v>
      </c>
      <c r="H56">
        <v>5.4018762937976028</v>
      </c>
      <c r="I56">
        <v>3.3605828791636851E-2</v>
      </c>
    </row>
    <row r="57" spans="1:12" x14ac:dyDescent="0.25">
      <c r="A57" s="3">
        <f>Data!H115/Data!G115</f>
        <v>11.239882626126196</v>
      </c>
      <c r="B57" s="3">
        <f>Data!I115</f>
        <v>145.83333333333326</v>
      </c>
      <c r="D57" t="s">
        <v>32</v>
      </c>
      <c r="E57">
        <v>16</v>
      </c>
      <c r="F57">
        <v>0.18400670685936873</v>
      </c>
      <c r="G57">
        <v>1.1500419178710546E-2</v>
      </c>
    </row>
    <row r="58" spans="1:12" ht="13" thickBot="1" x14ac:dyDescent="0.3">
      <c r="A58" s="3">
        <f>Data!H116/Data!G116</f>
        <v>11.237308375079143</v>
      </c>
      <c r="B58" s="3">
        <f>Data!I116</f>
        <v>145.91666666666663</v>
      </c>
      <c r="D58" s="6" t="s">
        <v>33</v>
      </c>
      <c r="E58" s="6">
        <v>17</v>
      </c>
      <c r="F58" s="6">
        <v>0.24613054858958053</v>
      </c>
      <c r="G58" s="6"/>
      <c r="H58" s="6"/>
      <c r="I58" s="6"/>
    </row>
    <row r="59" spans="1:12" ht="13" thickBot="1" x14ac:dyDescent="0.3">
      <c r="A59" s="3">
        <f>Data!H117/Data!G117</f>
        <v>11.244065002613411</v>
      </c>
      <c r="B59" s="3">
        <f>Data!I117</f>
        <v>145.98333333333323</v>
      </c>
    </row>
    <row r="60" spans="1:12" ht="13" x14ac:dyDescent="0.3">
      <c r="A60" s="3">
        <f>Data!H205/Data!G205</f>
        <v>10.995129069068144</v>
      </c>
      <c r="B60" s="3">
        <f>Data!I205</f>
        <v>253.75</v>
      </c>
      <c r="D60" s="13"/>
      <c r="E60" s="13" t="s">
        <v>34</v>
      </c>
      <c r="F60" s="13" t="s">
        <v>23</v>
      </c>
      <c r="G60" s="13" t="s">
        <v>35</v>
      </c>
      <c r="H60" s="13" t="s">
        <v>36</v>
      </c>
      <c r="I60" s="13" t="s">
        <v>37</v>
      </c>
      <c r="J60" s="13" t="s">
        <v>38</v>
      </c>
      <c r="K60" s="13" t="s">
        <v>39</v>
      </c>
      <c r="L60" s="13" t="s">
        <v>40</v>
      </c>
    </row>
    <row r="61" spans="1:12" x14ac:dyDescent="0.25">
      <c r="A61" s="3">
        <f>Data!H206/Data!G206</f>
        <v>11.001653402490225</v>
      </c>
      <c r="B61" s="3">
        <f>Data!I206</f>
        <v>253.79999999999995</v>
      </c>
      <c r="D61" t="s">
        <v>41</v>
      </c>
      <c r="E61">
        <v>11.213162275299236</v>
      </c>
      <c r="F61">
        <v>4.118388557716423E-2</v>
      </c>
      <c r="G61">
        <v>272.27062522523971</v>
      </c>
      <c r="H61">
        <v>9.2328911130252325E-31</v>
      </c>
      <c r="I61">
        <v>11.125856338021684</v>
      </c>
      <c r="J61">
        <v>11.300468212576789</v>
      </c>
      <c r="K61">
        <v>11.125856338021684</v>
      </c>
      <c r="L61">
        <v>11.300468212576789</v>
      </c>
    </row>
    <row r="62" spans="1:12" ht="13" thickBot="1" x14ac:dyDescent="0.3">
      <c r="A62" s="3">
        <f>Data!H207/Data!G207</f>
        <v>11.027005834558121</v>
      </c>
      <c r="B62" s="3">
        <f>Data!I207</f>
        <v>253.89999999999998</v>
      </c>
      <c r="D62" s="6" t="s">
        <v>42</v>
      </c>
      <c r="E62" s="6">
        <v>-5.3602620824821359E-4</v>
      </c>
      <c r="F62" s="6">
        <v>2.3062888918883893E-4</v>
      </c>
      <c r="G62" s="6">
        <v>-2.3241936868078801</v>
      </c>
      <c r="H62" s="6">
        <v>3.3605828791636816E-2</v>
      </c>
      <c r="I62" s="6">
        <v>-1.0249376125931449E-3</v>
      </c>
      <c r="J62" s="6">
        <v>-4.7114803903282277E-5</v>
      </c>
      <c r="K62" s="6">
        <v>-1.0249376125931449E-3</v>
      </c>
      <c r="L62" s="6">
        <v>-4.7114803903282277E-5</v>
      </c>
    </row>
    <row r="63" spans="1:12" x14ac:dyDescent="0.25">
      <c r="A63" s="3">
        <f>Data!H250/Data!G250</f>
        <v>11.125983377104532</v>
      </c>
      <c r="B63" s="3">
        <f>Data!I250</f>
        <v>301.11666666666656</v>
      </c>
    </row>
    <row r="64" spans="1:12" x14ac:dyDescent="0.25">
      <c r="A64" s="3">
        <f>Data!H251/Data!G251</f>
        <v>11.130446672116166</v>
      </c>
      <c r="B64" s="3">
        <f>Data!I251</f>
        <v>301.25</v>
      </c>
    </row>
    <row r="65" spans="1:9" x14ac:dyDescent="0.25">
      <c r="A65" s="3">
        <f>Data!H252/Data!G252</f>
        <v>11.134469855287678</v>
      </c>
      <c r="B65" s="3">
        <f>Data!I252</f>
        <v>301.36666666666656</v>
      </c>
    </row>
    <row r="67" spans="1:9" x14ac:dyDescent="0.25">
      <c r="A67" t="s">
        <v>43</v>
      </c>
      <c r="D67" t="s">
        <v>16</v>
      </c>
    </row>
    <row r="68" spans="1:9" ht="13" thickBot="1" x14ac:dyDescent="0.3"/>
    <row r="69" spans="1:9" ht="13" x14ac:dyDescent="0.3">
      <c r="A69" t="s">
        <v>44</v>
      </c>
      <c r="B69" t="s">
        <v>18</v>
      </c>
      <c r="D69" s="14" t="s">
        <v>19</v>
      </c>
      <c r="E69" s="14"/>
    </row>
    <row r="70" spans="1:9" x14ac:dyDescent="0.25">
      <c r="A70" s="3">
        <f>Data!H13/Data!G13</f>
        <v>11.392658527010207</v>
      </c>
      <c r="B70" s="3">
        <f>Data!I13</f>
        <v>6.2666666666666515</v>
      </c>
      <c r="D70" t="s">
        <v>20</v>
      </c>
      <c r="E70">
        <v>0.2092073598739656</v>
      </c>
    </row>
    <row r="71" spans="1:9" x14ac:dyDescent="0.25">
      <c r="A71" s="3">
        <f>Data!H14/Data!G14</f>
        <v>11.392588605922963</v>
      </c>
      <c r="B71" s="3">
        <f>Data!I14</f>
        <v>6.3999999999999773</v>
      </c>
      <c r="D71" t="s">
        <v>21</v>
      </c>
      <c r="E71">
        <v>4.3767719425434955E-2</v>
      </c>
    </row>
    <row r="72" spans="1:9" x14ac:dyDescent="0.25">
      <c r="A72" s="3">
        <f>Data!H15/Data!G15</f>
        <v>11.389456864282648</v>
      </c>
      <c r="B72" s="3">
        <f>Data!I15</f>
        <v>6.4499999999999318</v>
      </c>
      <c r="D72" t="s">
        <v>22</v>
      </c>
      <c r="E72">
        <v>-1.5996798110475358E-2</v>
      </c>
    </row>
    <row r="73" spans="1:9" x14ac:dyDescent="0.25">
      <c r="A73" s="3">
        <f>Data!H28/Data!G28</f>
        <v>11.326568194075312</v>
      </c>
      <c r="B73" s="3">
        <f>Data!I28</f>
        <v>29.949999999999932</v>
      </c>
      <c r="D73" t="s">
        <v>23</v>
      </c>
      <c r="E73">
        <v>4.5641366037368056E-2</v>
      </c>
    </row>
    <row r="74" spans="1:9" ht="13" thickBot="1" x14ac:dyDescent="0.3">
      <c r="A74" s="3">
        <f>Data!H29/Data!G29</f>
        <v>11.331786444335519</v>
      </c>
      <c r="B74" s="3">
        <f>Data!I29</f>
        <v>30.066666666666606</v>
      </c>
      <c r="D74" s="6" t="s">
        <v>24</v>
      </c>
      <c r="E74" s="6">
        <v>18</v>
      </c>
    </row>
    <row r="75" spans="1:9" x14ac:dyDescent="0.25">
      <c r="A75" s="3">
        <f>Data!H30/Data!G30</f>
        <v>11.332194922230551</v>
      </c>
      <c r="B75" s="3">
        <f>Data!I30</f>
        <v>30.166666666666629</v>
      </c>
    </row>
    <row r="76" spans="1:9" ht="13" thickBot="1" x14ac:dyDescent="0.3">
      <c r="A76" s="3">
        <f>Data!H103/Data!G103</f>
        <v>11.281914163419762</v>
      </c>
      <c r="B76" s="3">
        <f>Data!I103</f>
        <v>128.89999999999998</v>
      </c>
      <c r="D76" t="s">
        <v>25</v>
      </c>
    </row>
    <row r="77" spans="1:9" ht="13" x14ac:dyDescent="0.3">
      <c r="A77" s="3">
        <f>Data!H104/Data!G104</f>
        <v>11.28355403835794</v>
      </c>
      <c r="B77" s="3">
        <f>Data!I104</f>
        <v>128.96666666666658</v>
      </c>
      <c r="D77" s="13"/>
      <c r="E77" s="13" t="s">
        <v>26</v>
      </c>
      <c r="F77" s="13" t="s">
        <v>27</v>
      </c>
      <c r="G77" s="13" t="s">
        <v>28</v>
      </c>
      <c r="H77" s="13" t="s">
        <v>29</v>
      </c>
      <c r="I77" s="13" t="s">
        <v>30</v>
      </c>
    </row>
    <row r="78" spans="1:9" x14ac:dyDescent="0.25">
      <c r="A78" s="3">
        <f>Data!H105/Data!G105</f>
        <v>11.285663774820733</v>
      </c>
      <c r="B78" s="3">
        <f>Data!I105</f>
        <v>129.08333333333326</v>
      </c>
      <c r="D78" t="s">
        <v>31</v>
      </c>
      <c r="E78">
        <v>1</v>
      </c>
      <c r="F78">
        <v>1.5255546443569204E-3</v>
      </c>
      <c r="G78">
        <v>1.5255546443569204E-3</v>
      </c>
      <c r="H78">
        <v>0.73233619595668165</v>
      </c>
      <c r="I78">
        <v>0.40476080505504231</v>
      </c>
    </row>
    <row r="79" spans="1:9" x14ac:dyDescent="0.25">
      <c r="A79" s="3">
        <f>Data!H118/Data!G118</f>
        <v>11.291680468222658</v>
      </c>
      <c r="B79" s="3">
        <f>Data!I118</f>
        <v>149.19999999999993</v>
      </c>
      <c r="D79" t="s">
        <v>32</v>
      </c>
      <c r="E79">
        <v>16</v>
      </c>
      <c r="F79">
        <v>3.3330148700112229E-2</v>
      </c>
      <c r="G79">
        <v>2.0831342937570143E-3</v>
      </c>
    </row>
    <row r="80" spans="1:9" ht="13" thickBot="1" x14ac:dyDescent="0.3">
      <c r="A80" s="3">
        <f>Data!H119/Data!G119</f>
        <v>11.291676897615753</v>
      </c>
      <c r="B80" s="3">
        <f>Data!I119</f>
        <v>149.25</v>
      </c>
      <c r="D80" s="6" t="s">
        <v>33</v>
      </c>
      <c r="E80" s="6">
        <v>17</v>
      </c>
      <c r="F80" s="6">
        <v>3.4855703344469149E-2</v>
      </c>
      <c r="G80" s="6"/>
      <c r="H80" s="6"/>
      <c r="I80" s="6"/>
    </row>
    <row r="81" spans="1:12" ht="13" thickBot="1" x14ac:dyDescent="0.3">
      <c r="A81" s="3">
        <f>Data!H120/Data!G120</f>
        <v>11.300029577658322</v>
      </c>
      <c r="B81" s="3">
        <f>Data!I120</f>
        <v>149.2833333333333</v>
      </c>
    </row>
    <row r="82" spans="1:12" ht="13" x14ac:dyDescent="0.3">
      <c r="A82" s="3">
        <f>Data!H208/Data!G208</f>
        <v>11.354297848296572</v>
      </c>
      <c r="B82" s="3">
        <f>Data!I208</f>
        <v>256.98333333333323</v>
      </c>
      <c r="D82" s="13"/>
      <c r="E82" s="13" t="s">
        <v>34</v>
      </c>
      <c r="F82" s="13" t="s">
        <v>23</v>
      </c>
      <c r="G82" s="13" t="s">
        <v>35</v>
      </c>
      <c r="H82" s="13" t="s">
        <v>36</v>
      </c>
      <c r="I82" s="13" t="s">
        <v>37</v>
      </c>
      <c r="J82" s="13" t="s">
        <v>38</v>
      </c>
      <c r="K82" s="13" t="s">
        <v>39</v>
      </c>
      <c r="L82" s="13" t="s">
        <v>40</v>
      </c>
    </row>
    <row r="83" spans="1:12" x14ac:dyDescent="0.25">
      <c r="A83" s="3">
        <f>Data!H209/Data!G209</f>
        <v>11.359981599682932</v>
      </c>
      <c r="B83" s="3">
        <f>Data!I209</f>
        <v>257.06666666666661</v>
      </c>
      <c r="D83" t="s">
        <v>41</v>
      </c>
      <c r="E83">
        <v>11.330449935427129</v>
      </c>
      <c r="F83">
        <v>1.8028676418244113E-2</v>
      </c>
      <c r="G83">
        <v>628.46820657124249</v>
      </c>
      <c r="H83">
        <v>1.4236150201864451E-36</v>
      </c>
      <c r="I83">
        <v>11.292230848750147</v>
      </c>
      <c r="J83">
        <v>11.368669022104111</v>
      </c>
      <c r="K83">
        <v>11.292230848750147</v>
      </c>
      <c r="L83">
        <v>11.368669022104111</v>
      </c>
    </row>
    <row r="84" spans="1:12" ht="13" thickBot="1" x14ac:dyDescent="0.3">
      <c r="A84" s="3">
        <f>Data!H210/Data!G210</f>
        <v>11.3677794976493</v>
      </c>
      <c r="B84" s="3">
        <f>Data!I210</f>
        <v>257.19999999999993</v>
      </c>
      <c r="D84" s="6" t="s">
        <v>42</v>
      </c>
      <c r="E84" s="6">
        <v>8.4739864385063366E-5</v>
      </c>
      <c r="F84" s="6">
        <v>9.9022187185996102E-5</v>
      </c>
      <c r="G84" s="6">
        <v>0.85576643773676853</v>
      </c>
      <c r="H84" s="6">
        <v>0.4047608050550433</v>
      </c>
      <c r="I84" s="6">
        <v>-1.2517779497100881E-4</v>
      </c>
      <c r="J84" s="6">
        <v>2.9465752374113557E-4</v>
      </c>
      <c r="K84" s="6">
        <v>-1.2517779497100881E-4</v>
      </c>
      <c r="L84" s="6">
        <v>2.9465752374113557E-4</v>
      </c>
    </row>
    <row r="85" spans="1:12" x14ac:dyDescent="0.25">
      <c r="A85" s="3">
        <f>Data!H253/Data!G253</f>
        <v>11.392989068097018</v>
      </c>
      <c r="B85" s="24">
        <f>Data!I253</f>
        <v>304.76666666666665</v>
      </c>
    </row>
    <row r="86" spans="1:12" x14ac:dyDescent="0.25">
      <c r="A86" s="3">
        <f>Data!H254/Data!G254</f>
        <v>11.397701950251177</v>
      </c>
      <c r="B86" s="24">
        <f>Data!I254</f>
        <v>304.86666666666656</v>
      </c>
    </row>
    <row r="87" spans="1:12" x14ac:dyDescent="0.25">
      <c r="A87" s="3">
        <f>Data!H255/Data!G255</f>
        <v>11.398428115780932</v>
      </c>
      <c r="B87" s="24">
        <f>Data!I255</f>
        <v>304.9666666666667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8"/>
  <sheetViews>
    <sheetView tabSelected="1" zoomScale="80" zoomScaleNormal="80" zoomScalePageLayoutView="180" workbookViewId="0">
      <selection activeCell="L261" sqref="L261"/>
    </sheetView>
  </sheetViews>
  <sheetFormatPr defaultColWidth="8.81640625" defaultRowHeight="13" x14ac:dyDescent="0.3"/>
  <cols>
    <col min="1" max="1" width="22.1796875" bestFit="1" customWidth="1"/>
    <col min="2" max="2" width="9.81640625" customWidth="1"/>
    <col min="3" max="3" width="17.36328125" bestFit="1" customWidth="1"/>
    <col min="5" max="5" width="8.453125" bestFit="1" customWidth="1"/>
    <col min="7" max="7" width="17.36328125" bestFit="1" customWidth="1"/>
    <col min="8" max="8" width="12.6328125" bestFit="1" customWidth="1"/>
    <col min="9" max="9" width="13.6328125" customWidth="1"/>
    <col min="10" max="10" width="9.453125" bestFit="1" customWidth="1"/>
    <col min="12" max="12" width="10.453125" customWidth="1"/>
    <col min="13" max="13" width="8.81640625" style="22"/>
    <col min="14" max="14" width="10.1796875" style="22" customWidth="1"/>
    <col min="15" max="15" width="22.1796875" style="4" bestFit="1" customWidth="1"/>
  </cols>
  <sheetData>
    <row r="1" spans="1:20" ht="15.5" x14ac:dyDescent="0.4">
      <c r="C1" t="s">
        <v>46</v>
      </c>
      <c r="G1" s="4" t="s">
        <v>47</v>
      </c>
      <c r="H1" s="4" t="s">
        <v>48</v>
      </c>
      <c r="K1" s="4"/>
      <c r="L1" s="4"/>
      <c r="M1" s="20"/>
      <c r="N1" s="20"/>
      <c r="Q1" s="4"/>
      <c r="R1" s="4"/>
      <c r="S1" s="4"/>
      <c r="T1" s="4"/>
    </row>
    <row r="2" spans="1:20" ht="16" x14ac:dyDescent="0.4">
      <c r="B2" s="4" t="s">
        <v>49</v>
      </c>
      <c r="C2" s="4" t="s">
        <v>50</v>
      </c>
      <c r="D2" s="4" t="s">
        <v>12</v>
      </c>
      <c r="F2" s="4" t="s">
        <v>51</v>
      </c>
      <c r="G2">
        <f>Regs!E5</f>
        <v>0.1077090635427695</v>
      </c>
      <c r="H2">
        <f>Regs!E49</f>
        <v>0.2524019959578544</v>
      </c>
      <c r="K2" s="3"/>
      <c r="L2" s="3"/>
      <c r="M2" s="21"/>
      <c r="N2" s="21"/>
      <c r="Q2" s="3"/>
      <c r="R2" s="3"/>
      <c r="S2" s="3"/>
      <c r="T2" s="3"/>
    </row>
    <row r="3" spans="1:20" x14ac:dyDescent="0.3">
      <c r="A3" t="s">
        <v>15</v>
      </c>
      <c r="B3">
        <v>38.186999999999998</v>
      </c>
      <c r="C3">
        <v>20.393000000000001</v>
      </c>
      <c r="D3">
        <v>13.9</v>
      </c>
      <c r="F3" s="4" t="s">
        <v>52</v>
      </c>
      <c r="G3">
        <f>Regs!E17</f>
        <v>23.528265531659017</v>
      </c>
      <c r="H3">
        <f>Regs!E61</f>
        <v>11.213162275299236</v>
      </c>
      <c r="K3" s="3"/>
      <c r="L3" s="3"/>
      <c r="M3" s="21"/>
      <c r="N3" s="21"/>
      <c r="Q3" s="3"/>
      <c r="R3" s="3"/>
      <c r="S3" s="3"/>
      <c r="T3" s="3"/>
    </row>
    <row r="4" spans="1:20" x14ac:dyDescent="0.3">
      <c r="A4" t="s">
        <v>43</v>
      </c>
      <c r="B4">
        <v>38.860999999999997</v>
      </c>
      <c r="C4">
        <v>20.38</v>
      </c>
      <c r="D4">
        <v>11.6</v>
      </c>
      <c r="F4" s="4" t="s">
        <v>53</v>
      </c>
      <c r="G4">
        <f>Regs!E18</f>
        <v>-2.1974378130011686E-4</v>
      </c>
      <c r="H4">
        <f>Regs!E62</f>
        <v>-5.3602620824821359E-4</v>
      </c>
      <c r="K4" s="3"/>
      <c r="L4" s="3"/>
      <c r="M4" s="21"/>
      <c r="N4" s="21"/>
      <c r="Q4" s="3"/>
      <c r="R4" s="3"/>
      <c r="S4" s="3"/>
      <c r="T4" s="3"/>
    </row>
    <row r="5" spans="1:20" x14ac:dyDescent="0.3">
      <c r="F5" s="4"/>
      <c r="K5" s="3"/>
      <c r="L5" s="3"/>
      <c r="M5" s="21"/>
      <c r="N5" s="21"/>
      <c r="Q5" s="3"/>
      <c r="R5" s="3"/>
      <c r="S5" s="3"/>
      <c r="T5" s="3"/>
    </row>
    <row r="6" spans="1:20" x14ac:dyDescent="0.3">
      <c r="A6" s="7" t="s">
        <v>54</v>
      </c>
      <c r="B6">
        <f>(Regs!E39+Regs!E40*(Data!I255/2))-(Regs!E17+Regs!E18*(Data!I255/2))</f>
        <v>0.94953558203732769</v>
      </c>
      <c r="K6" s="3"/>
      <c r="L6" s="3"/>
      <c r="M6" s="21"/>
      <c r="N6" s="21"/>
      <c r="Q6" s="3"/>
      <c r="R6" s="3"/>
      <c r="S6" s="3"/>
      <c r="T6" s="3"/>
    </row>
    <row r="7" spans="1:20" x14ac:dyDescent="0.3">
      <c r="A7" s="8" t="s">
        <v>55</v>
      </c>
      <c r="B7" s="3">
        <f>AVERAGE(D13:D15,D28:D30,D103:D105,D118:D120,D208:D210,D253:D255)</f>
        <v>1.6251822866425267</v>
      </c>
      <c r="C7" s="3">
        <f>AVERAGE(F13:F15,F28:F30,F103:F105,F118:F120,F208:F210,F253:F255)</f>
        <v>1.8312083389741305</v>
      </c>
      <c r="K7" s="3"/>
      <c r="L7" s="3"/>
      <c r="M7" s="21"/>
      <c r="N7" s="21"/>
      <c r="Q7" s="3"/>
      <c r="R7" s="3"/>
      <c r="S7" s="3"/>
      <c r="T7" s="3"/>
    </row>
    <row r="8" spans="1:20" x14ac:dyDescent="0.3">
      <c r="A8" s="8" t="s">
        <v>56</v>
      </c>
      <c r="B8">
        <f>B6*B7</f>
        <v>1.5431684084638668</v>
      </c>
      <c r="K8" s="3"/>
      <c r="L8" s="3"/>
      <c r="M8" s="21"/>
      <c r="N8" s="21"/>
      <c r="Q8" s="3"/>
      <c r="R8" s="3"/>
      <c r="S8" s="3"/>
      <c r="T8" s="3"/>
    </row>
    <row r="9" spans="1:20" x14ac:dyDescent="0.3">
      <c r="A9" s="8" t="s">
        <v>57</v>
      </c>
      <c r="B9">
        <f>B8/(B4-B3)</f>
        <v>2.2895673716081126</v>
      </c>
      <c r="K9" s="3"/>
      <c r="L9" s="3"/>
      <c r="M9" s="21"/>
      <c r="N9" s="21"/>
      <c r="Q9" s="3"/>
      <c r="R9" s="3"/>
      <c r="S9" s="3"/>
      <c r="T9" s="3"/>
    </row>
    <row r="10" spans="1:20" x14ac:dyDescent="0.3">
      <c r="A10" s="8"/>
      <c r="K10" s="3"/>
      <c r="M10" s="21"/>
    </row>
    <row r="11" spans="1:20" x14ac:dyDescent="0.3">
      <c r="E11" t="s">
        <v>58</v>
      </c>
      <c r="H11" s="9"/>
      <c r="J11" t="s">
        <v>46</v>
      </c>
    </row>
    <row r="12" spans="1:20" ht="15.5" x14ac:dyDescent="0.4">
      <c r="A12" s="4" t="s">
        <v>59</v>
      </c>
      <c r="B12" s="4" t="s">
        <v>60</v>
      </c>
      <c r="C12" s="4" t="s">
        <v>49</v>
      </c>
      <c r="D12" s="4" t="s">
        <v>61</v>
      </c>
      <c r="E12" s="4" t="s">
        <v>50</v>
      </c>
      <c r="F12" s="4" t="s">
        <v>61</v>
      </c>
      <c r="G12" s="4" t="s">
        <v>62</v>
      </c>
      <c r="H12" s="10" t="s">
        <v>63</v>
      </c>
      <c r="I12" s="4" t="s">
        <v>49</v>
      </c>
      <c r="J12" s="4" t="s">
        <v>50</v>
      </c>
      <c r="K12" s="4" t="s">
        <v>64</v>
      </c>
      <c r="L12" s="4" t="s">
        <v>65</v>
      </c>
      <c r="M12" s="20" t="s">
        <v>66</v>
      </c>
      <c r="N12" s="20" t="s">
        <v>67</v>
      </c>
      <c r="O12" s="4" t="s">
        <v>59</v>
      </c>
    </row>
    <row r="13" spans="1:20" x14ac:dyDescent="0.3">
      <c r="A13" t="str">
        <f>Data!A10</f>
        <v>Calibrate_20C</v>
      </c>
      <c r="B13" s="3">
        <f>Data!I10</f>
        <v>0</v>
      </c>
      <c r="C13" s="3">
        <f>Data!D10/Data!G10</f>
        <v>23.414663125001557</v>
      </c>
      <c r="D13" s="3">
        <f t="shared" ref="D13:D21" si="0">B$3/C13</f>
        <v>1.6309011065474153</v>
      </c>
      <c r="E13" s="3">
        <f>Data!H10/Data!G10</f>
        <v>11.300024842614972</v>
      </c>
      <c r="F13" s="3">
        <f>C$3/E13</f>
        <v>1.8046862979533767</v>
      </c>
      <c r="G13" s="3">
        <f>C13-(G$3+G$4*B13)</f>
        <v>-0.11360240665745991</v>
      </c>
      <c r="H13" s="11">
        <f>E13-(H$3+H$4*B13)</f>
        <v>8.6862567315735717E-2</v>
      </c>
      <c r="I13" s="3">
        <f>G13*(B$7/B$9)+B$3</f>
        <v>38.106362661562564</v>
      </c>
      <c r="J13" s="3">
        <f>H13*(C$7)+C$3</f>
        <v>20.552063457613279</v>
      </c>
      <c r="K13" s="3">
        <f>I13*D$3</f>
        <v>529.6784409957196</v>
      </c>
      <c r="L13" s="3">
        <f>J13*D$3</f>
        <v>285.6736820608246</v>
      </c>
      <c r="O13" s="4" t="str">
        <f>Data!A10</f>
        <v>Calibrate_20C</v>
      </c>
    </row>
    <row r="14" spans="1:20" x14ac:dyDescent="0.3">
      <c r="B14" s="3">
        <f>Data!I11</f>
        <v>0.16666666666662877</v>
      </c>
      <c r="C14" s="3">
        <f>Data!D11/Data!G11</f>
        <v>23.397699823760071</v>
      </c>
      <c r="D14" s="3">
        <f t="shared" si="0"/>
        <v>1.6320835076797411</v>
      </c>
      <c r="E14" s="3">
        <f>Data!H11/Data!G11</f>
        <v>11.297303720149932</v>
      </c>
      <c r="F14" s="3">
        <f>C$3/E14</f>
        <v>1.805120983303913</v>
      </c>
      <c r="G14" s="3">
        <f t="shared" ref="G14:G77" si="1">C14-(G$3+G$4*B14)</f>
        <v>-0.13052908393539653</v>
      </c>
      <c r="H14" s="11">
        <f t="shared" ref="H14:H77" si="2">E14-(H$3+H$4*B14)</f>
        <v>8.4230782552070949E-2</v>
      </c>
      <c r="I14" s="3">
        <f t="shared" ref="I14:I77" si="3">G14*(B$7/B$9)+B$3</f>
        <v>38.094347755853768</v>
      </c>
      <c r="J14" s="3">
        <f t="shared" ref="J14:J77" si="4">H14*(C$7)+C$3</f>
        <v>20.547244111407668</v>
      </c>
      <c r="K14" s="3">
        <f t="shared" ref="K14:K77" si="5">I14*D$3</f>
        <v>529.51143380636734</v>
      </c>
      <c r="L14" s="3">
        <f t="shared" ref="L14:L77" si="6">J14*D$3</f>
        <v>285.60669314856659</v>
      </c>
    </row>
    <row r="15" spans="1:20" x14ac:dyDescent="0.3">
      <c r="B15" s="3">
        <f>Data!I12</f>
        <v>0.28333333333330302</v>
      </c>
      <c r="C15" s="3">
        <f>Data!D12/Data!G12</f>
        <v>23.405415382159568</v>
      </c>
      <c r="D15" s="3">
        <f t="shared" si="0"/>
        <v>1.6315454939162273</v>
      </c>
      <c r="E15" s="3">
        <f>Data!H12/Data!G12</f>
        <v>11.303654152491363</v>
      </c>
      <c r="F15" s="3">
        <f>C$3/E15</f>
        <v>1.8041068600374079</v>
      </c>
      <c r="G15" s="3">
        <f t="shared" si="1"/>
        <v>-0.12278788876141533</v>
      </c>
      <c r="H15" s="11">
        <f t="shared" si="2"/>
        <v>9.0643751284464003E-2</v>
      </c>
      <c r="I15" s="3">
        <f t="shared" si="3"/>
        <v>38.099842616337106</v>
      </c>
      <c r="J15" s="3">
        <f t="shared" si="4"/>
        <v>20.558987593228007</v>
      </c>
      <c r="K15" s="3">
        <f t="shared" si="5"/>
        <v>529.5878123670858</v>
      </c>
      <c r="L15" s="3">
        <f t="shared" si="6"/>
        <v>285.76992754586934</v>
      </c>
    </row>
    <row r="16" spans="1:20" x14ac:dyDescent="0.3">
      <c r="A16" t="str">
        <f>Data!A13</f>
        <v>Calibrate_30C</v>
      </c>
      <c r="B16" s="3">
        <f>Data!I13</f>
        <v>6.2666666666666515</v>
      </c>
      <c r="C16" s="3">
        <f>Data!D13/Data!G13</f>
        <v>24.64650888437782</v>
      </c>
      <c r="D16" s="3">
        <f>B$4/C16</f>
        <v>1.5767344650029533</v>
      </c>
      <c r="E16" s="3">
        <f>Data!H13/Data!G13</f>
        <v>11.392658527010207</v>
      </c>
      <c r="F16" s="3">
        <f>C$4/E16</f>
        <v>1.7888713114399255</v>
      </c>
      <c r="G16" s="3">
        <f t="shared" si="1"/>
        <v>1.119620413748283</v>
      </c>
      <c r="H16" s="11">
        <f t="shared" si="2"/>
        <v>0.18285534928265967</v>
      </c>
      <c r="I16" s="3">
        <f t="shared" si="3"/>
        <v>38.98172973224154</v>
      </c>
      <c r="J16" s="3">
        <f t="shared" si="4"/>
        <v>20.727846240432434</v>
      </c>
      <c r="K16" s="3">
        <f t="shared" si="5"/>
        <v>541.84604327815737</v>
      </c>
      <c r="L16" s="3">
        <f t="shared" si="6"/>
        <v>288.11706274201083</v>
      </c>
      <c r="O16" s="4" t="str">
        <f>Data!A13</f>
        <v>Calibrate_30C</v>
      </c>
    </row>
    <row r="17" spans="1:17" x14ac:dyDescent="0.3">
      <c r="B17" s="3">
        <f>Data!I14</f>
        <v>6.3999999999999773</v>
      </c>
      <c r="C17" s="3">
        <f>Data!D14/Data!G14</f>
        <v>24.658163888921745</v>
      </c>
      <c r="D17" s="3">
        <f t="shared" ref="D17:D18" si="7">B$4/C17</f>
        <v>1.5759892007798362</v>
      </c>
      <c r="E17" s="3">
        <f>Data!H14/Data!G14</f>
        <v>11.392588605922963</v>
      </c>
      <c r="F17" s="3">
        <f>C$4/E17</f>
        <v>1.7888822904923043</v>
      </c>
      <c r="G17" s="3">
        <f t="shared" si="1"/>
        <v>1.1313047174630491</v>
      </c>
      <c r="H17" s="11">
        <f t="shared" si="2"/>
        <v>0.18285689835651553</v>
      </c>
      <c r="I17" s="3">
        <f t="shared" si="3"/>
        <v>38.990023492741649</v>
      </c>
      <c r="J17" s="3">
        <f t="shared" si="4"/>
        <v>20.727849077109397</v>
      </c>
      <c r="K17" s="3">
        <f t="shared" si="5"/>
        <v>541.96132654910889</v>
      </c>
      <c r="L17" s="3">
        <f t="shared" si="6"/>
        <v>288.11710217182065</v>
      </c>
    </row>
    <row r="18" spans="1:17" x14ac:dyDescent="0.3">
      <c r="B18" s="3">
        <f>Data!I15</f>
        <v>6.4499999999999318</v>
      </c>
      <c r="C18" s="3">
        <f>Data!D15/Data!G15</f>
        <v>24.658114979261907</v>
      </c>
      <c r="D18" s="3">
        <f t="shared" si="7"/>
        <v>1.5759923267728726</v>
      </c>
      <c r="E18" s="3">
        <f>Data!H15/Data!G15</f>
        <v>11.389456864282648</v>
      </c>
      <c r="F18" s="3">
        <f>C$4/E18</f>
        <v>1.7893741767363558</v>
      </c>
      <c r="G18" s="3">
        <f t="shared" si="1"/>
        <v>1.1312667949922748</v>
      </c>
      <c r="H18" s="11">
        <f t="shared" si="2"/>
        <v>0.17975195802661226</v>
      </c>
      <c r="I18" s="3">
        <f t="shared" si="3"/>
        <v>38.989996574587359</v>
      </c>
      <c r="J18" s="3">
        <f t="shared" si="4"/>
        <v>20.722163284485262</v>
      </c>
      <c r="K18" s="3">
        <f t="shared" si="5"/>
        <v>541.96095238676435</v>
      </c>
      <c r="L18" s="3">
        <f t="shared" si="6"/>
        <v>288.03806965434518</v>
      </c>
    </row>
    <row r="19" spans="1:17" x14ac:dyDescent="0.3">
      <c r="A19" t="str">
        <f>Data!A16</f>
        <v>grassesIN_T0_1</v>
      </c>
      <c r="B19" s="3">
        <f>Data!I16</f>
        <v>14.333333333333258</v>
      </c>
      <c r="C19" s="3">
        <f>Data!D16/Data!G16</f>
        <v>23.91552227838034</v>
      </c>
      <c r="D19" s="3">
        <f t="shared" si="0"/>
        <v>1.5967453921974804</v>
      </c>
      <c r="E19" s="3">
        <f>Data!H16/Data!G16</f>
        <v>9.1367589261341795</v>
      </c>
      <c r="F19" s="3">
        <f>C$3/E19</f>
        <v>2.2319730842048613</v>
      </c>
      <c r="G19" s="3">
        <f t="shared" si="1"/>
        <v>0.39040640758662448</v>
      </c>
      <c r="H19" s="11">
        <f t="shared" si="2"/>
        <v>-2.0687203068468332</v>
      </c>
      <c r="I19" s="3">
        <f t="shared" si="3"/>
        <v>38.464118544782494</v>
      </c>
      <c r="J19" s="3">
        <f t="shared" si="4"/>
        <v>16.604742123096958</v>
      </c>
      <c r="K19" s="3">
        <f t="shared" si="5"/>
        <v>534.65124777247672</v>
      </c>
      <c r="L19" s="3">
        <f t="shared" si="6"/>
        <v>230.80591551104771</v>
      </c>
      <c r="M19" s="21">
        <f>AVERAGE(K19:K21)</f>
        <v>534.57746026831762</v>
      </c>
      <c r="N19" s="21">
        <f>AVERAGE(L19:L21)</f>
        <v>230.54687974026169</v>
      </c>
      <c r="O19" s="4" t="str">
        <f>Data!A16</f>
        <v>grassesIN_T0_1</v>
      </c>
      <c r="P19" s="18">
        <f>STDEV(K19:K21)/SQRT(3)</f>
        <v>3.6957549601825283E-2</v>
      </c>
      <c r="Q19" s="18">
        <f>STDEV(L19:L21)/SQRT(3)</f>
        <v>0.12971089738447014</v>
      </c>
    </row>
    <row r="20" spans="1:17" x14ac:dyDescent="0.3">
      <c r="B20" s="3">
        <f>Data!I17</f>
        <v>14.43333333333328</v>
      </c>
      <c r="C20" s="3">
        <f>Data!D17/Data!G17</f>
        <v>23.903901381560384</v>
      </c>
      <c r="D20" s="3">
        <f t="shared" si="0"/>
        <v>1.5975216509827841</v>
      </c>
      <c r="E20" s="3">
        <f>Data!H17/Data!G17</f>
        <v>9.1219215948674925</v>
      </c>
      <c r="F20" s="3">
        <f>C$3/E20</f>
        <v>2.2356035170784905</v>
      </c>
      <c r="G20" s="3">
        <f t="shared" si="1"/>
        <v>0.37880748514480089</v>
      </c>
      <c r="H20" s="11">
        <f t="shared" si="2"/>
        <v>-2.0835040354926946</v>
      </c>
      <c r="I20" s="3">
        <f t="shared" si="3"/>
        <v>38.455885389676276</v>
      </c>
      <c r="J20" s="3">
        <f t="shared" si="4"/>
        <v>16.577670035919525</v>
      </c>
      <c r="K20" s="3">
        <f t="shared" si="5"/>
        <v>534.53680691650027</v>
      </c>
      <c r="L20" s="3">
        <f t="shared" si="6"/>
        <v>230.4296134992814</v>
      </c>
    </row>
    <row r="21" spans="1:17" x14ac:dyDescent="0.3">
      <c r="B21" s="3">
        <f>Data!I18</f>
        <v>14.549999999999955</v>
      </c>
      <c r="C21" s="3">
        <f>Data!D18/Data!G18</f>
        <v>23.904637838102982</v>
      </c>
      <c r="D21" s="3">
        <f t="shared" si="0"/>
        <v>1.597472434371356</v>
      </c>
      <c r="E21" s="3">
        <f>Data!H18/Data!G18</f>
        <v>9.120896400925945</v>
      </c>
      <c r="F21" s="3">
        <f>C$3/E21</f>
        <v>2.2358548001849603</v>
      </c>
      <c r="G21" s="3">
        <f t="shared" si="1"/>
        <v>0.37956957846188288</v>
      </c>
      <c r="H21" s="11">
        <f t="shared" si="2"/>
        <v>-2.0844666930432805</v>
      </c>
      <c r="I21" s="3">
        <f t="shared" si="3"/>
        <v>38.456426339278828</v>
      </c>
      <c r="J21" s="3">
        <f t="shared" si="4"/>
        <v>16.575907209385317</v>
      </c>
      <c r="K21" s="3">
        <f t="shared" si="5"/>
        <v>534.54432611597576</v>
      </c>
      <c r="L21" s="3">
        <f t="shared" si="6"/>
        <v>230.40511021045592</v>
      </c>
    </row>
    <row r="22" spans="1:17" x14ac:dyDescent="0.3">
      <c r="A22" t="str">
        <f>Data!A19</f>
        <v>1_T0_1</v>
      </c>
      <c r="B22" s="3">
        <f>Data!I19</f>
        <v>17.5</v>
      </c>
      <c r="C22" s="3">
        <f>Data!D19/Data!G19</f>
        <v>23.950344688422231</v>
      </c>
      <c r="D22" s="3">
        <f>B$4/C22</f>
        <v>1.6225653745511932</v>
      </c>
      <c r="E22" s="3">
        <f>Data!H19/Data!G19</f>
        <v>6.9157099533753863</v>
      </c>
      <c r="F22" s="3">
        <f>C$4/E22</f>
        <v>2.9469136411733152</v>
      </c>
      <c r="G22" s="3">
        <f t="shared" si="1"/>
        <v>0.4259246729359667</v>
      </c>
      <c r="H22" s="11">
        <f t="shared" si="2"/>
        <v>-4.2880718632795061</v>
      </c>
      <c r="I22" s="3">
        <f t="shared" si="3"/>
        <v>38.489330144324761</v>
      </c>
      <c r="J22" s="3">
        <f t="shared" si="4"/>
        <v>12.540647045842231</v>
      </c>
      <c r="K22" s="3">
        <f t="shared" si="5"/>
        <v>535.00168900611413</v>
      </c>
      <c r="L22" s="3">
        <f t="shared" si="6"/>
        <v>174.31499393720702</v>
      </c>
      <c r="M22" s="21">
        <f>AVERAGE(K22:K24)</f>
        <v>534.96321614836972</v>
      </c>
      <c r="N22" s="21">
        <f>AVERAGE(L22:L24)</f>
        <v>173.98309400858611</v>
      </c>
      <c r="O22" s="4" t="str">
        <f>Data!A19</f>
        <v>1_T0_1</v>
      </c>
      <c r="P22" s="18">
        <f>STDEV(K22:K24)/SQRT(3)</f>
        <v>2.3391762749194831E-2</v>
      </c>
      <c r="Q22" s="18">
        <f>STDEV(L22:L24)/SQRT(3)</f>
        <v>0.17980519207578147</v>
      </c>
    </row>
    <row r="23" spans="1:17" x14ac:dyDescent="0.3">
      <c r="B23" s="3">
        <f>Data!I20</f>
        <v>17.583333333333258</v>
      </c>
      <c r="C23" s="3">
        <f>Data!D20/Data!G20</f>
        <v>23.946813775435942</v>
      </c>
      <c r="D23" s="3">
        <f t="shared" ref="D23:D24" si="8">B$4/C23</f>
        <v>1.6228046187865988</v>
      </c>
      <c r="E23" s="3">
        <f>Data!H20/Data!G20</f>
        <v>6.9008160849271736</v>
      </c>
      <c r="F23" s="3">
        <f>C$4/E23</f>
        <v>2.9532738953171327</v>
      </c>
      <c r="G23" s="3">
        <f t="shared" si="1"/>
        <v>0.42241207193145058</v>
      </c>
      <c r="H23" s="11">
        <f t="shared" si="2"/>
        <v>-4.3029210628770311</v>
      </c>
      <c r="I23" s="3">
        <f t="shared" si="3"/>
        <v>38.486836827463513</v>
      </c>
      <c r="J23" s="3">
        <f t="shared" si="4"/>
        <v>12.513455067712153</v>
      </c>
      <c r="K23" s="3">
        <f t="shared" si="5"/>
        <v>534.96703190174287</v>
      </c>
      <c r="L23" s="3">
        <f t="shared" si="6"/>
        <v>173.93702544119893</v>
      </c>
    </row>
    <row r="24" spans="1:17" x14ac:dyDescent="0.3">
      <c r="B24" s="3">
        <f>Data!I21</f>
        <v>17.633333333333326</v>
      </c>
      <c r="C24" s="3">
        <f>Data!D21/Data!G21</f>
        <v>23.9421299732509</v>
      </c>
      <c r="D24" s="3">
        <f t="shared" si="8"/>
        <v>1.6231220882777369</v>
      </c>
      <c r="E24" s="3">
        <f>Data!H21/Data!G21</f>
        <v>6.8913697536308227</v>
      </c>
      <c r="F24" s="3">
        <f>C$4/E24</f>
        <v>2.9573220895980059</v>
      </c>
      <c r="G24" s="3">
        <f t="shared" si="1"/>
        <v>0.41773925693547653</v>
      </c>
      <c r="H24" s="11">
        <f t="shared" si="2"/>
        <v>-4.3123405928629701</v>
      </c>
      <c r="I24" s="3">
        <f t="shared" si="3"/>
        <v>38.483519966708776</v>
      </c>
      <c r="J24" s="3">
        <f t="shared" si="4"/>
        <v>12.496205945852683</v>
      </c>
      <c r="K24" s="3">
        <f t="shared" si="5"/>
        <v>534.92092753725206</v>
      </c>
      <c r="L24" s="3">
        <f t="shared" si="6"/>
        <v>173.69726264735229</v>
      </c>
    </row>
    <row r="25" spans="1:17" x14ac:dyDescent="0.3">
      <c r="A25" t="str">
        <f>Data!A22</f>
        <v>2_T0_1</v>
      </c>
      <c r="B25" s="3">
        <f>Data!I22</f>
        <v>21.349999999999909</v>
      </c>
      <c r="C25" s="3">
        <f>Data!D22/Data!G22</f>
        <v>23.876689311179909</v>
      </c>
      <c r="D25" s="3"/>
      <c r="E25" s="3">
        <f>Data!H22/Data!G22</f>
        <v>8.6803599370254645</v>
      </c>
      <c r="F25" s="3"/>
      <c r="G25" s="3">
        <f t="shared" si="1"/>
        <v>0.35311530925164902</v>
      </c>
      <c r="H25" s="11">
        <f t="shared" si="2"/>
        <v>-2.521358178727672</v>
      </c>
      <c r="I25" s="3">
        <f t="shared" si="3"/>
        <v>38.437648551710886</v>
      </c>
      <c r="J25" s="3">
        <f t="shared" si="4"/>
        <v>15.775867877573262</v>
      </c>
      <c r="K25" s="3">
        <f t="shared" si="5"/>
        <v>534.2833148687813</v>
      </c>
      <c r="L25" s="3">
        <f t="shared" si="6"/>
        <v>219.28456349826834</v>
      </c>
      <c r="M25" s="21">
        <f>AVERAGE(K25:K27)</f>
        <v>534.33695586834108</v>
      </c>
      <c r="N25" s="21">
        <f>AVERAGE(L25:L27)</f>
        <v>219.52893815890172</v>
      </c>
      <c r="O25" s="4" t="str">
        <f>Data!A22</f>
        <v>2_T0_1</v>
      </c>
      <c r="P25" s="18">
        <f>STDEV(K25:K27)/SQRT(3)</f>
        <v>2.6902823464741848E-2</v>
      </c>
      <c r="Q25" s="18">
        <f>STDEV(L25:L27)/SQRT(3)</f>
        <v>0.14353150592061295</v>
      </c>
    </row>
    <row r="26" spans="1:17" x14ac:dyDescent="0.3">
      <c r="B26" s="3">
        <f>Data!I23</f>
        <v>21.466666666666583</v>
      </c>
      <c r="C26" s="3">
        <f>Data!D23/Data!G23</f>
        <v>23.884449505181312</v>
      </c>
      <c r="D26" s="3"/>
      <c r="E26" s="3">
        <f>Data!H23/Data!G23</f>
        <v>8.6895738865977492</v>
      </c>
      <c r="F26" s="3"/>
      <c r="G26" s="3">
        <f t="shared" si="1"/>
        <v>0.36090114002753637</v>
      </c>
      <c r="H26" s="11">
        <f t="shared" si="2"/>
        <v>-2.5120816927644256</v>
      </c>
      <c r="I26" s="3">
        <f t="shared" si="3"/>
        <v>38.443175095467872</v>
      </c>
      <c r="J26" s="3">
        <f t="shared" si="4"/>
        <v>15.792855056025534</v>
      </c>
      <c r="K26" s="3">
        <f t="shared" si="5"/>
        <v>534.36013382700344</v>
      </c>
      <c r="L26" s="3">
        <f t="shared" si="6"/>
        <v>219.52068527875494</v>
      </c>
    </row>
    <row r="27" spans="1:17" x14ac:dyDescent="0.3">
      <c r="B27" s="3">
        <f>Data!I24</f>
        <v>21.583333333333258</v>
      </c>
      <c r="C27" s="3">
        <f>Data!D24/Data!G24</f>
        <v>23.885162233242582</v>
      </c>
      <c r="D27" s="3"/>
      <c r="E27" s="3">
        <f>Data!H24/Data!G24</f>
        <v>8.6997605256866084</v>
      </c>
      <c r="F27" s="3"/>
      <c r="G27" s="3">
        <f t="shared" si="1"/>
        <v>0.36163950486329455</v>
      </c>
      <c r="H27" s="11">
        <f t="shared" si="2"/>
        <v>-2.5018325172846048</v>
      </c>
      <c r="I27" s="3">
        <f t="shared" si="3"/>
        <v>38.443699202103495</v>
      </c>
      <c r="J27" s="3">
        <f t="shared" si="4"/>
        <v>15.811623431631791</v>
      </c>
      <c r="K27" s="3">
        <f t="shared" si="5"/>
        <v>534.36741890923861</v>
      </c>
      <c r="L27" s="3">
        <f t="shared" si="6"/>
        <v>219.78156569968189</v>
      </c>
    </row>
    <row r="28" spans="1:17" x14ac:dyDescent="0.3">
      <c r="A28" t="str">
        <f>Data!A25</f>
        <v>Calibrate_20C</v>
      </c>
      <c r="B28" s="3">
        <f>Data!I25</f>
        <v>25.449999999999932</v>
      </c>
      <c r="C28" s="3">
        <f>Data!D25/Data!G25</f>
        <v>23.638415119851665</v>
      </c>
      <c r="D28" s="3">
        <f t="shared" ref="D28:D30" si="9">B$3/C28</f>
        <v>1.6154636343589024</v>
      </c>
      <c r="E28" s="3">
        <f>Data!H25/Data!G25</f>
        <v>11.17457812615049</v>
      </c>
      <c r="F28" s="3">
        <f>C$3/E28</f>
        <v>1.8249458520744308</v>
      </c>
      <c r="G28" s="3">
        <f t="shared" si="1"/>
        <v>0.11574206742673709</v>
      </c>
      <c r="H28" s="11">
        <f t="shared" si="2"/>
        <v>-2.4942282148829875E-2</v>
      </c>
      <c r="I28" s="3">
        <f t="shared" si="3"/>
        <v>38.269156113916488</v>
      </c>
      <c r="J28" s="3">
        <f t="shared" si="4"/>
        <v>20.347325484936018</v>
      </c>
      <c r="K28" s="3">
        <f t="shared" si="5"/>
        <v>531.94126998343916</v>
      </c>
      <c r="L28" s="3">
        <f t="shared" si="6"/>
        <v>282.82782424061065</v>
      </c>
      <c r="M28" s="21">
        <f>AVERAGE(K28:K30)</f>
        <v>531.66718253013971</v>
      </c>
      <c r="N28" s="21">
        <f>AVERAGE(L28:L30)</f>
        <v>282.7633678407135</v>
      </c>
      <c r="O28" s="4" t="str">
        <f>Data!A25</f>
        <v>Calibrate_20C</v>
      </c>
      <c r="P28" s="18">
        <f t="shared" ref="P28:Q28" si="10">STDEV(K28:K30)/SQRT(3)</f>
        <v>0.13707634871854973</v>
      </c>
      <c r="Q28" s="18">
        <f t="shared" si="10"/>
        <v>4.7559085971910518E-2</v>
      </c>
    </row>
    <row r="29" spans="1:17" x14ac:dyDescent="0.3">
      <c r="B29" s="3">
        <f>Data!I26</f>
        <v>25.549999999999955</v>
      </c>
      <c r="C29" s="3">
        <f>Data!D26/Data!G26</f>
        <v>23.597248729395748</v>
      </c>
      <c r="D29" s="3">
        <f t="shared" si="9"/>
        <v>1.6182818784475239</v>
      </c>
      <c r="E29" s="3">
        <f>Data!H26/Data!G26</f>
        <v>11.168346189022481</v>
      </c>
      <c r="F29" s="3">
        <f>C$3/E29</f>
        <v>1.8259641718524591</v>
      </c>
      <c r="G29" s="3">
        <f t="shared" si="1"/>
        <v>7.4597651348948801E-2</v>
      </c>
      <c r="H29" s="11">
        <f t="shared" si="2"/>
        <v>-3.1120616656012956E-2</v>
      </c>
      <c r="I29" s="3">
        <f t="shared" si="3"/>
        <v>38.239950956194093</v>
      </c>
      <c r="J29" s="3">
        <f t="shared" si="4"/>
        <v>20.336011667265492</v>
      </c>
      <c r="K29" s="3">
        <f t="shared" si="5"/>
        <v>531.53531829109795</v>
      </c>
      <c r="L29" s="3">
        <f t="shared" si="6"/>
        <v>282.67056217499032</v>
      </c>
    </row>
    <row r="30" spans="1:17" x14ac:dyDescent="0.3">
      <c r="B30" s="3">
        <f>Data!I27</f>
        <v>25.649999999999977</v>
      </c>
      <c r="C30" s="3">
        <f>Data!D27/Data!G27</f>
        <v>23.596176841950452</v>
      </c>
      <c r="D30" s="3">
        <f t="shared" si="9"/>
        <v>1.6183553910356043</v>
      </c>
      <c r="E30" s="3">
        <f>Data!H27/Data!G27</f>
        <v>11.173052384585366</v>
      </c>
      <c r="F30" s="3">
        <f>C$3/E30</f>
        <v>1.825195058436736</v>
      </c>
      <c r="G30" s="3">
        <f t="shared" si="1"/>
        <v>7.354773828178196E-2</v>
      </c>
      <c r="H30" s="11">
        <f t="shared" si="2"/>
        <v>-2.6360818472303649E-2</v>
      </c>
      <c r="I30" s="3">
        <f t="shared" si="3"/>
        <v>38.239205706178552</v>
      </c>
      <c r="J30" s="3">
        <f t="shared" si="4"/>
        <v>20.344727849391337</v>
      </c>
      <c r="K30" s="3">
        <f t="shared" si="5"/>
        <v>531.52495931588192</v>
      </c>
      <c r="L30" s="3">
        <f t="shared" si="6"/>
        <v>282.79171710653958</v>
      </c>
    </row>
    <row r="31" spans="1:17" x14ac:dyDescent="0.3">
      <c r="A31" t="str">
        <f>Data!A28</f>
        <v>Calibrate_30C</v>
      </c>
      <c r="B31" s="3">
        <f>Data!I28</f>
        <v>29.949999999999932</v>
      </c>
      <c r="C31" s="3">
        <f>Data!D28/Data!G28</f>
        <v>24.490956994785559</v>
      </c>
      <c r="D31" s="3">
        <f>B$4/C31</f>
        <v>1.5867489379150845</v>
      </c>
      <c r="E31" s="3">
        <f>Data!H28/Data!G28</f>
        <v>11.326568194075312</v>
      </c>
      <c r="F31" s="3">
        <f>C$4/E31</f>
        <v>1.7993093451430722</v>
      </c>
      <c r="G31" s="3">
        <f t="shared" si="1"/>
        <v>0.96927278937648254</v>
      </c>
      <c r="H31" s="11">
        <f t="shared" si="2"/>
        <v>0.12945990371311034</v>
      </c>
      <c r="I31" s="3">
        <f t="shared" si="3"/>
        <v>38.875009878090133</v>
      </c>
      <c r="J31" s="3">
        <f t="shared" si="4"/>
        <v>20.630068055242237</v>
      </c>
      <c r="K31" s="3">
        <f t="shared" si="5"/>
        <v>540.36263730545284</v>
      </c>
      <c r="L31" s="3">
        <f t="shared" si="6"/>
        <v>286.7579459678671</v>
      </c>
      <c r="M31" s="21">
        <f>AVERAGE(K31:K33)</f>
        <v>540.42137733260336</v>
      </c>
      <c r="N31" s="21">
        <f>AVERAGE(L31:L33)</f>
        <v>286.85147724603047</v>
      </c>
      <c r="O31" s="4" t="str">
        <f>Data!A28</f>
        <v>Calibrate_30C</v>
      </c>
      <c r="P31" s="18">
        <f t="shared" ref="P31:Q31" si="11">STDEV(K31:K33)/SQRT(3)</f>
        <v>3.0468918014185446E-2</v>
      </c>
      <c r="Q31" s="18">
        <f t="shared" si="11"/>
        <v>4.6888731451420057E-2</v>
      </c>
    </row>
    <row r="32" spans="1:17" x14ac:dyDescent="0.3">
      <c r="B32" s="3">
        <f>Data!I29</f>
        <v>30.066666666666606</v>
      </c>
      <c r="C32" s="3">
        <f>Data!D29/Data!G29</f>
        <v>24.501285111673955</v>
      </c>
      <c r="D32" s="3">
        <f t="shared" ref="D32:D33" si="12">B$4/C32</f>
        <v>1.5860800697953663</v>
      </c>
      <c r="E32" s="3">
        <f>Data!H29/Data!G29</f>
        <v>11.331786444335519</v>
      </c>
      <c r="F32" s="3">
        <f>C$4/E32</f>
        <v>1.7984807691277538</v>
      </c>
      <c r="G32" s="3">
        <f t="shared" si="1"/>
        <v>0.97962654303936247</v>
      </c>
      <c r="H32" s="11">
        <f t="shared" si="2"/>
        <v>0.13474069036427849</v>
      </c>
      <c r="I32" s="3">
        <f t="shared" si="3"/>
        <v>38.882359186637167</v>
      </c>
      <c r="J32" s="3">
        <f t="shared" si="4"/>
        <v>20.639738275794198</v>
      </c>
      <c r="K32" s="3">
        <f t="shared" si="5"/>
        <v>540.46479269425663</v>
      </c>
      <c r="L32" s="3">
        <f t="shared" si="6"/>
        <v>286.89236203353937</v>
      </c>
    </row>
    <row r="33" spans="1:17" x14ac:dyDescent="0.3">
      <c r="B33" s="3">
        <f>Data!I30</f>
        <v>30.166666666666629</v>
      </c>
      <c r="C33" s="3">
        <f>Data!D30/Data!G30</f>
        <v>24.49841606136939</v>
      </c>
      <c r="D33" s="3">
        <f t="shared" si="12"/>
        <v>1.586265818273795</v>
      </c>
      <c r="E33" s="3">
        <f>Data!H30/Data!G30</f>
        <v>11.332194922230551</v>
      </c>
      <c r="F33" s="3">
        <f>C$4/E33</f>
        <v>1.7984159414713403</v>
      </c>
      <c r="G33" s="3">
        <f t="shared" si="1"/>
        <v>0.97677946711292662</v>
      </c>
      <c r="H33" s="11">
        <f t="shared" si="2"/>
        <v>0.13520277088013621</v>
      </c>
      <c r="I33" s="3">
        <f t="shared" si="3"/>
        <v>38.880338273244647</v>
      </c>
      <c r="J33" s="3">
        <f t="shared" si="4"/>
        <v>20.640584441488116</v>
      </c>
      <c r="K33" s="3">
        <f t="shared" si="5"/>
        <v>540.4367019981006</v>
      </c>
      <c r="L33" s="3">
        <f t="shared" si="6"/>
        <v>286.90412373668482</v>
      </c>
    </row>
    <row r="34" spans="1:17" x14ac:dyDescent="0.3">
      <c r="A34" t="str">
        <f>Data!A31</f>
        <v>3_T0_1</v>
      </c>
      <c r="B34" s="3">
        <f>Data!I31</f>
        <v>34.849999999999909</v>
      </c>
      <c r="C34" s="3">
        <f>Data!D31/Data!G31</f>
        <v>23.876319220846554</v>
      </c>
      <c r="D34" s="3"/>
      <c r="E34" s="3">
        <f>Data!H31/Data!G31</f>
        <v>9.3914174390129883</v>
      </c>
      <c r="F34" s="3"/>
      <c r="G34" s="3">
        <f t="shared" si="1"/>
        <v>0.35571175996584614</v>
      </c>
      <c r="H34" s="11">
        <f t="shared" si="2"/>
        <v>-1.8030643229287975</v>
      </c>
      <c r="I34" s="3">
        <f t="shared" si="3"/>
        <v>38.439491566142863</v>
      </c>
      <c r="J34" s="3">
        <f t="shared" si="4"/>
        <v>17.091213576146043</v>
      </c>
      <c r="K34" s="3">
        <f t="shared" si="5"/>
        <v>534.30893276938582</v>
      </c>
      <c r="L34" s="3">
        <f t="shared" si="6"/>
        <v>237.56786870843001</v>
      </c>
      <c r="M34" s="21">
        <f>AVERAGE(K34:K36)</f>
        <v>534.27262401720566</v>
      </c>
      <c r="N34" s="21">
        <f>AVERAGE(L34:L36)</f>
        <v>237.53221486440461</v>
      </c>
      <c r="O34" s="4" t="str">
        <f>Data!A31</f>
        <v>3_T0_1</v>
      </c>
      <c r="P34" s="18">
        <f t="shared" ref="P34:Q34" si="13">STDEV(K34:K36)/SQRT(3)</f>
        <v>2.1000733350243921E-2</v>
      </c>
      <c r="Q34" s="18">
        <f t="shared" si="13"/>
        <v>2.3088966059854291E-2</v>
      </c>
    </row>
    <row r="35" spans="1:17" x14ac:dyDescent="0.3">
      <c r="B35" s="3">
        <f>Data!I32</f>
        <v>34.949999999999932</v>
      </c>
      <c r="C35" s="3">
        <f>Data!D32/Data!G32</f>
        <v>23.872630504731038</v>
      </c>
      <c r="D35" s="3"/>
      <c r="E35" s="3">
        <f>Data!H32/Data!G32</f>
        <v>9.3882642829816483</v>
      </c>
      <c r="F35" s="3"/>
      <c r="G35" s="3">
        <f t="shared" si="1"/>
        <v>0.35204501822845913</v>
      </c>
      <c r="H35" s="11">
        <f t="shared" si="2"/>
        <v>-1.8061638763393137</v>
      </c>
      <c r="I35" s="3">
        <f t="shared" si="3"/>
        <v>38.436888837000581</v>
      </c>
      <c r="J35" s="3">
        <f t="shared" si="4"/>
        <v>17.085537648093609</v>
      </c>
      <c r="K35" s="3">
        <f t="shared" si="5"/>
        <v>534.2727548343081</v>
      </c>
      <c r="L35" s="3">
        <f t="shared" si="6"/>
        <v>237.48897330850119</v>
      </c>
    </row>
    <row r="36" spans="1:17" x14ac:dyDescent="0.3">
      <c r="B36" s="3">
        <f>Data!I33</f>
        <v>34.983333333333235</v>
      </c>
      <c r="C36" s="3">
        <f>Data!D33/Data!G33</f>
        <v>23.868916662089195</v>
      </c>
      <c r="D36" s="3"/>
      <c r="E36" s="3">
        <f>Data!H33/Data!G33</f>
        <v>9.3902433383348214</v>
      </c>
      <c r="F36" s="3"/>
      <c r="G36" s="3">
        <f t="shared" si="1"/>
        <v>0.34833850037932734</v>
      </c>
      <c r="H36" s="11">
        <f t="shared" si="2"/>
        <v>-1.8041669534458649</v>
      </c>
      <c r="I36" s="3">
        <f t="shared" si="3"/>
        <v>38.434257873951303</v>
      </c>
      <c r="J36" s="3">
        <f t="shared" si="4"/>
        <v>17.089194429948382</v>
      </c>
      <c r="K36" s="3">
        <f t="shared" si="5"/>
        <v>534.23618444792316</v>
      </c>
      <c r="L36" s="3">
        <f t="shared" si="6"/>
        <v>237.53980257628251</v>
      </c>
    </row>
    <row r="37" spans="1:17" x14ac:dyDescent="0.3">
      <c r="A37" t="str">
        <f>Data!A34</f>
        <v>openwaterIN_T0_1</v>
      </c>
      <c r="B37" s="3">
        <f>Data!I34</f>
        <v>38.833333333333258</v>
      </c>
      <c r="C37" s="3">
        <f>Data!D34/Data!G34</f>
        <v>23.914798625870528</v>
      </c>
      <c r="D37" s="3"/>
      <c r="E37" s="3">
        <f>Data!H34/Data!G34</f>
        <v>9.0709998720585396</v>
      </c>
      <c r="F37" s="3"/>
      <c r="G37" s="3">
        <f t="shared" si="1"/>
        <v>0.39506647771866454</v>
      </c>
      <c r="H37" s="11">
        <f t="shared" si="2"/>
        <v>-2.1213467188203907</v>
      </c>
      <c r="I37" s="3">
        <f t="shared" si="3"/>
        <v>38.467426358969149</v>
      </c>
      <c r="J37" s="3">
        <f t="shared" si="4"/>
        <v>16.508372198640693</v>
      </c>
      <c r="K37" s="3">
        <f t="shared" si="5"/>
        <v>534.69722638967119</v>
      </c>
      <c r="L37" s="3">
        <f t="shared" si="6"/>
        <v>229.46637356110563</v>
      </c>
      <c r="M37" s="21">
        <f>AVERAGE(K37:K39)</f>
        <v>534.79271049741055</v>
      </c>
      <c r="N37" s="21">
        <f>AVERAGE(L37:L39)</f>
        <v>229.56512080996745</v>
      </c>
      <c r="O37" s="4" t="str">
        <f>Data!A34</f>
        <v>openwaterIN_T0_1</v>
      </c>
      <c r="P37" s="18">
        <f t="shared" ref="P37:Q37" si="14">STDEV(K37:K39)/SQRT(3)</f>
        <v>4.7742119665163181E-2</v>
      </c>
      <c r="Q37" s="18">
        <f t="shared" si="14"/>
        <v>5.2037284343074801E-2</v>
      </c>
    </row>
    <row r="38" spans="1:17" x14ac:dyDescent="0.3">
      <c r="B38" s="3">
        <f>Data!I35</f>
        <v>38.966666666666583</v>
      </c>
      <c r="C38" s="3">
        <f>Data!D35/Data!G35</f>
        <v>23.92929964009349</v>
      </c>
      <c r="D38" s="3"/>
      <c r="E38" s="3">
        <f>Data!H35/Data!G35</f>
        <v>9.0778659885957911</v>
      </c>
      <c r="F38" s="3"/>
      <c r="G38" s="3">
        <f t="shared" si="1"/>
        <v>0.40959679111246672</v>
      </c>
      <c r="H38" s="11">
        <f t="shared" si="2"/>
        <v>-2.1144091321220397</v>
      </c>
      <c r="I38" s="3">
        <f t="shared" si="3"/>
        <v>38.477740276017322</v>
      </c>
      <c r="J38" s="3">
        <f t="shared" si="4"/>
        <v>16.521076365255066</v>
      </c>
      <c r="K38" s="3">
        <f t="shared" si="5"/>
        <v>534.84058983664079</v>
      </c>
      <c r="L38" s="3">
        <f t="shared" si="6"/>
        <v>229.64296147704542</v>
      </c>
    </row>
    <row r="39" spans="1:17" x14ac:dyDescent="0.3">
      <c r="B39" s="3">
        <f>Data!I36</f>
        <v>39.116666666666674</v>
      </c>
      <c r="C39" s="3">
        <f>Data!D36/Data!G36</f>
        <v>23.929238849963944</v>
      </c>
      <c r="D39" s="3"/>
      <c r="E39" s="3">
        <f>Data!H36/Data!G36</f>
        <v>9.0755488225921521</v>
      </c>
      <c r="F39" s="3"/>
      <c r="G39" s="3">
        <f t="shared" si="1"/>
        <v>0.40956896255011799</v>
      </c>
      <c r="H39" s="11">
        <f t="shared" si="2"/>
        <v>-2.1166458941944413</v>
      </c>
      <c r="I39" s="3">
        <f t="shared" si="3"/>
        <v>38.477720522728049</v>
      </c>
      <c r="J39" s="3">
        <f t="shared" si="4"/>
        <v>16.516980387895785</v>
      </c>
      <c r="K39" s="3">
        <f t="shared" si="5"/>
        <v>534.84031526591991</v>
      </c>
      <c r="L39" s="3">
        <f t="shared" si="6"/>
        <v>229.58602739175143</v>
      </c>
    </row>
    <row r="40" spans="1:17" x14ac:dyDescent="0.3">
      <c r="A40" t="str">
        <f>Data!A37</f>
        <v>4_T0_1</v>
      </c>
      <c r="B40" s="3">
        <f>Data!I37</f>
        <v>41.949999999999932</v>
      </c>
      <c r="C40" s="3">
        <f>Data!D37/Data!G37</f>
        <v>23.913008726669016</v>
      </c>
      <c r="D40" s="3"/>
      <c r="E40" s="3">
        <f>Data!H37/Data!G37</f>
        <v>7.6802805399710721</v>
      </c>
      <c r="F40" s="3"/>
      <c r="G40" s="3">
        <f t="shared" si="1"/>
        <v>0.39396144663554011</v>
      </c>
      <c r="H40" s="11">
        <f t="shared" si="2"/>
        <v>-3.5103954358921516</v>
      </c>
      <c r="I40" s="3">
        <f t="shared" si="3"/>
        <v>38.466641985045605</v>
      </c>
      <c r="J40" s="3">
        <f t="shared" si="4"/>
        <v>13.964734604697565</v>
      </c>
      <c r="K40" s="3">
        <f t="shared" si="5"/>
        <v>534.68632359213393</v>
      </c>
      <c r="L40" s="3">
        <f t="shared" si="6"/>
        <v>194.10981100529617</v>
      </c>
      <c r="M40" s="21">
        <f>AVERAGE(K40:K42)</f>
        <v>534.69314571540406</v>
      </c>
      <c r="N40" s="21">
        <f>AVERAGE(L40:L42)</f>
        <v>193.88981364243966</v>
      </c>
      <c r="O40" s="4" t="str">
        <f>Data!A37</f>
        <v>4_T0_1</v>
      </c>
      <c r="P40" s="18">
        <f t="shared" ref="P40:Q40" si="15">STDEV(K40:K42)/SQRT(3)</f>
        <v>2.225735678225756E-2</v>
      </c>
      <c r="Q40" s="18">
        <f t="shared" si="15"/>
        <v>0.12286959013155943</v>
      </c>
    </row>
    <row r="41" spans="1:17" x14ac:dyDescent="0.3">
      <c r="B41" s="3">
        <f>Data!I38</f>
        <v>42.016666666666652</v>
      </c>
      <c r="C41" s="3">
        <f>Data!D38/Data!G38</f>
        <v>23.910170152718443</v>
      </c>
      <c r="D41" s="3"/>
      <c r="E41" s="3">
        <f>Data!H38/Data!G38</f>
        <v>7.6710056492821606</v>
      </c>
      <c r="F41" s="3"/>
      <c r="G41" s="3">
        <f t="shared" si="1"/>
        <v>0.39113752227038745</v>
      </c>
      <c r="H41" s="11">
        <f t="shared" si="2"/>
        <v>-3.5196345915005134</v>
      </c>
      <c r="I41" s="3">
        <f t="shared" si="3"/>
        <v>38.464637505110232</v>
      </c>
      <c r="J41" s="3">
        <f t="shared" si="4"/>
        <v>13.947815785902453</v>
      </c>
      <c r="K41" s="3">
        <f t="shared" si="5"/>
        <v>534.65846132103229</v>
      </c>
      <c r="L41" s="3">
        <f t="shared" si="6"/>
        <v>193.87463942404409</v>
      </c>
    </row>
    <row r="42" spans="1:17" x14ac:dyDescent="0.3">
      <c r="B42" s="3">
        <f>Data!I39</f>
        <v>42.133333333333326</v>
      </c>
      <c r="C42" s="3">
        <f>Data!D39/Data!G39</f>
        <v>23.917866692361432</v>
      </c>
      <c r="D42" s="3"/>
      <c r="E42" s="3">
        <f>Data!H39/Data!G39</f>
        <v>7.6634923999710933</v>
      </c>
      <c r="F42" s="3"/>
      <c r="G42" s="3">
        <f t="shared" si="1"/>
        <v>0.3988596986878612</v>
      </c>
      <c r="H42" s="11">
        <f t="shared" si="2"/>
        <v>-3.527085304420619</v>
      </c>
      <c r="I42" s="3">
        <f t="shared" si="3"/>
        <v>38.47011886568675</v>
      </c>
      <c r="J42" s="3">
        <f t="shared" si="4"/>
        <v>13.934171978271854</v>
      </c>
      <c r="K42" s="3">
        <f t="shared" si="5"/>
        <v>534.73465223304584</v>
      </c>
      <c r="L42" s="3">
        <f t="shared" si="6"/>
        <v>193.68499049797876</v>
      </c>
    </row>
    <row r="43" spans="1:17" x14ac:dyDescent="0.3">
      <c r="A43" t="str">
        <f>Data!A40</f>
        <v>Calibrate_20C</v>
      </c>
      <c r="B43" s="3">
        <f>Data!I40</f>
        <v>46.066666666666606</v>
      </c>
      <c r="C43" s="3">
        <f>Data!D40/Data!G40</f>
        <v>23.619344416018588</v>
      </c>
      <c r="D43" s="3">
        <f t="shared" ref="D43:D45" si="16">B$3/C43</f>
        <v>1.6167679901437761</v>
      </c>
      <c r="E43" s="3">
        <f>Data!H40/Data!G40</f>
        <v>11.171436773994083</v>
      </c>
      <c r="F43" s="3">
        <f>C$3/E43</f>
        <v>1.8254590177221193</v>
      </c>
      <c r="G43" s="3">
        <f t="shared" si="1"/>
        <v>0.1012017478847973</v>
      </c>
      <c r="H43" s="11">
        <f t="shared" si="2"/>
        <v>-1.7032560645185768E-2</v>
      </c>
      <c r="I43" s="3">
        <f t="shared" si="3"/>
        <v>38.258835094297361</v>
      </c>
      <c r="J43" s="3">
        <f t="shared" si="4"/>
        <v>20.361809832912453</v>
      </c>
      <c r="K43" s="3">
        <f t="shared" si="5"/>
        <v>531.79780781073327</v>
      </c>
      <c r="L43" s="3">
        <f t="shared" si="6"/>
        <v>283.02915667748312</v>
      </c>
      <c r="M43" s="21">
        <f>AVERAGE(K43:K45)</f>
        <v>531.81883303715324</v>
      </c>
      <c r="N43" s="21">
        <f>AVERAGE(L43:L45)</f>
        <v>283.16627734354131</v>
      </c>
      <c r="O43" s="4" t="str">
        <f>Data!A40</f>
        <v>Calibrate_20C</v>
      </c>
      <c r="P43" s="18">
        <f t="shared" ref="P43:Q43" si="17">STDEV(K43:K45)/SQRT(3)</f>
        <v>6.1649683366066195E-2</v>
      </c>
      <c r="Q43" s="18">
        <f t="shared" si="17"/>
        <v>9.992431513076741E-2</v>
      </c>
    </row>
    <row r="44" spans="1:17" x14ac:dyDescent="0.3">
      <c r="B44" s="3">
        <f>Data!I41</f>
        <v>46.133333333333326</v>
      </c>
      <c r="C44" s="3">
        <f>Data!D41/Data!G41</f>
        <v>23.611862217401562</v>
      </c>
      <c r="D44" s="3">
        <f t="shared" si="16"/>
        <v>1.6172803164951892</v>
      </c>
      <c r="E44" s="3">
        <f>Data!H41/Data!G41</f>
        <v>11.174535035501441</v>
      </c>
      <c r="F44" s="3">
        <f>C$3/E44</f>
        <v>1.8249528893337883</v>
      </c>
      <c r="G44" s="3">
        <f t="shared" si="1"/>
        <v>9.3734198853191231E-2</v>
      </c>
      <c r="H44" s="11">
        <f t="shared" si="2"/>
        <v>-1.3898564057278406E-2</v>
      </c>
      <c r="I44" s="3">
        <f t="shared" si="3"/>
        <v>38.253534473507031</v>
      </c>
      <c r="J44" s="3">
        <f t="shared" si="4"/>
        <v>20.367548833598548</v>
      </c>
      <c r="K44" s="3">
        <f t="shared" si="5"/>
        <v>531.7241291817478</v>
      </c>
      <c r="L44" s="3">
        <f t="shared" si="6"/>
        <v>283.10892878701981</v>
      </c>
    </row>
    <row r="45" spans="1:17" x14ac:dyDescent="0.3">
      <c r="B45" s="3">
        <f>Data!I42</f>
        <v>46.18333333333328</v>
      </c>
      <c r="C45" s="3">
        <f>Data!D42/Data!G42</f>
        <v>23.633179236695153</v>
      </c>
      <c r="D45" s="3">
        <f t="shared" si="16"/>
        <v>1.6158215370662945</v>
      </c>
      <c r="E45" s="3">
        <f>Data!H42/Data!G42</f>
        <v>11.184401366829256</v>
      </c>
      <c r="F45" s="3">
        <f>C$3/E45</f>
        <v>1.8233430052395692</v>
      </c>
      <c r="G45" s="3">
        <f t="shared" si="1"/>
        <v>0.1150622053358461</v>
      </c>
      <c r="H45" s="11">
        <f t="shared" si="2"/>
        <v>-4.0054314190509643E-3</v>
      </c>
      <c r="I45" s="3">
        <f t="shared" si="3"/>
        <v>38.268673533739474</v>
      </c>
      <c r="J45" s="3">
        <f t="shared" si="4"/>
        <v>20.385665220584247</v>
      </c>
      <c r="K45" s="3">
        <f t="shared" si="5"/>
        <v>531.93456211897865</v>
      </c>
      <c r="L45" s="3">
        <f t="shared" si="6"/>
        <v>283.36074656612107</v>
      </c>
    </row>
    <row r="46" spans="1:17" x14ac:dyDescent="0.3">
      <c r="A46" t="str">
        <f>Data!A43</f>
        <v>Calibrate_30C</v>
      </c>
      <c r="B46" s="3">
        <f>Data!I43</f>
        <v>50.166666666666629</v>
      </c>
      <c r="C46" s="3">
        <f>Data!D43/Data!G43</f>
        <v>24.422055439112953</v>
      </c>
      <c r="D46" s="3">
        <f>B$4/C46</f>
        <v>1.5912256073975848</v>
      </c>
      <c r="E46" s="3">
        <f>Data!H43/Data!G43</f>
        <v>11.309900307628016</v>
      </c>
      <c r="F46" s="3">
        <f>C$4/E46</f>
        <v>1.8019610647013935</v>
      </c>
      <c r="G46" s="3">
        <f t="shared" si="1"/>
        <v>0.90481372048249042</v>
      </c>
      <c r="H46" s="11">
        <f t="shared" si="2"/>
        <v>0.12362868044256459</v>
      </c>
      <c r="I46" s="3">
        <f t="shared" si="3"/>
        <v>38.82925549746826</v>
      </c>
      <c r="J46" s="3">
        <f t="shared" si="4"/>
        <v>20.619389870562792</v>
      </c>
      <c r="K46" s="3">
        <f t="shared" si="5"/>
        <v>539.72665141480888</v>
      </c>
      <c r="L46" s="3">
        <f t="shared" si="6"/>
        <v>286.60951920082283</v>
      </c>
      <c r="M46" s="21">
        <f>AVERAGE(K46:K48)</f>
        <v>539.81053772327357</v>
      </c>
      <c r="N46" s="21">
        <f>AVERAGE(L46:L48)</f>
        <v>286.71009624990774</v>
      </c>
      <c r="O46" s="4" t="str">
        <f>Data!A43</f>
        <v>Calibrate_30C</v>
      </c>
      <c r="P46" s="18">
        <f t="shared" ref="P46:Q46" si="18">STDEV(K46:K48)/SQRT(3)</f>
        <v>4.4672656501853494E-2</v>
      </c>
      <c r="Q46" s="18">
        <f t="shared" si="18"/>
        <v>5.2485604984658173E-2</v>
      </c>
    </row>
    <row r="47" spans="1:17" x14ac:dyDescent="0.3">
      <c r="B47" s="3">
        <f>Data!I44</f>
        <v>50.25</v>
      </c>
      <c r="C47" s="3">
        <f>Data!D44/Data!G44</f>
        <v>24.432091103787375</v>
      </c>
      <c r="D47" s="3">
        <f t="shared" ref="D47:D48" si="19">B$4/C47</f>
        <v>1.5905719995443168</v>
      </c>
      <c r="E47" s="3">
        <f>Data!H44/Data!G44</f>
        <v>11.314760152441409</v>
      </c>
      <c r="F47" s="3">
        <f>C$4/E47</f>
        <v>1.8011870976869595</v>
      </c>
      <c r="G47" s="3">
        <f t="shared" si="1"/>
        <v>0.9148676971386891</v>
      </c>
      <c r="H47" s="11">
        <f t="shared" si="2"/>
        <v>0.12853319410664454</v>
      </c>
      <c r="I47" s="3">
        <f t="shared" si="3"/>
        <v>38.836392018094202</v>
      </c>
      <c r="J47" s="3">
        <f t="shared" si="4"/>
        <v>20.628371056883068</v>
      </c>
      <c r="K47" s="3">
        <f t="shared" si="5"/>
        <v>539.82584905150941</v>
      </c>
      <c r="L47" s="3">
        <f t="shared" si="6"/>
        <v>286.73435769067464</v>
      </c>
    </row>
    <row r="48" spans="1:17" x14ac:dyDescent="0.3">
      <c r="B48" s="3">
        <f>Data!I45</f>
        <v>50.349999999999909</v>
      </c>
      <c r="C48" s="3">
        <f>Data!D45/Data!G45</f>
        <v>24.437467559569232</v>
      </c>
      <c r="D48" s="3">
        <f t="shared" si="19"/>
        <v>1.5902220598460823</v>
      </c>
      <c r="E48" s="3">
        <f>Data!H45/Data!G45</f>
        <v>11.316751595193439</v>
      </c>
      <c r="F48" s="3">
        <f>C$4/E48</f>
        <v>1.8008701373860667</v>
      </c>
      <c r="G48" s="3">
        <f t="shared" si="1"/>
        <v>0.92026612729867452</v>
      </c>
      <c r="H48" s="11">
        <f t="shared" si="2"/>
        <v>0.13057823947950098</v>
      </c>
      <c r="I48" s="3">
        <f t="shared" si="3"/>
        <v>38.840223935503786</v>
      </c>
      <c r="J48" s="3">
        <f t="shared" si="4"/>
        <v>20.632115961023423</v>
      </c>
      <c r="K48" s="3">
        <f t="shared" si="5"/>
        <v>539.87911270350264</v>
      </c>
      <c r="L48" s="3">
        <f t="shared" si="6"/>
        <v>286.78641185822556</v>
      </c>
    </row>
    <row r="49" spans="1:17" x14ac:dyDescent="0.3">
      <c r="A49" t="str">
        <f>Data!A46</f>
        <v>5_T0_1</v>
      </c>
      <c r="B49" s="3">
        <f>Data!I46</f>
        <v>53.516666666666652</v>
      </c>
      <c r="C49" s="3">
        <f>Data!D46/Data!G46</f>
        <v>23.913716497341024</v>
      </c>
      <c r="D49" s="3"/>
      <c r="E49" s="3">
        <f>Data!H46/Data!G46</f>
        <v>7.7722476749181464</v>
      </c>
      <c r="F49" s="3"/>
      <c r="G49" s="3">
        <f t="shared" si="1"/>
        <v>0.39721092037791905</v>
      </c>
      <c r="H49" s="11">
        <f t="shared" si="2"/>
        <v>-3.4122282644696735</v>
      </c>
      <c r="I49" s="3">
        <f t="shared" si="3"/>
        <v>38.468948528732639</v>
      </c>
      <c r="J49" s="3">
        <f t="shared" si="4"/>
        <v>14.144499147619911</v>
      </c>
      <c r="K49" s="3">
        <f t="shared" si="5"/>
        <v>534.7183845493837</v>
      </c>
      <c r="L49" s="3">
        <f t="shared" si="6"/>
        <v>196.60853815191678</v>
      </c>
      <c r="M49" s="21">
        <f>AVERAGE(K49:K51)</f>
        <v>534.79809852919391</v>
      </c>
      <c r="N49" s="21">
        <f>AVERAGE(L49:L51)</f>
        <v>196.34663404786033</v>
      </c>
      <c r="O49" s="4" t="str">
        <f>Data!A46</f>
        <v>5_T0_1</v>
      </c>
      <c r="P49" s="18">
        <f t="shared" ref="P49:Q49" si="20">STDEV(K49:K51)/SQRT(3)</f>
        <v>3.9891222565301997E-2</v>
      </c>
      <c r="Q49" s="18">
        <f t="shared" si="20"/>
        <v>0.15458033941383986</v>
      </c>
    </row>
    <row r="50" spans="1:17" x14ac:dyDescent="0.3">
      <c r="B50" s="3">
        <f>Data!I47</f>
        <v>53.616666666666674</v>
      </c>
      <c r="C50" s="3">
        <f>Data!D47/Data!G47</f>
        <v>23.925523344338121</v>
      </c>
      <c r="D50" s="3"/>
      <c r="E50" s="3">
        <f>Data!H47/Data!G47</f>
        <v>7.7623492118539961</v>
      </c>
      <c r="F50" s="3"/>
      <c r="G50" s="3">
        <f t="shared" si="1"/>
        <v>0.40903974175314417</v>
      </c>
      <c r="H50" s="11">
        <f t="shared" si="2"/>
        <v>-3.4220731249129983</v>
      </c>
      <c r="I50" s="3">
        <f t="shared" si="3"/>
        <v>38.477344870857905</v>
      </c>
      <c r="J50" s="3">
        <f t="shared" si="4"/>
        <v>14.126471157080058</v>
      </c>
      <c r="K50" s="3">
        <f t="shared" si="5"/>
        <v>534.83509370492493</v>
      </c>
      <c r="L50" s="3">
        <f t="shared" si="6"/>
        <v>196.35794908341282</v>
      </c>
      <c r="M50" s="21"/>
      <c r="N50" s="21"/>
    </row>
    <row r="51" spans="1:17" x14ac:dyDescent="0.3">
      <c r="B51" s="3">
        <f>Data!I48</f>
        <v>53.699999999999932</v>
      </c>
      <c r="C51" s="3">
        <f>Data!D48/Data!G48</f>
        <v>23.926085139178621</v>
      </c>
      <c r="D51" s="3"/>
      <c r="E51" s="3">
        <f>Data!H48/Data!G48</f>
        <v>7.7511260855289121</v>
      </c>
      <c r="F51" s="3"/>
      <c r="G51" s="3">
        <f t="shared" si="1"/>
        <v>0.40961984857542078</v>
      </c>
      <c r="H51" s="11">
        <f t="shared" si="2"/>
        <v>-3.4332515823873946</v>
      </c>
      <c r="I51" s="3">
        <f t="shared" si="3"/>
        <v>38.477756642681534</v>
      </c>
      <c r="J51" s="3">
        <f t="shared" si="4"/>
        <v>14.106001072536074</v>
      </c>
      <c r="K51" s="3">
        <f t="shared" si="5"/>
        <v>534.84081733327332</v>
      </c>
      <c r="L51" s="3">
        <f t="shared" si="6"/>
        <v>196.07341490825144</v>
      </c>
      <c r="M51" s="21"/>
      <c r="N51" s="21"/>
    </row>
    <row r="52" spans="1:17" x14ac:dyDescent="0.3">
      <c r="A52" t="str">
        <f>Data!A49</f>
        <v>6_T0_1</v>
      </c>
      <c r="B52" s="3">
        <f>Data!I49</f>
        <v>56.849999999999909</v>
      </c>
      <c r="C52" s="3">
        <f>Data!D49/Data!G49</f>
        <v>23.911883393453678</v>
      </c>
      <c r="D52" s="3"/>
      <c r="E52" s="3">
        <f>Data!H49/Data!G49</f>
        <v>7.8470672721841153</v>
      </c>
      <c r="F52" s="3"/>
      <c r="G52" s="3">
        <f t="shared" si="1"/>
        <v>0.39611029576157364</v>
      </c>
      <c r="H52" s="11">
        <f t="shared" si="2"/>
        <v>-3.3356219131762108</v>
      </c>
      <c r="I52" s="3">
        <f t="shared" si="3"/>
        <v>38.468167282610374</v>
      </c>
      <c r="J52" s="3">
        <f t="shared" si="4"/>
        <v>14.28478133692688</v>
      </c>
      <c r="K52" s="3">
        <f t="shared" si="5"/>
        <v>534.70752522828423</v>
      </c>
      <c r="L52" s="3">
        <f t="shared" si="6"/>
        <v>198.55846058328365</v>
      </c>
      <c r="M52" s="21">
        <f t="shared" ref="M52:M55" si="21">AVERAGE(K52:K54)</f>
        <v>534.63455852888819</v>
      </c>
      <c r="N52" s="21">
        <f t="shared" ref="N52:N55" si="22">AVERAGE(L52:L54)</f>
        <v>198.54999551239089</v>
      </c>
      <c r="O52" s="4" t="str">
        <f>Data!A49</f>
        <v>6_T0_1</v>
      </c>
      <c r="P52" s="18">
        <f t="shared" ref="P52:Q52" si="23">STDEV(K52:K54)/SQRT(3)</f>
        <v>3.8248761277027102E-2</v>
      </c>
      <c r="Q52" s="18">
        <f t="shared" si="23"/>
        <v>4.2455791317635065E-3</v>
      </c>
    </row>
    <row r="53" spans="1:17" x14ac:dyDescent="0.3">
      <c r="B53" s="3">
        <f>Data!I50</f>
        <v>57.066666666666606</v>
      </c>
      <c r="C53" s="3">
        <f>Data!D50/Data!G50</f>
        <v>23.90275907955456</v>
      </c>
      <c r="D53" s="3"/>
      <c r="E53" s="3">
        <f>Data!H50/Data!G50</f>
        <v>7.8464296553387856</v>
      </c>
      <c r="F53" s="3"/>
      <c r="G53" s="3">
        <f t="shared" si="1"/>
        <v>0.38703359301506879</v>
      </c>
      <c r="H53" s="11">
        <f t="shared" si="2"/>
        <v>-3.3361433910097533</v>
      </c>
      <c r="I53" s="3">
        <f t="shared" si="3"/>
        <v>38.461724451223247</v>
      </c>
      <c r="J53" s="3">
        <f t="shared" si="4"/>
        <v>14.283826402369506</v>
      </c>
      <c r="K53" s="3">
        <f t="shared" si="5"/>
        <v>534.61796987200319</v>
      </c>
      <c r="L53" s="3">
        <f t="shared" si="6"/>
        <v>198.54518699293615</v>
      </c>
      <c r="M53" s="21"/>
      <c r="N53" s="21"/>
    </row>
    <row r="54" spans="1:17" x14ac:dyDescent="0.3">
      <c r="B54" s="3">
        <f>Data!I51</f>
        <v>57.18333333333328</v>
      </c>
      <c r="C54" s="3">
        <f>Data!D51/Data!G51</f>
        <v>23.898700669746834</v>
      </c>
      <c r="D54" s="3"/>
      <c r="E54" s="3">
        <f>Data!H51/Data!G51</f>
        <v>7.8464123761668541</v>
      </c>
      <c r="F54" s="3"/>
      <c r="G54" s="3">
        <f t="shared" si="1"/>
        <v>0.38300081998182733</v>
      </c>
      <c r="H54" s="11">
        <f t="shared" si="2"/>
        <v>-3.3360981337907214</v>
      </c>
      <c r="I54" s="3">
        <f t="shared" si="3"/>
        <v>38.458861905494764</v>
      </c>
      <c r="J54" s="3">
        <f t="shared" si="4"/>
        <v>14.283909277766398</v>
      </c>
      <c r="K54" s="3">
        <f t="shared" si="5"/>
        <v>534.57818048637728</v>
      </c>
      <c r="L54" s="3">
        <f t="shared" si="6"/>
        <v>198.54633896095294</v>
      </c>
      <c r="M54" s="21"/>
      <c r="N54" s="21"/>
    </row>
    <row r="55" spans="1:17" x14ac:dyDescent="0.3">
      <c r="A55" t="str">
        <f>Data!A52</f>
        <v>hardwoodsIN_T0_1</v>
      </c>
      <c r="B55" s="3">
        <f>Data!I52</f>
        <v>60</v>
      </c>
      <c r="C55" s="3">
        <f>Data!D52/Data!G52</f>
        <v>23.909169130765562</v>
      </c>
      <c r="D55" s="3"/>
      <c r="E55" s="3">
        <f>Data!H52/Data!G52</f>
        <v>10.116628691117938</v>
      </c>
      <c r="F55" s="3"/>
      <c r="G55" s="3">
        <f t="shared" si="1"/>
        <v>0.39408822598455373</v>
      </c>
      <c r="H55" s="11">
        <f t="shared" si="2"/>
        <v>-1.0643720116864053</v>
      </c>
      <c r="I55" s="3">
        <f t="shared" si="3"/>
        <v>38.466731975650326</v>
      </c>
      <c r="J55" s="3">
        <f t="shared" si="4"/>
        <v>18.443913096429185</v>
      </c>
      <c r="K55" s="3">
        <f t="shared" si="5"/>
        <v>534.6875744615395</v>
      </c>
      <c r="L55" s="3">
        <f t="shared" si="6"/>
        <v>256.37039204036569</v>
      </c>
      <c r="M55" s="21">
        <f t="shared" si="21"/>
        <v>534.59709577232877</v>
      </c>
      <c r="N55" s="21">
        <f t="shared" si="22"/>
        <v>256.61602684609346</v>
      </c>
      <c r="O55" s="4" t="str">
        <f>Data!A52</f>
        <v>hardwoodsIN_T0_1</v>
      </c>
      <c r="P55" s="18">
        <f t="shared" ref="P55:Q55" si="24">STDEV(K55:K57)/SQRT(3)</f>
        <v>6.7202042567840528E-2</v>
      </c>
      <c r="Q55" s="18">
        <f t="shared" si="24"/>
        <v>0.14584033130629603</v>
      </c>
    </row>
    <row r="56" spans="1:17" x14ac:dyDescent="0.3">
      <c r="B56" s="3">
        <f>Data!I53</f>
        <v>60.049999999999955</v>
      </c>
      <c r="C56" s="3">
        <f>Data!D53/Data!G53</f>
        <v>23.904126463722687</v>
      </c>
      <c r="D56" s="3"/>
      <c r="E56" s="3">
        <f>Data!H53/Data!G53</f>
        <v>10.125725570270673</v>
      </c>
      <c r="F56" s="3"/>
      <c r="G56" s="3">
        <f t="shared" si="1"/>
        <v>0.38905654613074248</v>
      </c>
      <c r="H56" s="11">
        <f t="shared" si="2"/>
        <v>-1.0552483312232592</v>
      </c>
      <c r="I56" s="3">
        <f t="shared" si="3"/>
        <v>38.463160385195351</v>
      </c>
      <c r="J56" s="3">
        <f t="shared" si="4"/>
        <v>18.460620456175434</v>
      </c>
      <c r="K56" s="3">
        <f t="shared" si="5"/>
        <v>534.63792935421543</v>
      </c>
      <c r="L56" s="3">
        <f t="shared" si="6"/>
        <v>256.60262434083853</v>
      </c>
      <c r="M56" s="21"/>
      <c r="N56" s="21"/>
    </row>
    <row r="57" spans="1:17" x14ac:dyDescent="0.3">
      <c r="B57" s="3">
        <f>Data!I54</f>
        <v>60.149999999999977</v>
      </c>
      <c r="C57" s="3">
        <f>Data!D54/Data!G54</f>
        <v>23.88665699316493</v>
      </c>
      <c r="D57" s="3"/>
      <c r="E57" s="3">
        <f>Data!H54/Data!G54</f>
        <v>10.13637527560369</v>
      </c>
      <c r="F57" s="3"/>
      <c r="G57" s="3">
        <f t="shared" si="1"/>
        <v>0.37160904995111466</v>
      </c>
      <c r="H57" s="11">
        <f t="shared" si="2"/>
        <v>-1.044545023269416</v>
      </c>
      <c r="I57" s="3">
        <f t="shared" si="3"/>
        <v>38.450775791455492</v>
      </c>
      <c r="J57" s="3">
        <f t="shared" si="4"/>
        <v>18.480220442955119</v>
      </c>
      <c r="K57" s="3">
        <f t="shared" si="5"/>
        <v>534.46578350123139</v>
      </c>
      <c r="L57" s="3">
        <f t="shared" si="6"/>
        <v>256.87506415707617</v>
      </c>
      <c r="M57" s="21"/>
      <c r="N57" s="21"/>
    </row>
    <row r="58" spans="1:17" x14ac:dyDescent="0.3">
      <c r="A58" t="str">
        <f>Data!A55</f>
        <v>Calibrate_20C</v>
      </c>
      <c r="B58" s="3">
        <f>Data!I55</f>
        <v>62.483333333333235</v>
      </c>
      <c r="C58" s="3">
        <f>Data!D55/Data!G55</f>
        <v>23.61234588537982</v>
      </c>
      <c r="D58" s="3">
        <f t="shared" ref="D58:D60" si="25">B$3/C58</f>
        <v>1.6172471886262025</v>
      </c>
      <c r="E58" s="3">
        <f>Data!H55/Data!G55</f>
        <v>11.089445717274364</v>
      </c>
      <c r="F58" s="3">
        <f>C$3/E58</f>
        <v>1.8389557530574507</v>
      </c>
      <c r="G58" s="3">
        <f t="shared" si="1"/>
        <v>9.7810677655704836E-2</v>
      </c>
      <c r="H58" s="11">
        <f t="shared" si="2"/>
        <v>-9.0223853779496821E-2</v>
      </c>
      <c r="I58" s="3">
        <f t="shared" si="3"/>
        <v>38.256428042494726</v>
      </c>
      <c r="J58" s="3">
        <f t="shared" si="4"/>
        <v>20.227781326584605</v>
      </c>
      <c r="K58" s="3">
        <f t="shared" si="5"/>
        <v>531.76434979067665</v>
      </c>
      <c r="L58" s="3">
        <f t="shared" si="6"/>
        <v>281.16616043952604</v>
      </c>
      <c r="M58" s="21">
        <f>AVERAGE(K58:K60)</f>
        <v>531.70002577841876</v>
      </c>
      <c r="N58" s="21">
        <f>AVERAGE(L58:L60)</f>
        <v>281.92117508068264</v>
      </c>
      <c r="O58" s="4" t="str">
        <f>Data!A55</f>
        <v>Calibrate_20C</v>
      </c>
      <c r="P58" s="18">
        <f t="shared" ref="P58:Q58" si="26">STDEV(K58:K60)/SQRT(3)</f>
        <v>6.6729128791307157E-2</v>
      </c>
      <c r="Q58" s="18">
        <f t="shared" si="26"/>
        <v>0.39835957583516407</v>
      </c>
    </row>
    <row r="59" spans="1:17" x14ac:dyDescent="0.3">
      <c r="B59" s="3">
        <f>Data!I56</f>
        <v>62.766666666666652</v>
      </c>
      <c r="C59" s="3">
        <f>Data!D56/Data!G56</f>
        <v>23.59224069539119</v>
      </c>
      <c r="D59" s="3">
        <f t="shared" si="25"/>
        <v>1.618625398623537</v>
      </c>
      <c r="E59" s="3">
        <f>Data!H56/Data!G56</f>
        <v>11.125131865843606</v>
      </c>
      <c r="F59" s="3">
        <f>C$3/E59</f>
        <v>1.8330569242608814</v>
      </c>
      <c r="G59" s="3">
        <f t="shared" si="1"/>
        <v>7.7767748405111803E-2</v>
      </c>
      <c r="H59" s="11">
        <f t="shared" si="2"/>
        <v>-5.4385831117917505E-2</v>
      </c>
      <c r="I59" s="3">
        <f t="shared" si="3"/>
        <v>38.242201156667115</v>
      </c>
      <c r="J59" s="3">
        <f t="shared" si="4"/>
        <v>20.293408212534832</v>
      </c>
      <c r="K59" s="3">
        <f t="shared" si="5"/>
        <v>531.5665960776729</v>
      </c>
      <c r="L59" s="3">
        <f t="shared" si="6"/>
        <v>282.07837415423415</v>
      </c>
    </row>
    <row r="60" spans="1:17" x14ac:dyDescent="0.3">
      <c r="B60" s="3">
        <f>Data!I57</f>
        <v>62.849999999999909</v>
      </c>
      <c r="C60" s="3">
        <f>Data!D57/Data!G57</f>
        <v>23.612749949822678</v>
      </c>
      <c r="D60" s="3">
        <f t="shared" si="25"/>
        <v>1.6172195140823387</v>
      </c>
      <c r="E60" s="3">
        <f>Data!H57/Data!G57</f>
        <v>11.142397640416821</v>
      </c>
      <c r="F60" s="3">
        <f>C$3/E60</f>
        <v>1.8302164990081191</v>
      </c>
      <c r="G60" s="3">
        <f t="shared" si="1"/>
        <v>9.8295314818372503E-2</v>
      </c>
      <c r="H60" s="11">
        <f t="shared" si="2"/>
        <v>-3.7075387694015305E-2</v>
      </c>
      <c r="I60" s="3">
        <f t="shared" si="3"/>
        <v>38.256772047978899</v>
      </c>
      <c r="J60" s="3">
        <f t="shared" si="4"/>
        <v>20.325107240884019</v>
      </c>
      <c r="K60" s="3">
        <f t="shared" si="5"/>
        <v>531.76913146690674</v>
      </c>
      <c r="L60" s="3">
        <f t="shared" si="6"/>
        <v>282.51899064828785</v>
      </c>
    </row>
    <row r="61" spans="1:17" x14ac:dyDescent="0.3">
      <c r="A61" t="str">
        <f>Data!A58</f>
        <v>Calibrate_30C</v>
      </c>
      <c r="B61" s="3">
        <f>Data!I58</f>
        <v>66.983333333333235</v>
      </c>
      <c r="C61" s="3">
        <f>Data!D58/Data!G58</f>
        <v>24.366254883504833</v>
      </c>
      <c r="D61" s="3">
        <f>B$4/C61</f>
        <v>1.5948696336714281</v>
      </c>
      <c r="E61" s="3">
        <f>Data!H58/Data!G58</f>
        <v>11.297585232103495</v>
      </c>
      <c r="F61" s="3">
        <f>C$4/E61</f>
        <v>1.8039253151273151</v>
      </c>
      <c r="G61" s="3">
        <f t="shared" si="1"/>
        <v>0.8527085227965685</v>
      </c>
      <c r="H61" s="11">
        <f t="shared" si="2"/>
        <v>0.12032777898675207</v>
      </c>
      <c r="I61" s="3">
        <f t="shared" si="3"/>
        <v>38.792270150205169</v>
      </c>
      <c r="J61" s="3">
        <f t="shared" si="4"/>
        <v>20.613345232290776</v>
      </c>
      <c r="K61" s="3">
        <f t="shared" si="5"/>
        <v>539.21255508785191</v>
      </c>
      <c r="L61" s="3">
        <f t="shared" si="6"/>
        <v>286.5254987288418</v>
      </c>
      <c r="M61" s="21">
        <f>AVERAGE(K61:K63)</f>
        <v>539.29321053954072</v>
      </c>
      <c r="N61" s="21">
        <f>AVERAGE(L61:L63)</f>
        <v>286.63721852533382</v>
      </c>
      <c r="O61" s="4" t="str">
        <f>Data!A58</f>
        <v>Calibrate_30C</v>
      </c>
      <c r="P61" s="18">
        <f t="shared" ref="P61:Q61" si="27">STDEV(K61:K63)/SQRT(3)</f>
        <v>4.0328273273369242E-2</v>
      </c>
      <c r="Q61" s="18">
        <f t="shared" si="27"/>
        <v>5.632959526328906E-2</v>
      </c>
    </row>
    <row r="62" spans="1:17" x14ac:dyDescent="0.3">
      <c r="B62" s="3">
        <f>Data!I59</f>
        <v>67.166666666666629</v>
      </c>
      <c r="C62" s="3">
        <f>Data!D59/Data!G59</f>
        <v>24.37843971589588</v>
      </c>
      <c r="D62" s="3">
        <f t="shared" ref="D62:D63" si="28">B$4/C62</f>
        <v>1.5940724858884554</v>
      </c>
      <c r="E62" s="3">
        <f>Data!H59/Data!G59</f>
        <v>11.303576681045961</v>
      </c>
      <c r="F62" s="3">
        <f>C$4/E62</f>
        <v>1.8029691464095208</v>
      </c>
      <c r="G62" s="3">
        <f t="shared" si="1"/>
        <v>0.86493364154751973</v>
      </c>
      <c r="H62" s="11">
        <f t="shared" si="2"/>
        <v>0.12641749940072877</v>
      </c>
      <c r="I62" s="3">
        <f t="shared" si="3"/>
        <v>38.800947792406276</v>
      </c>
      <c r="J62" s="3">
        <f t="shared" si="4"/>
        <v>20.624496779094873</v>
      </c>
      <c r="K62" s="3">
        <f t="shared" si="5"/>
        <v>539.33317431444721</v>
      </c>
      <c r="L62" s="3">
        <f t="shared" si="6"/>
        <v>286.68050522941871</v>
      </c>
    </row>
    <row r="63" spans="1:17" x14ac:dyDescent="0.3">
      <c r="B63" s="3">
        <f>Data!I60</f>
        <v>67.299999999999955</v>
      </c>
      <c r="C63" s="3">
        <f>Data!D60/Data!G60</f>
        <v>24.378484191753479</v>
      </c>
      <c r="D63" s="3">
        <f t="shared" si="28"/>
        <v>1.5940695776788913</v>
      </c>
      <c r="E63" s="3">
        <f>Data!H60/Data!G60</f>
        <v>11.304493133802504</v>
      </c>
      <c r="F63" s="3">
        <f>C$4/E63</f>
        <v>1.802822980099839</v>
      </c>
      <c r="G63" s="3">
        <f t="shared" si="1"/>
        <v>0.86500741657595981</v>
      </c>
      <c r="H63" s="11">
        <f t="shared" si="2"/>
        <v>0.12740542231837182</v>
      </c>
      <c r="I63" s="3">
        <f t="shared" si="3"/>
        <v>38.80100015944771</v>
      </c>
      <c r="J63" s="3">
        <f t="shared" si="4"/>
        <v>20.626305871779923</v>
      </c>
      <c r="K63" s="3">
        <f t="shared" si="5"/>
        <v>539.33390221632317</v>
      </c>
      <c r="L63" s="3">
        <f t="shared" si="6"/>
        <v>286.70565161774095</v>
      </c>
    </row>
    <row r="64" spans="1:17" x14ac:dyDescent="0.3">
      <c r="A64" t="str">
        <f>Data!A61</f>
        <v>7_T0_1</v>
      </c>
      <c r="B64" s="3">
        <f>Data!I61</f>
        <v>70.716666666666583</v>
      </c>
      <c r="C64" s="3">
        <f>Data!D61/Data!G61</f>
        <v>24.157417140737078</v>
      </c>
      <c r="D64" s="3"/>
      <c r="E64" s="3">
        <f>Data!H61/Data!G61</f>
        <v>8.9835460209003219</v>
      </c>
      <c r="F64" s="3"/>
      <c r="G64" s="3">
        <f t="shared" si="1"/>
        <v>0.64469115681233546</v>
      </c>
      <c r="H64" s="11">
        <f t="shared" si="2"/>
        <v>-2.1917102677056288</v>
      </c>
      <c r="I64" s="3">
        <f t="shared" si="3"/>
        <v>38.644615120393063</v>
      </c>
      <c r="J64" s="3">
        <f t="shared" si="4"/>
        <v>16.37952188116223</v>
      </c>
      <c r="K64" s="3">
        <f t="shared" si="5"/>
        <v>537.16015017346353</v>
      </c>
      <c r="L64" s="3">
        <f t="shared" si="6"/>
        <v>227.67535414815501</v>
      </c>
      <c r="M64" s="21">
        <f>AVERAGE(K64:K66)</f>
        <v>537.12701365571172</v>
      </c>
      <c r="N64" s="21">
        <f>AVERAGE(L64:L66)</f>
        <v>227.38611213017785</v>
      </c>
      <c r="O64" s="4" t="str">
        <f>Data!A61</f>
        <v>7_T0_1</v>
      </c>
      <c r="P64" s="18">
        <f t="shared" ref="P64:Q64" si="29">STDEV(K64:K66)/SQRT(3)</f>
        <v>2.0680191729904339E-2</v>
      </c>
      <c r="Q64" s="18">
        <f t="shared" si="29"/>
        <v>0.15271006742436244</v>
      </c>
    </row>
    <row r="65" spans="1:17" x14ac:dyDescent="0.3">
      <c r="B65" s="3">
        <f>Data!I62</f>
        <v>70.966666666666583</v>
      </c>
      <c r="C65" s="3">
        <f>Data!D62/Data!G62</f>
        <v>24.154497049824013</v>
      </c>
      <c r="D65" s="3"/>
      <c r="E65" s="3">
        <f>Data!H62/Data!G62</f>
        <v>8.969704054885737</v>
      </c>
      <c r="F65" s="3"/>
      <c r="G65" s="3">
        <f t="shared" si="1"/>
        <v>0.6418260018445956</v>
      </c>
      <c r="H65" s="11">
        <f t="shared" si="2"/>
        <v>-2.2054182271681508</v>
      </c>
      <c r="I65" s="3">
        <f t="shared" si="3"/>
        <v>38.642581374123004</v>
      </c>
      <c r="J65" s="3">
        <f t="shared" si="4"/>
        <v>16.354419751484141</v>
      </c>
      <c r="K65" s="3">
        <f t="shared" si="5"/>
        <v>537.13188110030978</v>
      </c>
      <c r="L65" s="3">
        <f t="shared" si="6"/>
        <v>227.32643454562955</v>
      </c>
    </row>
    <row r="66" spans="1:17" x14ac:dyDescent="0.3">
      <c r="B66" s="3">
        <f>Data!I63</f>
        <v>71.066666666666606</v>
      </c>
      <c r="C66" s="3">
        <f>Data!D63/Data!G63</f>
        <v>24.150129930349607</v>
      </c>
      <c r="D66" s="3"/>
      <c r="E66" s="3">
        <f>Data!H63/Data!G63</f>
        <v>8.9629761295246198</v>
      </c>
      <c r="F66" s="3"/>
      <c r="G66" s="3">
        <f t="shared" si="1"/>
        <v>0.63748085674831856</v>
      </c>
      <c r="H66" s="11">
        <f t="shared" si="2"/>
        <v>-2.2120925499084443</v>
      </c>
      <c r="I66" s="3">
        <f t="shared" si="3"/>
        <v>38.639497100241869</v>
      </c>
      <c r="J66" s="3">
        <f t="shared" si="4"/>
        <v>16.342197676025108</v>
      </c>
      <c r="K66" s="3">
        <f t="shared" si="5"/>
        <v>537.08900969336196</v>
      </c>
      <c r="L66" s="3">
        <f t="shared" si="6"/>
        <v>227.15654769674902</v>
      </c>
    </row>
    <row r="67" spans="1:17" x14ac:dyDescent="0.3">
      <c r="A67" t="str">
        <f>Data!A64</f>
        <v>8_T0_1</v>
      </c>
      <c r="B67" s="3">
        <f>Data!I64</f>
        <v>73.93333333333328</v>
      </c>
      <c r="C67" s="3">
        <f>Data!D64/Data!G64</f>
        <v>23.800437263095251</v>
      </c>
      <c r="D67" s="3"/>
      <c r="E67" s="3">
        <f>Data!H64/Data!G64</f>
        <v>8.2731451397022742</v>
      </c>
      <c r="F67" s="3"/>
      <c r="G67" s="3">
        <f t="shared" si="1"/>
        <v>0.28841812166702141</v>
      </c>
      <c r="H67" s="11">
        <f t="shared" si="2"/>
        <v>-2.9003869312671444</v>
      </c>
      <c r="I67" s="3">
        <f t="shared" si="3"/>
        <v>38.391725149516226</v>
      </c>
      <c r="J67" s="3">
        <f t="shared" si="4"/>
        <v>15.081787265212018</v>
      </c>
      <c r="K67" s="3">
        <f t="shared" si="5"/>
        <v>533.64497957827552</v>
      </c>
      <c r="L67" s="3">
        <f t="shared" si="6"/>
        <v>209.63684298644705</v>
      </c>
      <c r="M67" s="21">
        <f>AVERAGE(K67:K69)</f>
        <v>533.73022507898224</v>
      </c>
      <c r="N67" s="21">
        <f>AVERAGE(L67:L69)</f>
        <v>209.4091942996188</v>
      </c>
      <c r="O67" s="4" t="str">
        <f>Data!A64</f>
        <v>8_T0_1</v>
      </c>
      <c r="P67" s="18">
        <f t="shared" ref="P67:Q67" si="30">STDEV(K67:K69)/SQRT(3)</f>
        <v>4.5463412712981655E-2</v>
      </c>
      <c r="Q67" s="18">
        <f t="shared" si="30"/>
        <v>0.11477548935624628</v>
      </c>
    </row>
    <row r="68" spans="1:17" x14ac:dyDescent="0.3">
      <c r="B68" s="3">
        <f>Data!I65</f>
        <v>74.133333333333326</v>
      </c>
      <c r="C68" s="3">
        <f>Data!D65/Data!G65</f>
        <v>23.810576239599072</v>
      </c>
      <c r="D68" s="3"/>
      <c r="E68" s="3">
        <f>Data!H65/Data!G65</f>
        <v>8.2606259171430345</v>
      </c>
      <c r="F68" s="3"/>
      <c r="G68" s="3">
        <f t="shared" si="1"/>
        <v>0.29860104692710365</v>
      </c>
      <c r="H68" s="11">
        <f t="shared" si="2"/>
        <v>-2.9127989485847348</v>
      </c>
      <c r="I68" s="3">
        <f t="shared" si="3"/>
        <v>38.398953200528879</v>
      </c>
      <c r="J68" s="3">
        <f t="shared" si="4"/>
        <v>15.059058275596556</v>
      </c>
      <c r="K68" s="3">
        <f t="shared" si="5"/>
        <v>533.74544948735149</v>
      </c>
      <c r="L68" s="3">
        <f t="shared" si="6"/>
        <v>209.32091003079213</v>
      </c>
    </row>
    <row r="69" spans="1:17" x14ac:dyDescent="0.3">
      <c r="B69" s="3">
        <f>Data!I66</f>
        <v>74.283333333333303</v>
      </c>
      <c r="C69" s="3">
        <f>Data!D66/Data!G66</f>
        <v>23.816097085559736</v>
      </c>
      <c r="D69" s="3"/>
      <c r="E69" s="3">
        <f>Data!H66/Data!G66</f>
        <v>8.2585387339733689</v>
      </c>
      <c r="F69" s="3"/>
      <c r="G69" s="3">
        <f t="shared" si="1"/>
        <v>0.30415485445496415</v>
      </c>
      <c r="H69" s="11">
        <f t="shared" si="2"/>
        <v>-2.9148057278231629</v>
      </c>
      <c r="I69" s="3">
        <f t="shared" si="3"/>
        <v>38.402895408008611</v>
      </c>
      <c r="J69" s="3">
        <f t="shared" si="4"/>
        <v>15.055383444720665</v>
      </c>
      <c r="K69" s="3">
        <f t="shared" si="5"/>
        <v>533.80024617131971</v>
      </c>
      <c r="L69" s="3">
        <f t="shared" si="6"/>
        <v>209.26982988161726</v>
      </c>
    </row>
    <row r="70" spans="1:17" x14ac:dyDescent="0.3">
      <c r="A70" t="str">
        <f>Data!A67</f>
        <v>9_T0_1</v>
      </c>
      <c r="B70" s="3">
        <f>Data!I67</f>
        <v>76.549999999999955</v>
      </c>
      <c r="C70" s="3">
        <f>Data!D67/Data!G67</f>
        <v>23.741076331685889</v>
      </c>
      <c r="D70" s="3"/>
      <c r="E70" s="3">
        <f>Data!H67/Data!G67</f>
        <v>8.1097690789421311</v>
      </c>
      <c r="F70" s="3"/>
      <c r="G70" s="3">
        <f t="shared" si="1"/>
        <v>0.22963218648539652</v>
      </c>
      <c r="H70" s="11">
        <f t="shared" si="2"/>
        <v>-3.062360390115705</v>
      </c>
      <c r="I70" s="3">
        <f t="shared" si="3"/>
        <v>38.349997676568449</v>
      </c>
      <c r="J70" s="3">
        <f t="shared" si="4"/>
        <v>14.785180116676051</v>
      </c>
      <c r="K70" s="3">
        <f t="shared" si="5"/>
        <v>533.06496770430147</v>
      </c>
      <c r="L70" s="3">
        <f t="shared" si="6"/>
        <v>205.51400362179712</v>
      </c>
      <c r="M70" s="21">
        <f>AVERAGE(K70:K72)</f>
        <v>533.14995645751833</v>
      </c>
      <c r="N70" s="21">
        <f>AVERAGE(L70:L72)</f>
        <v>205.44769552661731</v>
      </c>
      <c r="O70" s="4" t="str">
        <f>Data!A67</f>
        <v>9_T0_1</v>
      </c>
      <c r="P70" s="18">
        <f t="shared" ref="P70:Q70" si="31">STDEV(K70:K72)/SQRT(3)</f>
        <v>4.2522434266902748E-2</v>
      </c>
      <c r="Q70" s="18">
        <f t="shared" si="31"/>
        <v>8.4063192669582273E-2</v>
      </c>
    </row>
    <row r="71" spans="1:17" x14ac:dyDescent="0.3">
      <c r="B71" s="3">
        <f>Data!I68</f>
        <v>76.733333333333235</v>
      </c>
      <c r="C71" s="3">
        <f>Data!D68/Data!G68</f>
        <v>23.754227969737894</v>
      </c>
      <c r="D71" s="3"/>
      <c r="E71" s="3">
        <f>Data!H68/Data!G68</f>
        <v>8.1110198121964725</v>
      </c>
      <c r="F71" s="3"/>
      <c r="G71" s="3">
        <f t="shared" si="1"/>
        <v>0.24282411089730616</v>
      </c>
      <c r="H71" s="11">
        <f t="shared" si="2"/>
        <v>-3.0610113853898504</v>
      </c>
      <c r="I71" s="3">
        <f t="shared" si="3"/>
        <v>38.359361577428857</v>
      </c>
      <c r="J71" s="3">
        <f t="shared" si="4"/>
        <v>14.787650425379351</v>
      </c>
      <c r="K71" s="3">
        <f t="shared" si="5"/>
        <v>533.19512592626108</v>
      </c>
      <c r="L71" s="3">
        <f t="shared" si="6"/>
        <v>205.54834091277297</v>
      </c>
    </row>
    <row r="72" spans="1:17" x14ac:dyDescent="0.3">
      <c r="B72" s="3">
        <f>Data!I69</f>
        <v>76.983333333333235</v>
      </c>
      <c r="C72" s="3">
        <f>Data!D69/Data!G69</f>
        <v>23.753630776642783</v>
      </c>
      <c r="D72" s="3"/>
      <c r="E72" s="3">
        <f>Data!H69/Data!G69</f>
        <v>8.1003726834201668</v>
      </c>
      <c r="F72" s="3"/>
      <c r="G72" s="3">
        <f t="shared" si="1"/>
        <v>0.24228185374752087</v>
      </c>
      <c r="H72" s="11">
        <f t="shared" si="2"/>
        <v>-3.0715245076140949</v>
      </c>
      <c r="I72" s="3">
        <f t="shared" si="3"/>
        <v>38.358976672085795</v>
      </c>
      <c r="J72" s="3">
        <f t="shared" si="4"/>
        <v>14.76839870829366</v>
      </c>
      <c r="K72" s="3">
        <f t="shared" si="5"/>
        <v>533.18977574199255</v>
      </c>
      <c r="L72" s="3">
        <f t="shared" si="6"/>
        <v>205.28074204528187</v>
      </c>
    </row>
    <row r="73" spans="1:17" x14ac:dyDescent="0.3">
      <c r="A73" t="str">
        <f>Data!A70</f>
        <v>Calibrate_20C</v>
      </c>
      <c r="B73" s="3">
        <f>Data!I70</f>
        <v>79.916666666666629</v>
      </c>
      <c r="C73" s="3">
        <f>Data!D70/Data!G70</f>
        <v>23.623836412400905</v>
      </c>
      <c r="D73" s="3">
        <f t="shared" ref="D73:D75" si="32">B$3/C73</f>
        <v>1.616460566919369</v>
      </c>
      <c r="E73" s="3">
        <f>Data!H70/Data!G70</f>
        <v>11.081818213524647</v>
      </c>
      <c r="F73" s="3">
        <f>C$3/E73</f>
        <v>1.840221487761968</v>
      </c>
      <c r="G73" s="3">
        <f t="shared" si="1"/>
        <v>0.11313207126412195</v>
      </c>
      <c r="H73" s="11">
        <f t="shared" si="2"/>
        <v>-8.8506633965419468E-2</v>
      </c>
      <c r="I73" s="3">
        <f t="shared" si="3"/>
        <v>38.267303484644998</v>
      </c>
      <c r="J73" s="3">
        <f t="shared" si="4"/>
        <v>20.230925913827992</v>
      </c>
      <c r="K73" s="3">
        <f t="shared" si="5"/>
        <v>531.91551843656543</v>
      </c>
      <c r="L73" s="3">
        <f t="shared" si="6"/>
        <v>281.20987020220912</v>
      </c>
      <c r="M73" s="21">
        <f>AVERAGE(K73:K75)</f>
        <v>531.65873147193963</v>
      </c>
      <c r="N73" s="21">
        <f>AVERAGE(L73:L75)</f>
        <v>281.5655265435733</v>
      </c>
      <c r="O73" s="4" t="str">
        <f>Data!A70</f>
        <v>Calibrate_20C</v>
      </c>
      <c r="P73" s="18">
        <f t="shared" ref="P73:Q73" si="33">STDEV(K73:K75)/SQRT(3)</f>
        <v>0.13174558038581655</v>
      </c>
      <c r="Q73" s="18">
        <f t="shared" si="33"/>
        <v>0.36808394485308299</v>
      </c>
    </row>
    <row r="74" spans="1:17" x14ac:dyDescent="0.3">
      <c r="B74" s="3">
        <f>Data!I71</f>
        <v>80.049999999999955</v>
      </c>
      <c r="C74" s="3">
        <f>Data!D71/Data!G71</f>
        <v>23.579584004564953</v>
      </c>
      <c r="D74" s="3">
        <f t="shared" si="32"/>
        <v>1.6194942197710986</v>
      </c>
      <c r="E74" s="3">
        <f>Data!H71/Data!G71</f>
        <v>11.080775694398536</v>
      </c>
      <c r="F74" s="3">
        <f>C$3/E74</f>
        <v>1.8403946224007499</v>
      </c>
      <c r="G74" s="3">
        <f t="shared" si="1"/>
        <v>6.8908962599010692E-2</v>
      </c>
      <c r="H74" s="11">
        <f t="shared" si="2"/>
        <v>-8.9477682930430902E-2</v>
      </c>
      <c r="I74" s="3">
        <f t="shared" si="3"/>
        <v>38.235913007232526</v>
      </c>
      <c r="J74" s="3">
        <f t="shared" si="4"/>
        <v>20.229147720865711</v>
      </c>
      <c r="K74" s="3">
        <f t="shared" si="5"/>
        <v>531.47919080053214</v>
      </c>
      <c r="L74" s="3">
        <f t="shared" si="6"/>
        <v>281.18515332003341</v>
      </c>
    </row>
    <row r="75" spans="1:17" x14ac:dyDescent="0.3">
      <c r="B75" s="3">
        <f>Data!I72</f>
        <v>80.349999999999909</v>
      </c>
      <c r="C75" s="3">
        <f>Data!D72/Data!G72</f>
        <v>23.58988592208263</v>
      </c>
      <c r="D75" s="3">
        <f t="shared" si="32"/>
        <v>1.6187869719307513</v>
      </c>
      <c r="E75" s="3">
        <f>Data!H72/Data!G72</f>
        <v>11.124474859025629</v>
      </c>
      <c r="F75" s="3">
        <f>C$3/E75</f>
        <v>1.8331651838337819</v>
      </c>
      <c r="G75" s="3">
        <f t="shared" si="1"/>
        <v>7.9276803251076444E-2</v>
      </c>
      <c r="H75" s="11">
        <f t="shared" si="2"/>
        <v>-4.561771044086349E-2</v>
      </c>
      <c r="I75" s="3">
        <f t="shared" si="3"/>
        <v>38.243272315015915</v>
      </c>
      <c r="J75" s="3">
        <f t="shared" si="4"/>
        <v>20.309464468235785</v>
      </c>
      <c r="K75" s="3">
        <f t="shared" si="5"/>
        <v>531.58148517872121</v>
      </c>
      <c r="L75" s="3">
        <f t="shared" si="6"/>
        <v>282.30155610847743</v>
      </c>
    </row>
    <row r="76" spans="1:17" x14ac:dyDescent="0.3">
      <c r="A76" t="str">
        <f>Data!A73</f>
        <v>Calibrate_30C</v>
      </c>
      <c r="B76" s="3">
        <f>Data!I73</f>
        <v>84.5</v>
      </c>
      <c r="C76" s="3">
        <f>Data!D73/Data!G73</f>
        <v>24.304714721977849</v>
      </c>
      <c r="D76" s="3">
        <f>B$4/C76</f>
        <v>1.5989078845208351</v>
      </c>
      <c r="E76" s="3">
        <f>Data!H73/Data!G73</f>
        <v>11.28771259305722</v>
      </c>
      <c r="F76" s="3">
        <f>C$4/E76</f>
        <v>1.8055030930301335</v>
      </c>
      <c r="G76" s="3">
        <f t="shared" si="1"/>
        <v>0.7950175398386925</v>
      </c>
      <c r="H76" s="11">
        <f t="shared" si="2"/>
        <v>0.11984453235495707</v>
      </c>
      <c r="I76" s="3">
        <f t="shared" si="3"/>
        <v>38.751319896998041</v>
      </c>
      <c r="J76" s="3">
        <f t="shared" si="4"/>
        <v>20.612460307028854</v>
      </c>
      <c r="K76" s="3">
        <f t="shared" si="5"/>
        <v>538.64334656827282</v>
      </c>
      <c r="L76" s="3">
        <f t="shared" si="6"/>
        <v>286.51319826770106</v>
      </c>
      <c r="M76" s="21">
        <f>AVERAGE(K76:K78)</f>
        <v>538.65408219245103</v>
      </c>
      <c r="N76" s="21">
        <f>AVERAGE(L76:L78)</f>
        <v>286.52193035102505</v>
      </c>
      <c r="O76" s="4" t="str">
        <f>Data!A73</f>
        <v>Calibrate_30C</v>
      </c>
      <c r="P76" s="18">
        <f t="shared" ref="P76:Q76" si="34">STDEV(K76:K78)/SQRT(3)</f>
        <v>2.0136886712181785E-2</v>
      </c>
      <c r="Q76" s="18">
        <f t="shared" si="34"/>
        <v>6.622860154547032E-2</v>
      </c>
    </row>
    <row r="77" spans="1:17" x14ac:dyDescent="0.3">
      <c r="B77" s="3">
        <f>Data!I74</f>
        <v>84.566666666666606</v>
      </c>
      <c r="C77" s="3">
        <f>Data!D74/Data!G74</f>
        <v>24.302925111303079</v>
      </c>
      <c r="D77" s="3">
        <f t="shared" ref="D77:D78" si="35">B$4/C77</f>
        <v>1.5990256243651133</v>
      </c>
      <c r="E77" s="3">
        <f>Data!H74/Data!G74</f>
        <v>11.283694597647685</v>
      </c>
      <c r="F77" s="3">
        <f>C$4/E77</f>
        <v>1.8061460121624191</v>
      </c>
      <c r="G77" s="3">
        <f t="shared" si="1"/>
        <v>0.7932425787493429</v>
      </c>
      <c r="H77" s="11">
        <f t="shared" si="2"/>
        <v>0.11586227202597144</v>
      </c>
      <c r="I77" s="3">
        <f t="shared" si="3"/>
        <v>38.750059992896652</v>
      </c>
      <c r="J77" s="3">
        <f t="shared" si="4"/>
        <v>20.605167958706449</v>
      </c>
      <c r="K77" s="3">
        <f t="shared" si="5"/>
        <v>538.62583390126349</v>
      </c>
      <c r="L77" s="3">
        <f t="shared" si="6"/>
        <v>286.41183462601964</v>
      </c>
      <c r="M77" s="21"/>
      <c r="N77" s="21"/>
    </row>
    <row r="78" spans="1:17" x14ac:dyDescent="0.3">
      <c r="B78" s="3">
        <f>Data!I75</f>
        <v>84.666666666666629</v>
      </c>
      <c r="C78" s="3">
        <f>Data!D75/Data!G75</f>
        <v>24.309717321795826</v>
      </c>
      <c r="D78" s="3">
        <f t="shared" si="35"/>
        <v>1.5985788516412591</v>
      </c>
      <c r="E78" s="3">
        <f>Data!H75/Data!G75</f>
        <v>11.292634684381822</v>
      </c>
      <c r="F78" s="3">
        <f>C$4/E78</f>
        <v>1.8047161330903918</v>
      </c>
      <c r="G78" s="3">
        <f t="shared" ref="G78:G138" si="36">C78-(G$3+G$4*B78)</f>
        <v>0.80005676362021916</v>
      </c>
      <c r="H78" s="11">
        <f t="shared" ref="H78:H138" si="37">E78-(H$3+H$4*B78)</f>
        <v>0.12485596138093413</v>
      </c>
      <c r="I78" s="3">
        <f t="shared" ref="I78:I120" si="38">G78*(B$7/B$9)+B$3</f>
        <v>38.754896842288979</v>
      </c>
      <c r="J78" s="3">
        <f t="shared" ref="J78:J120" si="39">H78*(C$7)+C$3</f>
        <v>20.621637277651399</v>
      </c>
      <c r="K78" s="3">
        <f t="shared" ref="K78:K120" si="40">I78*D$3</f>
        <v>538.69306610781678</v>
      </c>
      <c r="L78" s="3">
        <f t="shared" ref="L78:L120" si="41">J78*D$3</f>
        <v>286.64075815935445</v>
      </c>
      <c r="M78" s="21"/>
      <c r="N78" s="21"/>
    </row>
    <row r="79" spans="1:17" x14ac:dyDescent="0.3">
      <c r="A79" t="str">
        <f>Data!A76</f>
        <v>typhaIN_T0_1</v>
      </c>
      <c r="B79" s="3">
        <f>Data!I76</f>
        <v>89.666666666666629</v>
      </c>
      <c r="C79" s="3">
        <f>Data!D76/Data!G76</f>
        <v>23.808739271792078</v>
      </c>
      <c r="D79" s="3">
        <f t="shared" ref="D79:D81" si="42">B$3/C79</f>
        <v>1.6039068496685533</v>
      </c>
      <c r="E79" s="3">
        <f>Data!H76/Data!G76</f>
        <v>8.6090158885477504</v>
      </c>
      <c r="F79" s="3">
        <f>C$3/E79</f>
        <v>2.3687957211378876</v>
      </c>
      <c r="G79" s="3">
        <f t="shared" si="36"/>
        <v>0.3001774325229718</v>
      </c>
      <c r="H79" s="11">
        <f t="shared" si="37"/>
        <v>-2.5560827034118958</v>
      </c>
      <c r="I79" s="3">
        <f t="shared" si="38"/>
        <v>38.400072151636891</v>
      </c>
      <c r="J79" s="3">
        <f t="shared" si="39"/>
        <v>15.712280038404597</v>
      </c>
      <c r="K79" s="3">
        <f t="shared" si="40"/>
        <v>533.76100290775275</v>
      </c>
      <c r="L79" s="3">
        <f t="shared" si="41"/>
        <v>218.4006925338239</v>
      </c>
      <c r="M79" s="21">
        <f>AVERAGE(K79:K81)</f>
        <v>533.76120161732752</v>
      </c>
      <c r="N79" s="21">
        <f>AVERAGE(L79:L81)</f>
        <v>218.25510913676013</v>
      </c>
      <c r="O79" s="4" t="str">
        <f>Data!A76</f>
        <v>typhaIN_T0_1</v>
      </c>
      <c r="P79" s="18">
        <f t="shared" ref="P79:Q79" si="43">STDEV(K79:K81)/SQRT(3)</f>
        <v>1.7722392145007022E-3</v>
      </c>
      <c r="Q79" s="18">
        <f t="shared" si="43"/>
        <v>9.0397228221781672E-2</v>
      </c>
    </row>
    <row r="80" spans="1:17" x14ac:dyDescent="0.3">
      <c r="B80" s="3">
        <f>Data!I77</f>
        <v>89.816666666666606</v>
      </c>
      <c r="C80" s="3">
        <f>Data!D77/Data!G77</f>
        <v>23.80904714462304</v>
      </c>
      <c r="D80" s="3">
        <f t="shared" si="42"/>
        <v>1.6038861096809591</v>
      </c>
      <c r="E80" s="3">
        <f>Data!H77/Data!G77</f>
        <v>8.6040035647479929</v>
      </c>
      <c r="F80" s="3">
        <f>C$3/E80</f>
        <v>2.3701756800233613</v>
      </c>
      <c r="G80" s="3">
        <f t="shared" si="36"/>
        <v>0.30051826692113082</v>
      </c>
      <c r="H80" s="11">
        <f t="shared" si="37"/>
        <v>-2.5610146232804158</v>
      </c>
      <c r="I80" s="3">
        <f t="shared" si="38"/>
        <v>38.400314082943844</v>
      </c>
      <c r="J80" s="3">
        <f t="shared" si="39"/>
        <v>15.703248665614211</v>
      </c>
      <c r="K80" s="3">
        <f t="shared" si="40"/>
        <v>533.76436575291939</v>
      </c>
      <c r="L80" s="3">
        <f t="shared" si="41"/>
        <v>218.27515645203755</v>
      </c>
      <c r="M80" s="21"/>
      <c r="N80" s="21"/>
    </row>
    <row r="81" spans="1:17" x14ac:dyDescent="0.3">
      <c r="B81" s="3">
        <f>Data!I78</f>
        <v>90.049999999999955</v>
      </c>
      <c r="C81" s="3">
        <f>Data!D78/Data!G78</f>
        <v>23.808374621703852</v>
      </c>
      <c r="D81" s="3">
        <f t="shared" si="42"/>
        <v>1.6039314151747472</v>
      </c>
      <c r="E81" s="3">
        <f>Data!H78/Data!G78</f>
        <v>8.5965837832215524</v>
      </c>
      <c r="F81" s="3">
        <f>C$3/E81</f>
        <v>2.3722213979699927</v>
      </c>
      <c r="G81" s="3">
        <f t="shared" si="36"/>
        <v>0.29989701755091147</v>
      </c>
      <c r="H81" s="11">
        <f t="shared" si="37"/>
        <v>-2.5683093320249331</v>
      </c>
      <c r="I81" s="3">
        <f t="shared" si="38"/>
        <v>38.399873107288535</v>
      </c>
      <c r="J81" s="3">
        <f t="shared" si="39"/>
        <v>15.689890534130864</v>
      </c>
      <c r="K81" s="3">
        <f t="shared" si="40"/>
        <v>533.75823619131063</v>
      </c>
      <c r="L81" s="3">
        <f t="shared" si="41"/>
        <v>218.08947842441901</v>
      </c>
      <c r="M81" s="21"/>
      <c r="N81" s="21"/>
    </row>
    <row r="82" spans="1:17" x14ac:dyDescent="0.3">
      <c r="A82" t="str">
        <f>Data!A79</f>
        <v>10_T0_1</v>
      </c>
      <c r="B82" s="3">
        <f>Data!I79</f>
        <v>93.666666666666629</v>
      </c>
      <c r="C82" s="3">
        <f>Data!D79/Data!G79</f>
        <v>24.066673051254273</v>
      </c>
      <c r="D82" s="3">
        <f>B$4/C82</f>
        <v>1.6147225633239195</v>
      </c>
      <c r="E82" s="3">
        <f>Data!H79/Data!G79</f>
        <v>7.1607439640707335</v>
      </c>
      <c r="F82" s="3">
        <f>C$4/E82</f>
        <v>2.8460729921719468</v>
      </c>
      <c r="G82" s="3">
        <f t="shared" si="36"/>
        <v>0.55899018711036774</v>
      </c>
      <c r="H82" s="11">
        <f t="shared" si="37"/>
        <v>-4.0022105230559193</v>
      </c>
      <c r="I82" s="3">
        <f t="shared" si="38"/>
        <v>38.583782799127981</v>
      </c>
      <c r="J82" s="3">
        <f t="shared" si="39"/>
        <v>13.064118715849986</v>
      </c>
      <c r="K82" s="3">
        <f t="shared" si="40"/>
        <v>536.31458090787896</v>
      </c>
      <c r="L82" s="3">
        <f t="shared" si="41"/>
        <v>181.59125015031481</v>
      </c>
      <c r="M82" s="21">
        <f>AVERAGE(K82:K84)</f>
        <v>536.24742614587592</v>
      </c>
      <c r="N82" s="21">
        <f>AVERAGE(L82:L84)</f>
        <v>181.4202511442727</v>
      </c>
      <c r="O82" s="4" t="str">
        <f>Data!A79</f>
        <v>10_T0_1</v>
      </c>
      <c r="P82" s="18">
        <f t="shared" ref="P82:Q82" si="44">STDEV(K82:K84)/SQRT(3)</f>
        <v>3.565318698424761E-2</v>
      </c>
      <c r="Q82" s="18">
        <f t="shared" si="44"/>
        <v>0.10828956785618629</v>
      </c>
    </row>
    <row r="83" spans="1:17" x14ac:dyDescent="0.3">
      <c r="B83" s="3">
        <f>Data!I80</f>
        <v>93.75</v>
      </c>
      <c r="C83" s="3">
        <f>Data!D80/Data!G80</f>
        <v>24.054340781510177</v>
      </c>
      <c r="D83" s="3">
        <f t="shared" ref="D83:D84" si="45">B$4/C83</f>
        <v>1.6155504053501744</v>
      </c>
      <c r="E83" s="3">
        <f>Data!H80/Data!G80</f>
        <v>7.1551444268293904</v>
      </c>
      <c r="F83" s="3">
        <f>C$4/E83</f>
        <v>2.8483002975567953</v>
      </c>
      <c r="G83" s="3">
        <f t="shared" si="36"/>
        <v>0.54667622934804783</v>
      </c>
      <c r="H83" s="11">
        <f t="shared" si="37"/>
        <v>-4.0077653914465765</v>
      </c>
      <c r="I83" s="3">
        <f t="shared" si="38"/>
        <v>38.575042097158708</v>
      </c>
      <c r="J83" s="3">
        <f t="shared" si="39"/>
        <v>13.053946594531109</v>
      </c>
      <c r="K83" s="3">
        <f t="shared" si="40"/>
        <v>536.19308515050602</v>
      </c>
      <c r="L83" s="3">
        <f t="shared" si="41"/>
        <v>181.44985766398241</v>
      </c>
      <c r="M83" s="21"/>
      <c r="N83" s="21"/>
    </row>
    <row r="84" spans="1:17" x14ac:dyDescent="0.3">
      <c r="B84" s="3">
        <f>Data!I81</f>
        <v>93.883333333333326</v>
      </c>
      <c r="C84" s="3">
        <f>Data!D81/Data!G81</f>
        <v>24.058520390960581</v>
      </c>
      <c r="D84" s="3">
        <f t="shared" si="45"/>
        <v>1.615269740968821</v>
      </c>
      <c r="E84" s="3">
        <f>Data!H81/Data!G81</f>
        <v>7.146028645703443</v>
      </c>
      <c r="F84" s="3">
        <f>C$4/E84</f>
        <v>2.8519337117761898</v>
      </c>
      <c r="G84" s="3">
        <f t="shared" si="36"/>
        <v>0.55088513796929206</v>
      </c>
      <c r="H84" s="11">
        <f t="shared" si="37"/>
        <v>-4.0168097024114244</v>
      </c>
      <c r="I84" s="3">
        <f t="shared" si="38"/>
        <v>38.578029667571428</v>
      </c>
      <c r="J84" s="3">
        <f t="shared" si="39"/>
        <v>13.037384576872004</v>
      </c>
      <c r="K84" s="3">
        <f t="shared" si="40"/>
        <v>536.23461237924289</v>
      </c>
      <c r="L84" s="3">
        <f t="shared" si="41"/>
        <v>181.21964561852087</v>
      </c>
      <c r="M84" s="21"/>
      <c r="N84" s="21"/>
    </row>
    <row r="85" spans="1:17" x14ac:dyDescent="0.3">
      <c r="A85" t="str">
        <f>Data!A82</f>
        <v>11_T0_1</v>
      </c>
      <c r="B85" s="3">
        <f>Data!I82</f>
        <v>96.299999999999955</v>
      </c>
      <c r="C85" s="3">
        <f>Data!D82/Data!G82</f>
        <v>24.004842681662801</v>
      </c>
      <c r="D85" s="3"/>
      <c r="E85" s="3">
        <f>Data!H82/Data!G82</f>
        <v>6.9241189065975313</v>
      </c>
      <c r="F85" s="3"/>
      <c r="G85" s="3">
        <f t="shared" si="36"/>
        <v>0.49773847614298461</v>
      </c>
      <c r="H85" s="11">
        <f t="shared" si="37"/>
        <v>-4.237424044847403</v>
      </c>
      <c r="I85" s="3">
        <f t="shared" si="38"/>
        <v>38.540305067515817</v>
      </c>
      <c r="J85" s="3">
        <f t="shared" si="39"/>
        <v>12.633393753305945</v>
      </c>
      <c r="K85" s="3">
        <f t="shared" si="40"/>
        <v>535.7102404384699</v>
      </c>
      <c r="L85" s="3">
        <f t="shared" si="41"/>
        <v>175.60417317095263</v>
      </c>
      <c r="M85" s="21">
        <f>AVERAGE(K85:K87)</f>
        <v>535.70522199015591</v>
      </c>
      <c r="N85" s="21">
        <f t="shared" ref="N85:N88" si="46">AVERAGE(L85:L87)</f>
        <v>175.50859850042517</v>
      </c>
      <c r="O85" s="4" t="str">
        <f>Data!A82</f>
        <v>11_T0_1</v>
      </c>
      <c r="P85" s="18">
        <f t="shared" ref="P85:Q85" si="47">STDEV(K85:K87)/SQRT(3)</f>
        <v>2.1823824789249463E-2</v>
      </c>
      <c r="Q85" s="18">
        <f t="shared" si="47"/>
        <v>5.2947163001206957E-2</v>
      </c>
    </row>
    <row r="86" spans="1:17" x14ac:dyDescent="0.3">
      <c r="B86" s="3">
        <f>Data!I83</f>
        <v>96.349999999999909</v>
      </c>
      <c r="C86" s="3">
        <f>Data!D83/Data!G83</f>
        <v>24.000263009486044</v>
      </c>
      <c r="D86" s="3"/>
      <c r="E86" s="3">
        <f>Data!H83/Data!G83</f>
        <v>6.9200112284819033</v>
      </c>
      <c r="F86" s="3"/>
      <c r="G86" s="3">
        <f t="shared" si="36"/>
        <v>0.49316979115529236</v>
      </c>
      <c r="H86" s="11">
        <f t="shared" si="37"/>
        <v>-4.2415049216526173</v>
      </c>
      <c r="I86" s="3">
        <f t="shared" si="38"/>
        <v>38.537062120395184</v>
      </c>
      <c r="J86" s="3">
        <f t="shared" si="39"/>
        <v>12.625920817669911</v>
      </c>
      <c r="K86" s="3">
        <f t="shared" si="40"/>
        <v>535.66516347349307</v>
      </c>
      <c r="L86" s="3">
        <f t="shared" si="41"/>
        <v>175.50029936561177</v>
      </c>
      <c r="M86" s="21"/>
      <c r="N86" s="21"/>
    </row>
    <row r="87" spans="1:17" x14ac:dyDescent="0.3">
      <c r="B87" s="3">
        <f>Data!I84</f>
        <v>96.449999999999932</v>
      </c>
      <c r="C87" s="3">
        <f>Data!D84/Data!G84</f>
        <v>24.00785250092235</v>
      </c>
      <c r="D87" s="3"/>
      <c r="E87" s="3">
        <f>Data!H84/Data!G84</f>
        <v>6.9168548901758209</v>
      </c>
      <c r="F87" s="3"/>
      <c r="G87" s="3">
        <f t="shared" si="36"/>
        <v>0.50078125696973075</v>
      </c>
      <c r="H87" s="11">
        <f t="shared" si="37"/>
        <v>-4.2446076573378759</v>
      </c>
      <c r="I87" s="3">
        <f t="shared" si="38"/>
        <v>38.5424648962953</v>
      </c>
      <c r="J87" s="3">
        <f t="shared" si="39"/>
        <v>12.620239062209434</v>
      </c>
      <c r="K87" s="3">
        <f t="shared" si="40"/>
        <v>535.74026205850464</v>
      </c>
      <c r="L87" s="3">
        <f t="shared" si="41"/>
        <v>175.42132296471112</v>
      </c>
      <c r="M87" s="21"/>
      <c r="N87" s="21"/>
    </row>
    <row r="88" spans="1:17" x14ac:dyDescent="0.3">
      <c r="A88" t="str">
        <f>Data!A85</f>
        <v>Calibrate_20C</v>
      </c>
      <c r="B88" s="3">
        <f>Data!I85</f>
        <v>100.96666666666658</v>
      </c>
      <c r="C88" s="3">
        <f>Data!D85/Data!G85</f>
        <v>23.627108342197236</v>
      </c>
      <c r="D88" s="3">
        <f t="shared" ref="D88:D90" si="48">B$3/C88</f>
        <v>1.6162367161875359</v>
      </c>
      <c r="E88" s="3">
        <f>Data!H85/Data!G85</f>
        <v>11.183506301589459</v>
      </c>
      <c r="F88" s="3">
        <f>C$3/E88</f>
        <v>1.8234889354067463</v>
      </c>
      <c r="G88" s="3">
        <f t="shared" si="36"/>
        <v>0.12102960765681914</v>
      </c>
      <c r="H88" s="11">
        <f t="shared" si="37"/>
        <v>2.4464805783017241E-2</v>
      </c>
      <c r="I88" s="3">
        <f t="shared" si="38"/>
        <v>38.272909319359755</v>
      </c>
      <c r="J88" s="3">
        <f t="shared" si="39"/>
        <v>20.437800156361245</v>
      </c>
      <c r="K88" s="3">
        <f t="shared" si="40"/>
        <v>531.99343953910056</v>
      </c>
      <c r="L88" s="3">
        <f t="shared" si="41"/>
        <v>284.08542217342131</v>
      </c>
      <c r="M88" s="21">
        <f t="shared" ref="M88" si="49">AVERAGE(K88:K90)</f>
        <v>531.81985850151648</v>
      </c>
      <c r="N88" s="21">
        <f t="shared" si="46"/>
        <v>283.95532704063527</v>
      </c>
      <c r="O88" s="4" t="str">
        <f>Data!A85</f>
        <v>Calibrate_20C</v>
      </c>
      <c r="P88" s="18">
        <f t="shared" ref="P88:Q88" si="50">STDEV(K88:K90)/SQRT(3)</f>
        <v>8.7212171899923877E-2</v>
      </c>
      <c r="Q88" s="18">
        <f t="shared" si="50"/>
        <v>6.8299390330160109E-2</v>
      </c>
    </row>
    <row r="89" spans="1:17" x14ac:dyDescent="0.3">
      <c r="B89" s="3">
        <f>Data!I86</f>
        <v>101.04999999999995</v>
      </c>
      <c r="C89" s="3">
        <f>Data!D86/Data!G86</f>
        <v>23.602204266528449</v>
      </c>
      <c r="D89" s="3">
        <f t="shared" si="48"/>
        <v>1.6179421027278806</v>
      </c>
      <c r="E89" s="3">
        <f>Data!H86/Data!G86</f>
        <v>11.174378108569623</v>
      </c>
      <c r="F89" s="3">
        <f>C$3/E89</f>
        <v>1.8249785179866629</v>
      </c>
      <c r="G89" s="3">
        <f t="shared" si="36"/>
        <v>9.614384396980924E-2</v>
      </c>
      <c r="H89" s="11">
        <f t="shared" si="37"/>
        <v>1.5381281613869646E-2</v>
      </c>
      <c r="I89" s="3">
        <f t="shared" si="38"/>
        <v>38.255244889461238</v>
      </c>
      <c r="J89" s="3">
        <f t="shared" si="39"/>
        <v>20.42116633115543</v>
      </c>
      <c r="K89" s="3">
        <f t="shared" si="40"/>
        <v>531.74790396351125</v>
      </c>
      <c r="L89" s="3">
        <f t="shared" si="41"/>
        <v>283.85421200306047</v>
      </c>
      <c r="M89" s="21"/>
      <c r="N89" s="21"/>
    </row>
    <row r="90" spans="1:17" x14ac:dyDescent="0.3">
      <c r="B90" s="3">
        <f>Data!I87</f>
        <v>101.18333333333328</v>
      </c>
      <c r="C90" s="3">
        <f>Data!D87/Data!G87</f>
        <v>23.599167625459863</v>
      </c>
      <c r="D90" s="3">
        <f t="shared" si="48"/>
        <v>1.6181502926739717</v>
      </c>
      <c r="E90" s="3">
        <f>Data!H87/Data!G87</f>
        <v>11.177140594593824</v>
      </c>
      <c r="F90" s="3">
        <f>C$3/E90</f>
        <v>1.8245274654470856</v>
      </c>
      <c r="G90" s="3">
        <f t="shared" si="36"/>
        <v>9.3136502072063365E-2</v>
      </c>
      <c r="H90" s="11">
        <f t="shared" si="37"/>
        <v>1.8215237799170225E-2</v>
      </c>
      <c r="I90" s="3">
        <f t="shared" si="38"/>
        <v>38.253110215966714</v>
      </c>
      <c r="J90" s="3">
        <f t="shared" si="39"/>
        <v>20.426355895354238</v>
      </c>
      <c r="K90" s="3">
        <f t="shared" si="40"/>
        <v>531.71823200193739</v>
      </c>
      <c r="L90" s="3">
        <f t="shared" si="41"/>
        <v>283.92634694542392</v>
      </c>
    </row>
    <row r="91" spans="1:17" x14ac:dyDescent="0.3">
      <c r="A91" t="str">
        <f>Data!A88</f>
        <v>Calibrate_30C</v>
      </c>
      <c r="B91" s="3">
        <f>Data!I88</f>
        <v>104.2833333333333</v>
      </c>
      <c r="C91" s="3">
        <f>Data!D88/Data!G88</f>
        <v>24.33937848268889</v>
      </c>
      <c r="D91" s="3">
        <f>B$4/C91</f>
        <v>1.5966307450142758</v>
      </c>
      <c r="E91" s="3">
        <f>Data!H88/Data!G88</f>
        <v>11.285682487104047</v>
      </c>
      <c r="F91" s="3">
        <f>C$4/E91</f>
        <v>1.8058278729078077</v>
      </c>
      <c r="G91" s="3">
        <f t="shared" si="36"/>
        <v>0.83402856502312162</v>
      </c>
      <c r="H91" s="11">
        <f t="shared" si="37"/>
        <v>0.12841881155496182</v>
      </c>
      <c r="I91" s="3">
        <f t="shared" si="38"/>
        <v>38.779010729729016</v>
      </c>
      <c r="J91" s="3">
        <f t="shared" si="39"/>
        <v>20.628161598600595</v>
      </c>
      <c r="K91" s="3">
        <f t="shared" si="40"/>
        <v>539.02824914323332</v>
      </c>
      <c r="L91" s="3">
        <f t="shared" si="41"/>
        <v>286.73144622054826</v>
      </c>
      <c r="M91" s="21">
        <f>AVERAGE(K91:K93)</f>
        <v>538.97313521045351</v>
      </c>
      <c r="N91" s="21">
        <f>AVERAGE(L91:L93)</f>
        <v>286.59523255562652</v>
      </c>
      <c r="O91" s="4" t="str">
        <f>Data!A88</f>
        <v>Calibrate_30C</v>
      </c>
      <c r="P91" s="18">
        <f t="shared" ref="P91:Q91" si="51">STDEV(K91:K93)/SQRT(3)</f>
        <v>4.8149889487531003E-2</v>
      </c>
      <c r="Q91" s="18">
        <f t="shared" si="51"/>
        <v>6.8473374833701528E-2</v>
      </c>
    </row>
    <row r="92" spans="1:17" x14ac:dyDescent="0.3">
      <c r="B92" s="3">
        <f>Data!I89</f>
        <v>104.41666666666663</v>
      </c>
      <c r="C92" s="3">
        <f>Data!D89/Data!G89</f>
        <v>24.32403879610721</v>
      </c>
      <c r="D92" s="3">
        <f t="shared" ref="D92:D93" si="52">B$4/C92</f>
        <v>1.5976376425702488</v>
      </c>
      <c r="E92" s="3">
        <f>Data!H89/Data!G89</f>
        <v>11.27806536814313</v>
      </c>
      <c r="F92" s="3">
        <f>C$4/E92</f>
        <v>1.807047515220729</v>
      </c>
      <c r="G92" s="3">
        <f t="shared" si="36"/>
        <v>0.81871817761227916</v>
      </c>
      <c r="H92" s="11">
        <f t="shared" si="37"/>
        <v>0.12087316275514404</v>
      </c>
      <c r="I92" s="3">
        <f t="shared" si="38"/>
        <v>38.768143100005474</v>
      </c>
      <c r="J92" s="3">
        <f t="shared" si="39"/>
        <v>20.614343943595397</v>
      </c>
      <c r="K92" s="3">
        <f t="shared" si="40"/>
        <v>538.87718909007606</v>
      </c>
      <c r="L92" s="3">
        <f t="shared" si="41"/>
        <v>286.53938081597602</v>
      </c>
    </row>
    <row r="93" spans="1:17" x14ac:dyDescent="0.3">
      <c r="B93" s="3">
        <f>Data!I90</f>
        <v>104.44999999999993</v>
      </c>
      <c r="C93" s="3">
        <f>Data!D90/Data!G90</f>
        <v>24.337894361209827</v>
      </c>
      <c r="D93" s="3">
        <f t="shared" si="52"/>
        <v>1.596728107339366</v>
      </c>
      <c r="E93" s="3">
        <f>Data!H90/Data!G90</f>
        <v>11.277084572098763</v>
      </c>
      <c r="F93" s="3">
        <f>C$4/E93</f>
        <v>1.8072046786297271</v>
      </c>
      <c r="G93" s="3">
        <f t="shared" si="36"/>
        <v>0.83258106750760774</v>
      </c>
      <c r="H93" s="11">
        <f t="shared" si="37"/>
        <v>0.11991023425105318</v>
      </c>
      <c r="I93" s="3">
        <f t="shared" si="38"/>
        <v>38.77798326604686</v>
      </c>
      <c r="J93" s="3">
        <f t="shared" si="39"/>
        <v>20.61258062088887</v>
      </c>
      <c r="K93" s="3">
        <f t="shared" si="40"/>
        <v>539.01396739805136</v>
      </c>
      <c r="L93" s="3">
        <f t="shared" si="41"/>
        <v>286.51487063035529</v>
      </c>
    </row>
    <row r="94" spans="1:17" x14ac:dyDescent="0.3">
      <c r="A94" t="str">
        <f>Data!A91</f>
        <v>12_T0_1</v>
      </c>
      <c r="B94" s="3">
        <f>Data!I91</f>
        <v>108.29999999999995</v>
      </c>
      <c r="C94" s="3">
        <f>Data!D91/Data!G91</f>
        <v>23.856530237728474</v>
      </c>
      <c r="D94" s="3"/>
      <c r="E94" s="3">
        <f>Data!H91/Data!G91</f>
        <v>4.7566376640503298</v>
      </c>
      <c r="F94" s="3"/>
      <c r="G94" s="3">
        <f t="shared" si="36"/>
        <v>0.3520629575842591</v>
      </c>
      <c r="H94" s="11">
        <f t="shared" si="37"/>
        <v>-6.3984729728956244</v>
      </c>
      <c r="I94" s="3">
        <f t="shared" si="38"/>
        <v>38.436901570726455</v>
      </c>
      <c r="J94" s="3">
        <f t="shared" si="39"/>
        <v>8.6760629353329382</v>
      </c>
      <c r="K94" s="3">
        <f t="shared" si="40"/>
        <v>534.27293183309769</v>
      </c>
      <c r="L94" s="3">
        <f t="shared" si="41"/>
        <v>120.59727480112784</v>
      </c>
      <c r="M94" s="21">
        <f>AVERAGE(K94:K96)</f>
        <v>534.38143830728018</v>
      </c>
      <c r="N94" s="21">
        <f>AVERAGE(L94:L96)</f>
        <v>120.17360086573255</v>
      </c>
      <c r="O94" s="4" t="str">
        <f>Data!A91</f>
        <v>12_T0_1</v>
      </c>
      <c r="P94" s="18">
        <f t="shared" ref="P94:Q94" si="53">STDEV(K94:K96)/SQRT(3)</f>
        <v>6.4615982500493344E-2</v>
      </c>
      <c r="Q94" s="18">
        <f t="shared" si="53"/>
        <v>0.26753493818619078</v>
      </c>
    </row>
    <row r="95" spans="1:17" x14ac:dyDescent="0.3">
      <c r="B95" s="3">
        <f>Data!I92</f>
        <v>108.39999999999998</v>
      </c>
      <c r="C95" s="3">
        <f>Data!D92/Data!G92</f>
        <v>23.866843189472362</v>
      </c>
      <c r="D95" s="3"/>
      <c r="E95" s="3">
        <f>Data!H92/Data!G92</f>
        <v>4.7427357833047363</v>
      </c>
      <c r="F95" s="3"/>
      <c r="G95" s="3">
        <f t="shared" si="36"/>
        <v>0.36239788370627934</v>
      </c>
      <c r="H95" s="11">
        <f t="shared" si="37"/>
        <v>-6.4123212510203942</v>
      </c>
      <c r="I95" s="3">
        <f t="shared" si="38"/>
        <v>38.444237515095487</v>
      </c>
      <c r="J95" s="3">
        <f t="shared" si="39"/>
        <v>8.6507038529504268</v>
      </c>
      <c r="K95" s="3">
        <f t="shared" si="40"/>
        <v>534.37490145982724</v>
      </c>
      <c r="L95" s="3">
        <f t="shared" si="41"/>
        <v>120.24478355601093</v>
      </c>
    </row>
    <row r="96" spans="1:17" x14ac:dyDescent="0.3">
      <c r="B96" s="3">
        <f>Data!I93</f>
        <v>108.63333333333333</v>
      </c>
      <c r="C96" s="3">
        <f>Data!D93/Data!G93</f>
        <v>23.879114429065094</v>
      </c>
      <c r="D96" s="3"/>
      <c r="E96" s="3">
        <f>Data!H93/Data!G93</f>
        <v>4.7203727968570162</v>
      </c>
      <c r="F96" s="3"/>
      <c r="G96" s="3">
        <f t="shared" si="36"/>
        <v>0.3747203968479802</v>
      </c>
      <c r="H96" s="11">
        <f t="shared" si="37"/>
        <v>-6.4345591646861893</v>
      </c>
      <c r="I96" s="3">
        <f t="shared" si="38"/>
        <v>38.452984289850036</v>
      </c>
      <c r="J96" s="3">
        <f t="shared" si="39"/>
        <v>8.609981600004236</v>
      </c>
      <c r="K96" s="3">
        <f t="shared" si="40"/>
        <v>534.49648162891549</v>
      </c>
      <c r="L96" s="3">
        <f t="shared" si="41"/>
        <v>119.67874424005888</v>
      </c>
    </row>
    <row r="97" spans="1:17" x14ac:dyDescent="0.3">
      <c r="A97" t="str">
        <f>Data!A94</f>
        <v>grassesIN_T1_1</v>
      </c>
      <c r="B97" s="3">
        <f>Data!I94</f>
        <v>112.33333333333326</v>
      </c>
      <c r="C97" s="3">
        <f>Data!D94/Data!G94</f>
        <v>23.517146782155653</v>
      </c>
      <c r="D97" s="3"/>
      <c r="E97" s="3">
        <f>Data!H94/Data!G94</f>
        <v>9.2014965645659377</v>
      </c>
      <c r="F97" s="3"/>
      <c r="G97" s="3">
        <f t="shared" si="36"/>
        <v>1.3565801929349419E-2</v>
      </c>
      <c r="H97" s="11">
        <f t="shared" si="37"/>
        <v>-1.9514521000067493</v>
      </c>
      <c r="I97" s="3">
        <f t="shared" si="38"/>
        <v>38.196629286857011</v>
      </c>
      <c r="J97" s="3">
        <f t="shared" si="39"/>
        <v>16.819484641359061</v>
      </c>
      <c r="K97" s="3">
        <f t="shared" si="40"/>
        <v>530.93314708731248</v>
      </c>
      <c r="L97" s="3">
        <f t="shared" si="41"/>
        <v>233.79083651489094</v>
      </c>
      <c r="M97" s="21">
        <f>AVERAGE(K97:K99)</f>
        <v>530.87001444406849</v>
      </c>
      <c r="N97" s="21">
        <f>AVERAGE(L97:L99)</f>
        <v>233.82496476964661</v>
      </c>
      <c r="O97" s="4" t="str">
        <f>Data!A94</f>
        <v>grassesIN_T1_1</v>
      </c>
      <c r="P97" s="18">
        <f t="shared" ref="P97:Q97" si="54">STDEV(K97:K99)/SQRT(3)</f>
        <v>0.10172914020657836</v>
      </c>
      <c r="Q97" s="18">
        <f t="shared" si="54"/>
        <v>4.172492216308183E-2</v>
      </c>
    </row>
    <row r="98" spans="1:17" x14ac:dyDescent="0.3">
      <c r="B98" s="3">
        <f>Data!I95</f>
        <v>112.36666666666667</v>
      </c>
      <c r="C98" s="3">
        <f>Data!D95/Data!G95</f>
        <v>23.524518333717687</v>
      </c>
      <c r="D98" s="3"/>
      <c r="E98" s="3">
        <f>Data!H95/Data!G95</f>
        <v>9.2060808402691894</v>
      </c>
      <c r="F98" s="3"/>
      <c r="G98" s="3">
        <f t="shared" si="36"/>
        <v>2.0944678284092078E-2</v>
      </c>
      <c r="H98" s="11">
        <f t="shared" si="37"/>
        <v>-1.9468499567632236</v>
      </c>
      <c r="I98" s="3">
        <f t="shared" si="38"/>
        <v>38.201866965946856</v>
      </c>
      <c r="J98" s="3">
        <f t="shared" si="39"/>
        <v>16.82791212444376</v>
      </c>
      <c r="K98" s="3">
        <f t="shared" si="40"/>
        <v>531.00595082666132</v>
      </c>
      <c r="L98" s="3">
        <f t="shared" si="41"/>
        <v>233.90797852976826</v>
      </c>
    </row>
    <row r="99" spans="1:17" x14ac:dyDescent="0.3">
      <c r="B99" s="3">
        <f>Data!I96</f>
        <v>112.46666666666658</v>
      </c>
      <c r="C99" s="3">
        <f>Data!D96/Data!G96</f>
        <v>23.490542560962115</v>
      </c>
      <c r="D99" s="3"/>
      <c r="E99" s="3">
        <f>Data!H96/Data!G96</f>
        <v>9.2008453282017317</v>
      </c>
      <c r="F99" s="3"/>
      <c r="G99" s="3">
        <f t="shared" si="36"/>
        <v>-1.3009120093347093E-2</v>
      </c>
      <c r="H99" s="11">
        <f t="shared" si="37"/>
        <v>-1.9520318662098557</v>
      </c>
      <c r="I99" s="3">
        <f t="shared" si="38"/>
        <v>38.177765857426735</v>
      </c>
      <c r="J99" s="3">
        <f t="shared" si="39"/>
        <v>16.81842296865328</v>
      </c>
      <c r="K99" s="3">
        <f t="shared" si="40"/>
        <v>530.67094541823167</v>
      </c>
      <c r="L99" s="3">
        <f t="shared" si="41"/>
        <v>233.77607926428061</v>
      </c>
    </row>
    <row r="100" spans="1:17" x14ac:dyDescent="0.3">
      <c r="A100" t="str">
        <f>Data!A97</f>
        <v>1_T1_1</v>
      </c>
      <c r="B100" s="3">
        <f>Data!I97</f>
        <v>115.98333333333323</v>
      </c>
      <c r="C100" s="3">
        <f>Data!D97/Data!G97</f>
        <v>23.284610956413466</v>
      </c>
      <c r="D100" s="3"/>
      <c r="E100" s="3">
        <f>Data!H97/Data!G97</f>
        <v>5.6177451074880889</v>
      </c>
      <c r="F100" s="3"/>
      <c r="G100" s="3">
        <f t="shared" si="36"/>
        <v>-0.21816795901109032</v>
      </c>
      <c r="H100" s="11">
        <f t="shared" si="37"/>
        <v>-5.5332470614244915</v>
      </c>
      <c r="I100" s="3">
        <f t="shared" si="38"/>
        <v>38.032139869263268</v>
      </c>
      <c r="J100" s="3">
        <f t="shared" si="39"/>
        <v>10.260471839515368</v>
      </c>
      <c r="K100" s="3">
        <f t="shared" si="40"/>
        <v>528.64674418275945</v>
      </c>
      <c r="L100" s="3">
        <f t="shared" si="41"/>
        <v>142.62055856926364</v>
      </c>
      <c r="M100" s="21">
        <f>AVERAGE(K100:K102)</f>
        <v>528.58968425120599</v>
      </c>
      <c r="N100" s="21">
        <f>AVERAGE(L100:L102)</f>
        <v>142.44633686263245</v>
      </c>
      <c r="O100" s="4" t="str">
        <f>Data!A97</f>
        <v>1_T1_1</v>
      </c>
      <c r="P100" s="18">
        <f t="shared" ref="P100:Q100" si="55">STDEV(K100:K102)/SQRT(3)</f>
        <v>5.0348295894138813E-2</v>
      </c>
      <c r="Q100" s="18">
        <f t="shared" si="55"/>
        <v>8.892583692488279E-2</v>
      </c>
    </row>
    <row r="101" spans="1:17" x14ac:dyDescent="0.3">
      <c r="B101" s="3">
        <f>Data!I98</f>
        <v>116.0333333333333</v>
      </c>
      <c r="C101" s="3">
        <f>Data!D98/Data!G98</f>
        <v>23.268642575280893</v>
      </c>
      <c r="D101" s="3"/>
      <c r="E101" s="3">
        <f>Data!H98/Data!G98</f>
        <v>5.6086676824530199</v>
      </c>
      <c r="F101" s="3"/>
      <c r="G101" s="3">
        <f t="shared" si="36"/>
        <v>-0.23412535295459946</v>
      </c>
      <c r="H101" s="11">
        <f t="shared" si="37"/>
        <v>-5.5422976851491486</v>
      </c>
      <c r="I101" s="3">
        <f t="shared" si="38"/>
        <v>38.020812980917654</v>
      </c>
      <c r="J101" s="3">
        <f t="shared" si="39"/>
        <v>10.24389826187786</v>
      </c>
      <c r="K101" s="3">
        <f t="shared" si="40"/>
        <v>528.48930043475536</v>
      </c>
      <c r="L101" s="3">
        <f t="shared" si="41"/>
        <v>142.39018584010225</v>
      </c>
    </row>
    <row r="102" spans="1:17" x14ac:dyDescent="0.3">
      <c r="B102" s="3">
        <f>Data!I99</f>
        <v>116.11666666666667</v>
      </c>
      <c r="C102" s="3">
        <f>Data!D99/Data!G99</f>
        <v>23.283189467901988</v>
      </c>
      <c r="D102" s="3"/>
      <c r="E102" s="3">
        <f>Data!H99/Data!G99</f>
        <v>5.6061903838371885</v>
      </c>
      <c r="F102" s="3"/>
      <c r="G102" s="3">
        <f t="shared" si="36"/>
        <v>-0.21956014835173221</v>
      </c>
      <c r="H102" s="11">
        <f t="shared" si="37"/>
        <v>-5.5447303149142924</v>
      </c>
      <c r="I102" s="3">
        <f t="shared" si="38"/>
        <v>38.031151664467849</v>
      </c>
      <c r="J102" s="3">
        <f t="shared" si="39"/>
        <v>10.239443609966292</v>
      </c>
      <c r="K102" s="3">
        <f t="shared" si="40"/>
        <v>528.63300813610317</v>
      </c>
      <c r="L102" s="3">
        <f t="shared" si="41"/>
        <v>142.32826617853146</v>
      </c>
    </row>
    <row r="103" spans="1:17" x14ac:dyDescent="0.3">
      <c r="A103" t="str">
        <f>Data!A100</f>
        <v>Calibrate_20C</v>
      </c>
      <c r="B103" s="3">
        <f>Data!I100</f>
        <v>119.13333333333333</v>
      </c>
      <c r="C103" s="3">
        <f>Data!D100/Data!G100</f>
        <v>23.529014445329487</v>
      </c>
      <c r="D103" s="3">
        <f t="shared" ref="D103:D105" si="56">B$3/C103</f>
        <v>1.6229749056735405</v>
      </c>
      <c r="E103" s="3">
        <f>Data!H100/Data!G100</f>
        <v>10.957613040264652</v>
      </c>
      <c r="F103" s="3">
        <f>C$3/E103</f>
        <v>1.8610805040353442</v>
      </c>
      <c r="G103" s="3">
        <f t="shared" si="36"/>
        <v>2.6927722816022737E-2</v>
      </c>
      <c r="H103" s="11">
        <f t="shared" si="37"/>
        <v>-0.19169064609194741</v>
      </c>
      <c r="I103" s="3">
        <f t="shared" si="38"/>
        <v>38.206113854732074</v>
      </c>
      <c r="J103" s="3">
        <f t="shared" si="39"/>
        <v>20.041974490373089</v>
      </c>
      <c r="K103" s="3">
        <f t="shared" si="40"/>
        <v>531.06498258077579</v>
      </c>
      <c r="L103" s="3">
        <f t="shared" si="41"/>
        <v>278.58344541618595</v>
      </c>
      <c r="M103" s="21">
        <f>AVERAGE(K103:K105)</f>
        <v>531.02552336911424</v>
      </c>
      <c r="N103" s="21">
        <f>AVERAGE(L103:L105)</f>
        <v>279.01663822821899</v>
      </c>
      <c r="O103" s="4" t="str">
        <f>Data!A100</f>
        <v>Calibrate_20C</v>
      </c>
      <c r="P103" s="18">
        <f t="shared" ref="P103:Q103" si="57">STDEV(K103:K105)/SQRT(3)</f>
        <v>8.8641171346451525E-2</v>
      </c>
      <c r="Q103" s="18">
        <f t="shared" si="57"/>
        <v>0.21675103611832772</v>
      </c>
    </row>
    <row r="104" spans="1:17" x14ac:dyDescent="0.3">
      <c r="B104" s="3">
        <f>Data!I101</f>
        <v>119.23333333333323</v>
      </c>
      <c r="C104" s="3">
        <f>Data!D101/Data!G101</f>
        <v>23.538163987720925</v>
      </c>
      <c r="D104" s="3">
        <f t="shared" si="56"/>
        <v>1.6223440375349956</v>
      </c>
      <c r="E104" s="3">
        <f>Data!H101/Data!G101</f>
        <v>10.983644646025716</v>
      </c>
      <c r="F104" s="3">
        <f>C$3/E104</f>
        <v>1.8566696808949417</v>
      </c>
      <c r="G104" s="3">
        <f t="shared" si="36"/>
        <v>3.6099239585592358E-2</v>
      </c>
      <c r="H104" s="11">
        <f t="shared" si="37"/>
        <v>-0.16560543771005776</v>
      </c>
      <c r="I104" s="3">
        <f t="shared" si="38"/>
        <v>38.212623987074274</v>
      </c>
      <c r="J104" s="3">
        <f t="shared" si="39"/>
        <v>20.089741941485883</v>
      </c>
      <c r="K104" s="3">
        <f t="shared" si="40"/>
        <v>531.15547342033244</v>
      </c>
      <c r="L104" s="3">
        <f t="shared" si="41"/>
        <v>279.24741298665379</v>
      </c>
    </row>
    <row r="105" spans="1:17" x14ac:dyDescent="0.3">
      <c r="B105" s="3">
        <f>Data!I102</f>
        <v>119.29999999999995</v>
      </c>
      <c r="C105" s="3">
        <f>Data!D102/Data!G102</f>
        <v>23.507808377847912</v>
      </c>
      <c r="D105" s="3">
        <f t="shared" si="56"/>
        <v>1.624438968797479</v>
      </c>
      <c r="E105" s="3">
        <f>Data!H102/Data!G102</f>
        <v>10.982494864736305</v>
      </c>
      <c r="F105" s="3">
        <f>C$3/E105</f>
        <v>1.8568640596846431</v>
      </c>
      <c r="G105" s="3">
        <f t="shared" si="36"/>
        <v>5.7582792979999908E-3</v>
      </c>
      <c r="H105" s="11">
        <f t="shared" si="37"/>
        <v>-0.16671948391891966</v>
      </c>
      <c r="I105" s="3">
        <f t="shared" si="38"/>
        <v>38.19108734577226</v>
      </c>
      <c r="J105" s="3">
        <f t="shared" si="39"/>
        <v>20.087701890778213</v>
      </c>
      <c r="K105" s="3">
        <f t="shared" si="40"/>
        <v>530.85611410623449</v>
      </c>
      <c r="L105" s="3">
        <f t="shared" si="41"/>
        <v>279.21905628181719</v>
      </c>
    </row>
    <row r="106" spans="1:17" x14ac:dyDescent="0.3">
      <c r="A106" t="str">
        <f>Data!A103</f>
        <v>Calibrate_30C</v>
      </c>
      <c r="B106" s="3">
        <f>Data!I103</f>
        <v>128.89999999999998</v>
      </c>
      <c r="C106" s="3">
        <f>Data!D103/Data!G103</f>
        <v>24.277982123963415</v>
      </c>
      <c r="D106" s="3">
        <f>B$4/C106</f>
        <v>1.6006684493618815</v>
      </c>
      <c r="E106" s="3">
        <f>Data!H103/Data!G103</f>
        <v>11.281914163419762</v>
      </c>
      <c r="F106" s="3">
        <f>C$4/E106</f>
        <v>1.8064310457244637</v>
      </c>
      <c r="G106" s="3">
        <f t="shared" si="36"/>
        <v>0.77804156571398408</v>
      </c>
      <c r="H106" s="11">
        <f t="shared" si="37"/>
        <v>0.1378456663637202</v>
      </c>
      <c r="I106" s="3">
        <f t="shared" si="38"/>
        <v>38.739269999367551</v>
      </c>
      <c r="J106" s="3">
        <f t="shared" si="39"/>
        <v>20.645424133736689</v>
      </c>
      <c r="K106" s="3">
        <f t="shared" si="40"/>
        <v>538.47585299120897</v>
      </c>
      <c r="L106" s="3">
        <f t="shared" si="41"/>
        <v>286.97139545893998</v>
      </c>
      <c r="M106" s="21">
        <f>AVERAGE(K106:K108)</f>
        <v>538.45942760035371</v>
      </c>
      <c r="N106" s="21">
        <f>AVERAGE(L106:L108)</f>
        <v>287.0182600791976</v>
      </c>
      <c r="O106" s="4" t="str">
        <f>Data!A103</f>
        <v>Calibrate_30C</v>
      </c>
      <c r="P106" s="18">
        <f t="shared" ref="P106:Q106" si="58">STDEV(K106:K108)/SQRT(3)</f>
        <v>2.1187305074633941E-2</v>
      </c>
      <c r="Q106" s="18">
        <f t="shared" si="58"/>
        <v>2.8352172744145986E-2</v>
      </c>
    </row>
    <row r="107" spans="1:17" x14ac:dyDescent="0.3">
      <c r="B107" s="3">
        <f>Data!I104</f>
        <v>128.96666666666658</v>
      </c>
      <c r="C107" s="3">
        <f>Data!D104/Data!G104</f>
        <v>24.278898940028835</v>
      </c>
      <c r="D107" s="3">
        <f t="shared" ref="D107:D108" si="59">B$4/C107</f>
        <v>1.6006080051649099</v>
      </c>
      <c r="E107" s="3">
        <f>Data!H104/Data!G104</f>
        <v>11.28355403835794</v>
      </c>
      <c r="F107" s="3">
        <f>C$4/E107</f>
        <v>1.8061685113324308</v>
      </c>
      <c r="G107" s="3">
        <f t="shared" si="36"/>
        <v>0.77897303136482421</v>
      </c>
      <c r="H107" s="11">
        <f t="shared" si="37"/>
        <v>0.13952127638244782</v>
      </c>
      <c r="I107" s="3">
        <f t="shared" si="38"/>
        <v>38.73993117295656</v>
      </c>
      <c r="J107" s="3">
        <f t="shared" si="39"/>
        <v>20.648492524775854</v>
      </c>
      <c r="K107" s="3">
        <f t="shared" si="40"/>
        <v>538.48504330409617</v>
      </c>
      <c r="L107" s="3">
        <f t="shared" si="41"/>
        <v>287.01404609438436</v>
      </c>
    </row>
    <row r="108" spans="1:17" x14ac:dyDescent="0.3">
      <c r="B108" s="3">
        <f>Data!I105</f>
        <v>129.08333333333326</v>
      </c>
      <c r="C108" s="3">
        <f>Data!D105/Data!G105</f>
        <v>24.272016084738162</v>
      </c>
      <c r="D108" s="3">
        <f t="shared" si="59"/>
        <v>1.6010618921942437</v>
      </c>
      <c r="E108" s="3">
        <f>Data!H105/Data!G105</f>
        <v>11.285663774820733</v>
      </c>
      <c r="F108" s="3">
        <f>C$4/E108</f>
        <v>1.8058308670748722</v>
      </c>
      <c r="G108" s="3">
        <f t="shared" si="36"/>
        <v>0.77211581284863584</v>
      </c>
      <c r="H108" s="11">
        <f t="shared" si="37"/>
        <v>0.14169354923620325</v>
      </c>
      <c r="I108" s="3">
        <f t="shared" si="38"/>
        <v>38.735063777392511</v>
      </c>
      <c r="J108" s="3">
        <f t="shared" si="39"/>
        <v>20.652470408940179</v>
      </c>
      <c r="K108" s="3">
        <f t="shared" si="40"/>
        <v>538.41738650575587</v>
      </c>
      <c r="L108" s="3">
        <f t="shared" si="41"/>
        <v>287.06933868426847</v>
      </c>
    </row>
    <row r="109" spans="1:17" x14ac:dyDescent="0.3">
      <c r="A109" t="str">
        <f>Data!A106</f>
        <v>2_T1_1</v>
      </c>
      <c r="B109" s="3">
        <f>Data!I106</f>
        <v>132.41666666666663</v>
      </c>
      <c r="C109" s="3">
        <f>Data!D106/Data!G106</f>
        <v>23.470050937005439</v>
      </c>
      <c r="D109" s="3"/>
      <c r="E109" s="3">
        <f>Data!H106/Data!G106</f>
        <v>7.5985197116521661</v>
      </c>
      <c r="F109" s="3"/>
      <c r="G109" s="3">
        <f t="shared" si="36"/>
        <v>-2.9116855613086301E-2</v>
      </c>
      <c r="H109" s="11">
        <f t="shared" si="37"/>
        <v>-3.5436637599048701</v>
      </c>
      <c r="I109" s="3">
        <f t="shared" si="38"/>
        <v>38.166332253520068</v>
      </c>
      <c r="J109" s="3">
        <f t="shared" si="39"/>
        <v>13.903813372341782</v>
      </c>
      <c r="K109" s="3">
        <f t="shared" si="40"/>
        <v>530.51201832392894</v>
      </c>
      <c r="L109" s="3">
        <f t="shared" si="41"/>
        <v>193.26300587555076</v>
      </c>
      <c r="M109" s="21">
        <f>AVERAGE(K109:K111)</f>
        <v>530.52953323841541</v>
      </c>
      <c r="N109" s="21">
        <f>AVERAGE(L109:L111)</f>
        <v>193.0648664371528</v>
      </c>
      <c r="O109" s="4" t="str">
        <f>Data!A106</f>
        <v>2_T1_1</v>
      </c>
      <c r="P109" s="18">
        <f t="shared" ref="P109:Q109" si="60">STDEV(K109:K111)/SQRT(3)</f>
        <v>2.0192911582569126E-2</v>
      </c>
      <c r="Q109" s="18">
        <f t="shared" si="60"/>
        <v>0.11304939731352523</v>
      </c>
    </row>
    <row r="110" spans="1:17" x14ac:dyDescent="0.3">
      <c r="B110" s="3">
        <f>Data!I107</f>
        <v>132.5</v>
      </c>
      <c r="C110" s="3">
        <f>Data!D107/Data!G107</f>
        <v>23.469501290482683</v>
      </c>
      <c r="D110" s="3"/>
      <c r="E110" s="3">
        <f>Data!H107/Data!G107</f>
        <v>7.5905041227311854</v>
      </c>
      <c r="F110" s="3"/>
      <c r="G110" s="3">
        <f t="shared" si="36"/>
        <v>-2.9648190154070164E-2</v>
      </c>
      <c r="H110" s="11">
        <f t="shared" si="37"/>
        <v>-3.5516346799751632</v>
      </c>
      <c r="I110" s="3">
        <f t="shared" si="38"/>
        <v>38.165955101270697</v>
      </c>
      <c r="J110" s="3">
        <f t="shared" si="39"/>
        <v>13.889216957039764</v>
      </c>
      <c r="K110" s="3">
        <f t="shared" si="40"/>
        <v>530.5067759076627</v>
      </c>
      <c r="L110" s="3">
        <f t="shared" si="41"/>
        <v>193.06011570285273</v>
      </c>
    </row>
    <row r="111" spans="1:17" x14ac:dyDescent="0.3">
      <c r="B111" s="3">
        <f>Data!I108</f>
        <v>132.56666666666661</v>
      </c>
      <c r="C111" s="3">
        <f>Data!D108/Data!G108</f>
        <v>23.475874876612888</v>
      </c>
      <c r="D111" s="3"/>
      <c r="E111" s="3">
        <f>Data!H108/Data!G108</f>
        <v>7.5830573920391409</v>
      </c>
      <c r="F111" s="3"/>
      <c r="G111" s="3">
        <f t="shared" si="36"/>
        <v>-2.3259954438444197E-2</v>
      </c>
      <c r="H111" s="11">
        <f t="shared" si="37"/>
        <v>-3.559045675586658</v>
      </c>
      <c r="I111" s="3">
        <f t="shared" si="38"/>
        <v>38.170489603140645</v>
      </c>
      <c r="J111" s="3">
        <f t="shared" si="39"/>
        <v>13.875645880075894</v>
      </c>
      <c r="K111" s="3">
        <f t="shared" si="40"/>
        <v>530.56980548365493</v>
      </c>
      <c r="L111" s="3">
        <f t="shared" si="41"/>
        <v>192.87147773305492</v>
      </c>
    </row>
    <row r="112" spans="1:17" x14ac:dyDescent="0.3">
      <c r="A112" t="str">
        <f>Data!A109</f>
        <v>3_T1_1</v>
      </c>
      <c r="B112" s="3">
        <f>Data!I109</f>
        <v>136.14999999999998</v>
      </c>
      <c r="C112" s="3">
        <f>Data!D109/Data!G109</f>
        <v>23.749968518029085</v>
      </c>
      <c r="D112" s="3"/>
      <c r="E112" s="3">
        <f>Data!H109/Data!G109</f>
        <v>8.4343017035868009</v>
      </c>
      <c r="F112" s="3"/>
      <c r="G112" s="3">
        <f t="shared" si="36"/>
        <v>0.25162110219407907</v>
      </c>
      <c r="H112" s="11">
        <f t="shared" si="37"/>
        <v>-2.7058806034594411</v>
      </c>
      <c r="I112" s="3">
        <f t="shared" si="38"/>
        <v>38.365605863842333</v>
      </c>
      <c r="J112" s="3">
        <f t="shared" si="39"/>
        <v>15.43796887467672</v>
      </c>
      <c r="K112" s="3">
        <f t="shared" si="40"/>
        <v>533.28192150740847</v>
      </c>
      <c r="L112" s="3">
        <f t="shared" si="41"/>
        <v>214.5877673580064</v>
      </c>
      <c r="M112" s="21">
        <f>AVERAGE(K112:K114)</f>
        <v>533.23409222178498</v>
      </c>
      <c r="N112" s="21">
        <f>AVERAGE(L112:L114)</f>
        <v>214.56307730673404</v>
      </c>
      <c r="O112" s="4" t="str">
        <f>Data!A109</f>
        <v>3_T1_1</v>
      </c>
      <c r="P112" s="18">
        <f t="shared" ref="P112:Q112" si="61">STDEV(K112:K114)/SQRT(3)</f>
        <v>4.4977957038799754E-2</v>
      </c>
      <c r="Q112" s="18">
        <f t="shared" si="61"/>
        <v>1.2345987517246127E-2</v>
      </c>
    </row>
    <row r="113" spans="1:17" x14ac:dyDescent="0.3">
      <c r="B113" s="3">
        <f>Data!I110</f>
        <v>136.25</v>
      </c>
      <c r="C113" s="3">
        <f>Data!D110/Data!G110</f>
        <v>23.749362320831501</v>
      </c>
      <c r="D113" s="3"/>
      <c r="E113" s="3">
        <f>Data!H110/Data!G110</f>
        <v>8.432782621987025</v>
      </c>
      <c r="F113" s="3"/>
      <c r="G113" s="3">
        <f t="shared" si="36"/>
        <v>0.25103687937462738</v>
      </c>
      <c r="H113" s="11">
        <f t="shared" si="37"/>
        <v>-2.7073460824383915</v>
      </c>
      <c r="I113" s="3">
        <f t="shared" si="38"/>
        <v>38.365191170398759</v>
      </c>
      <c r="J113" s="3">
        <f t="shared" si="39"/>
        <v>15.435285277349873</v>
      </c>
      <c r="K113" s="3">
        <f t="shared" si="40"/>
        <v>533.27615726854276</v>
      </c>
      <c r="L113" s="3">
        <f t="shared" si="41"/>
        <v>214.55046535516325</v>
      </c>
    </row>
    <row r="114" spans="1:17" x14ac:dyDescent="0.3">
      <c r="B114" s="3">
        <f>Data!I111</f>
        <v>136.31666666666661</v>
      </c>
      <c r="C114" s="3">
        <f>Data!D111/Data!G111</f>
        <v>23.735973194176271</v>
      </c>
      <c r="D114" s="3"/>
      <c r="E114" s="3">
        <f>Data!H111/Data!G111</f>
        <v>8.4327678602760692</v>
      </c>
      <c r="F114" s="3"/>
      <c r="G114" s="3">
        <f t="shared" si="36"/>
        <v>0.23766240230481372</v>
      </c>
      <c r="H114" s="11">
        <f t="shared" si="37"/>
        <v>-2.7073251090687975</v>
      </c>
      <c r="I114" s="3">
        <f t="shared" si="38"/>
        <v>38.35569768988514</v>
      </c>
      <c r="J114" s="3">
        <f t="shared" si="39"/>
        <v>15.435323683959172</v>
      </c>
      <c r="K114" s="3">
        <f t="shared" si="40"/>
        <v>533.14419788940347</v>
      </c>
      <c r="L114" s="3">
        <f t="shared" si="41"/>
        <v>214.5509992070325</v>
      </c>
    </row>
    <row r="115" spans="1:17" x14ac:dyDescent="0.3">
      <c r="A115" t="str">
        <f>Data!A112</f>
        <v>openwaterIN_T1_1</v>
      </c>
      <c r="B115" s="3">
        <f>Data!I112</f>
        <v>141.04999999999995</v>
      </c>
      <c r="C115" s="3">
        <f>Data!D112/Data!G112</f>
        <v>23.716449997122808</v>
      </c>
      <c r="D115" s="3"/>
      <c r="E115" s="3">
        <f>Data!H112/Data!G112</f>
        <v>9.3301784349037842</v>
      </c>
      <c r="F115" s="3"/>
      <c r="G115" s="3">
        <f t="shared" si="36"/>
        <v>0.2191793258161745</v>
      </c>
      <c r="H115" s="11">
        <f t="shared" si="37"/>
        <v>-1.8073773437220417</v>
      </c>
      <c r="I115" s="3">
        <f t="shared" si="38"/>
        <v>38.342578019817999</v>
      </c>
      <c r="J115" s="3">
        <f t="shared" si="39"/>
        <v>17.083315536503285</v>
      </c>
      <c r="K115" s="3">
        <f t="shared" si="40"/>
        <v>532.96183447547025</v>
      </c>
      <c r="L115" s="3">
        <f t="shared" si="41"/>
        <v>237.45808595739567</v>
      </c>
      <c r="M115" s="21">
        <f>AVERAGE(K115:K117)</f>
        <v>532.94982012506705</v>
      </c>
      <c r="N115" s="21">
        <f>AVERAGE(L115:L117)</f>
        <v>237.48910041913209</v>
      </c>
      <c r="O115" s="4" t="str">
        <f>Data!A112</f>
        <v>openwaterIN_T1_1</v>
      </c>
      <c r="P115" s="18">
        <f t="shared" ref="P115:Q115" si="62">STDEV(K115:K117)/SQRT(3)</f>
        <v>2.8788136993822488E-2</v>
      </c>
      <c r="Q115" s="18">
        <f t="shared" si="62"/>
        <v>6.3126472785977147E-2</v>
      </c>
    </row>
    <row r="116" spans="1:17" x14ac:dyDescent="0.3">
      <c r="B116" s="3">
        <f>Data!I113</f>
        <v>141.18333333333328</v>
      </c>
      <c r="C116" s="3">
        <f>Data!D113/Data!G113</f>
        <v>23.719536627164306</v>
      </c>
      <c r="D116" s="3"/>
      <c r="E116" s="3">
        <f>Data!H113/Data!G113</f>
        <v>9.3360985889220967</v>
      </c>
      <c r="F116" s="3"/>
      <c r="G116" s="3">
        <f t="shared" si="36"/>
        <v>0.22229525502850933</v>
      </c>
      <c r="H116" s="11">
        <f t="shared" si="37"/>
        <v>-1.8013857195426297</v>
      </c>
      <c r="I116" s="3">
        <f t="shared" si="38"/>
        <v>38.344789770834858</v>
      </c>
      <c r="J116" s="3">
        <f t="shared" si="39"/>
        <v>17.094287448664623</v>
      </c>
      <c r="K116" s="3">
        <f t="shared" si="40"/>
        <v>532.99257781460449</v>
      </c>
      <c r="L116" s="3">
        <f t="shared" si="41"/>
        <v>237.61059553643827</v>
      </c>
      <c r="M116" s="21"/>
      <c r="N116" s="21"/>
    </row>
    <row r="117" spans="1:17" x14ac:dyDescent="0.3">
      <c r="B117" s="3">
        <f>Data!I114</f>
        <v>141.26666666666665</v>
      </c>
      <c r="C117" s="3">
        <f>Data!D114/Data!G114</f>
        <v>23.709633385903238</v>
      </c>
      <c r="D117" s="3"/>
      <c r="E117" s="3">
        <f>Data!H114/Data!G114</f>
        <v>9.3277260551976973</v>
      </c>
      <c r="F117" s="3"/>
      <c r="G117" s="3">
        <f t="shared" si="36"/>
        <v>0.21241032574921803</v>
      </c>
      <c r="H117" s="11">
        <f t="shared" si="37"/>
        <v>-1.8097135844163414</v>
      </c>
      <c r="I117" s="3">
        <f t="shared" si="38"/>
        <v>38.337773243534272</v>
      </c>
      <c r="J117" s="3">
        <f t="shared" si="39"/>
        <v>17.079037393062031</v>
      </c>
      <c r="K117" s="3">
        <f t="shared" si="40"/>
        <v>532.8950480851264</v>
      </c>
      <c r="L117" s="3">
        <f t="shared" si="41"/>
        <v>237.39861976356224</v>
      </c>
      <c r="M117" s="21"/>
      <c r="N117" s="21"/>
    </row>
    <row r="118" spans="1:17" x14ac:dyDescent="0.3">
      <c r="A118" t="str">
        <f>Data!A115</f>
        <v>Calibrate_20C</v>
      </c>
      <c r="B118" s="3">
        <f>Data!I115</f>
        <v>145.83333333333326</v>
      </c>
      <c r="C118" s="3">
        <f>Data!D115/Data!G115</f>
        <v>23.551482663045412</v>
      </c>
      <c r="D118" s="3">
        <f t="shared" ref="D118:D120" si="63">B$3/C118</f>
        <v>1.6214265804980146</v>
      </c>
      <c r="E118" s="3">
        <f>Data!H115/Data!G115</f>
        <v>11.239882626126196</v>
      </c>
      <c r="F118" s="3">
        <f>C$3/E118</f>
        <v>1.814342789719007</v>
      </c>
      <c r="G118" s="3">
        <f t="shared" si="36"/>
        <v>5.5263099492663059E-2</v>
      </c>
      <c r="H118" s="11">
        <f t="shared" si="37"/>
        <v>0.10489083952982448</v>
      </c>
      <c r="I118" s="3">
        <f t="shared" si="38"/>
        <v>38.226226891295781</v>
      </c>
      <c r="J118" s="3">
        <f t="shared" si="39"/>
        <v>20.585076980029012</v>
      </c>
      <c r="K118" s="3">
        <f t="shared" si="40"/>
        <v>531.34455378901134</v>
      </c>
      <c r="L118" s="3">
        <f t="shared" si="41"/>
        <v>286.13257002240329</v>
      </c>
      <c r="M118" s="21">
        <f t="shared" ref="M118:N118" si="64">AVERAGE(K118:K120)</f>
        <v>531.33225827226659</v>
      </c>
      <c r="N118" s="21">
        <f t="shared" si="64"/>
        <v>286.1472755136765</v>
      </c>
      <c r="O118" s="4" t="str">
        <f>Data!A115</f>
        <v>Calibrate_20C</v>
      </c>
      <c r="P118" s="18">
        <f t="shared" ref="P118:Q118" si="65">STDEV(K118:K120)/SQRT(3)</f>
        <v>3.4262185946477786E-2</v>
      </c>
      <c r="Q118" s="18">
        <f t="shared" si="65"/>
        <v>5.0448153814745454E-2</v>
      </c>
    </row>
    <row r="119" spans="1:17" x14ac:dyDescent="0.3">
      <c r="B119" s="3">
        <f>Data!I116</f>
        <v>145.91666666666663</v>
      </c>
      <c r="C119" s="3">
        <f>Data!D116/Data!G116</f>
        <v>23.543678010746255</v>
      </c>
      <c r="D119" s="3">
        <f t="shared" si="63"/>
        <v>1.6219640781092044</v>
      </c>
      <c r="E119" s="3">
        <f>Data!H116/Data!G116</f>
        <v>11.237308375079143</v>
      </c>
      <c r="F119" s="3">
        <f>C$3/E119</f>
        <v>1.8147584207286982</v>
      </c>
      <c r="G119" s="3">
        <f t="shared" si="36"/>
        <v>4.7476759175282268E-2</v>
      </c>
      <c r="H119" s="11">
        <f t="shared" si="37"/>
        <v>0.10236125733345958</v>
      </c>
      <c r="I119" s="3">
        <f t="shared" si="38"/>
        <v>38.220699985855696</v>
      </c>
      <c r="J119" s="3">
        <f t="shared" si="39"/>
        <v>20.580444788016909</v>
      </c>
      <c r="K119" s="3">
        <f t="shared" si="40"/>
        <v>531.26772980339422</v>
      </c>
      <c r="L119" s="3">
        <f t="shared" si="41"/>
        <v>286.06818255343501</v>
      </c>
      <c r="M119" s="21"/>
      <c r="N119" s="21"/>
    </row>
    <row r="120" spans="1:17" x14ac:dyDescent="0.3">
      <c r="B120" s="3">
        <f>Data!I117</f>
        <v>145.98333333333323</v>
      </c>
      <c r="C120" s="3">
        <f>Data!D117/Data!G117</f>
        <v>23.55549747979634</v>
      </c>
      <c r="D120" s="3">
        <f t="shared" si="63"/>
        <v>1.6211502233291046</v>
      </c>
      <c r="E120" s="3">
        <f>Data!H117/Data!G117</f>
        <v>11.244065002613411</v>
      </c>
      <c r="F120" s="3">
        <f>C$3/E120</f>
        <v>1.8136679212775932</v>
      </c>
      <c r="G120" s="3">
        <f t="shared" si="36"/>
        <v>5.9310877810784035E-2</v>
      </c>
      <c r="H120" s="11">
        <f t="shared" si="37"/>
        <v>0.10915361994827677</v>
      </c>
      <c r="I120" s="3">
        <f t="shared" si="38"/>
        <v>38.2291000880859</v>
      </c>
      <c r="J120" s="3">
        <f t="shared" si="39"/>
        <v>20.592883019078499</v>
      </c>
      <c r="K120" s="3">
        <f t="shared" si="40"/>
        <v>531.38449122439408</v>
      </c>
      <c r="L120" s="3">
        <f t="shared" si="41"/>
        <v>286.24107396519116</v>
      </c>
      <c r="M120" s="21"/>
      <c r="N120" s="21"/>
    </row>
    <row r="121" spans="1:17" x14ac:dyDescent="0.3">
      <c r="A121" t="str">
        <f>Data!A118</f>
        <v>Calibrate_30C</v>
      </c>
      <c r="B121" s="3">
        <f>Data!I118</f>
        <v>149.19999999999993</v>
      </c>
      <c r="C121" s="3">
        <f>Data!D118/Data!G118</f>
        <v>24.248080701784328</v>
      </c>
      <c r="D121" s="3">
        <f>B$4/C121</f>
        <v>1.6026423071554838</v>
      </c>
      <c r="E121" s="3">
        <f>Data!H118/Data!G118</f>
        <v>11.291680468222658</v>
      </c>
      <c r="F121" s="3">
        <f>C$4/E121</f>
        <v>1.8048686426572136</v>
      </c>
      <c r="G121" s="3">
        <f t="shared" si="36"/>
        <v>0.75260094229528818</v>
      </c>
      <c r="H121" s="11">
        <f t="shared" si="37"/>
        <v>0.15849330319405475</v>
      </c>
      <c r="I121" s="3">
        <f t="shared" ref="I121:I138" si="66">G121*(B$7/B$9)+B$3</f>
        <v>38.721211718552617</v>
      </c>
      <c r="J121" s="3">
        <f t="shared" ref="J121:J138" si="67">H121*(C$7)+C$3</f>
        <v>20.68323425848051</v>
      </c>
      <c r="K121" s="3">
        <f t="shared" ref="K121:K138" si="68">I121*D$3</f>
        <v>538.22484288788144</v>
      </c>
      <c r="L121" s="3">
        <f t="shared" ref="L121:L138" si="69">J121*D$3</f>
        <v>287.49695619287911</v>
      </c>
      <c r="M121" s="21">
        <f t="shared" ref="M121:N121" si="70">AVERAGE(K121:K123)</f>
        <v>538.25945234686571</v>
      </c>
      <c r="N121" s="21">
        <f t="shared" si="70"/>
        <v>287.56837113588409</v>
      </c>
      <c r="O121" s="4" t="str">
        <f>Data!A118</f>
        <v>Calibrate_30C</v>
      </c>
      <c r="P121" s="18">
        <f t="shared" ref="P121:Q121" si="71">STDEV(K121:K123)/SQRT(3)</f>
        <v>5.9316325832455698E-2</v>
      </c>
      <c r="Q121" s="18">
        <f t="shared" si="71"/>
        <v>7.1119493059494984E-2</v>
      </c>
    </row>
    <row r="122" spans="1:17" x14ac:dyDescent="0.3">
      <c r="B122" s="3">
        <f>Data!I119</f>
        <v>149.25</v>
      </c>
      <c r="C122" s="3">
        <f>Data!D119/Data!G119</f>
        <v>24.24337145303706</v>
      </c>
      <c r="D122" s="3">
        <f t="shared" ref="D122:D123" si="72">B$4/C122</f>
        <v>1.6029536186944713</v>
      </c>
      <c r="E122" s="3">
        <f>Data!H119/Data!G119</f>
        <v>11.291676897615753</v>
      </c>
      <c r="F122" s="3">
        <f>C$4/E122</f>
        <v>1.8048692133852371</v>
      </c>
      <c r="G122" s="3">
        <f t="shared" si="36"/>
        <v>0.74790268073708432</v>
      </c>
      <c r="H122" s="11">
        <f t="shared" si="37"/>
        <v>0.15851653389756315</v>
      </c>
      <c r="I122" s="3">
        <f t="shared" si="66"/>
        <v>38.717876795301578</v>
      </c>
      <c r="J122" s="3">
        <f t="shared" si="67"/>
        <v>20.683276798738493</v>
      </c>
      <c r="K122" s="3">
        <f t="shared" si="68"/>
        <v>538.17848745469189</v>
      </c>
      <c r="L122" s="3">
        <f t="shared" si="69"/>
        <v>287.49754750246507</v>
      </c>
      <c r="M122" s="21"/>
      <c r="N122" s="21"/>
    </row>
    <row r="123" spans="1:17" x14ac:dyDescent="0.3">
      <c r="B123" s="3">
        <f>Data!I120</f>
        <v>149.2833333333333</v>
      </c>
      <c r="C123" s="3">
        <f>Data!D120/Data!G120</f>
        <v>24.263283967367649</v>
      </c>
      <c r="D123" s="3">
        <f t="shared" si="72"/>
        <v>1.601638098629403</v>
      </c>
      <c r="E123" s="3">
        <f>Data!H120/Data!G120</f>
        <v>11.300029577658322</v>
      </c>
      <c r="F123" s="3">
        <f>C$4/E123</f>
        <v>1.8035351022703516</v>
      </c>
      <c r="G123" s="3">
        <f t="shared" si="36"/>
        <v>0.76782251986038474</v>
      </c>
      <c r="H123" s="11">
        <f t="shared" si="37"/>
        <v>0.16688708148040554</v>
      </c>
      <c r="I123" s="3">
        <f t="shared" si="66"/>
        <v>38.732016309210358</v>
      </c>
      <c r="J123" s="3">
        <f t="shared" si="67"/>
        <v>20.698605015273973</v>
      </c>
      <c r="K123" s="3">
        <f t="shared" si="68"/>
        <v>538.37502669802404</v>
      </c>
      <c r="L123" s="3">
        <f t="shared" si="69"/>
        <v>287.71060971230821</v>
      </c>
      <c r="M123" s="21"/>
      <c r="N123" s="21"/>
    </row>
    <row r="124" spans="1:17" x14ac:dyDescent="0.3">
      <c r="A124" t="str">
        <f>Data!A121</f>
        <v>4_T1_1</v>
      </c>
      <c r="B124" s="3">
        <f>Data!I121</f>
        <v>152.75</v>
      </c>
      <c r="C124" s="3">
        <f>Data!D121/Data!G121</f>
        <v>23.613827161925261</v>
      </c>
      <c r="D124" s="3"/>
      <c r="E124" s="3">
        <f>Data!H121/Data!G121</f>
        <v>6.6255509772917334</v>
      </c>
      <c r="F124" s="3"/>
      <c r="G124" s="3">
        <f t="shared" si="36"/>
        <v>0.11912749285983892</v>
      </c>
      <c r="H124" s="11">
        <f t="shared" si="37"/>
        <v>-4.5057332946975892</v>
      </c>
      <c r="I124" s="3">
        <f t="shared" si="66"/>
        <v>38.271559158926152</v>
      </c>
      <c r="J124" s="3">
        <f t="shared" si="67"/>
        <v>12.142063617556392</v>
      </c>
      <c r="K124" s="3">
        <f t="shared" si="68"/>
        <v>531.97467230907353</v>
      </c>
      <c r="L124" s="3">
        <f t="shared" si="69"/>
        <v>168.77468428403387</v>
      </c>
      <c r="M124" s="21">
        <f t="shared" ref="M124:N124" si="73">AVERAGE(K124:K126)</f>
        <v>532.0490762265714</v>
      </c>
      <c r="N124" s="21">
        <f t="shared" si="73"/>
        <v>168.52236913722803</v>
      </c>
      <c r="O124" s="4" t="str">
        <f>Data!A121</f>
        <v>4_T1_1</v>
      </c>
      <c r="P124" s="18">
        <f t="shared" ref="P124:Q124" si="74">STDEV(K124:K126)/SQRT(3)</f>
        <v>4.8821311196665308E-2</v>
      </c>
      <c r="Q124" s="18">
        <f t="shared" si="74"/>
        <v>0.15278133671955627</v>
      </c>
    </row>
    <row r="125" spans="1:17" x14ac:dyDescent="0.3">
      <c r="B125" s="3">
        <f>Data!I122</f>
        <v>152.83333333333326</v>
      </c>
      <c r="C125" s="3">
        <f>Data!D122/Data!G122</f>
        <v>23.630670478691087</v>
      </c>
      <c r="D125" s="3"/>
      <c r="E125" s="3">
        <f>Data!H122/Data!G122</f>
        <v>6.6165013450883068</v>
      </c>
      <c r="F125" s="3"/>
      <c r="G125" s="3">
        <f t="shared" si="36"/>
        <v>0.13598912160743737</v>
      </c>
      <c r="H125" s="11">
        <f t="shared" si="37"/>
        <v>-4.5147382580503281</v>
      </c>
      <c r="I125" s="3">
        <f t="shared" si="66"/>
        <v>38.283527891842404</v>
      </c>
      <c r="J125" s="3">
        <f t="shared" si="67"/>
        <v>12.125573653572699</v>
      </c>
      <c r="K125" s="3">
        <f t="shared" si="68"/>
        <v>532.14103769660937</v>
      </c>
      <c r="L125" s="3">
        <f t="shared" si="69"/>
        <v>168.54547378466052</v>
      </c>
      <c r="M125" s="21"/>
      <c r="N125" s="21"/>
    </row>
    <row r="126" spans="1:17" x14ac:dyDescent="0.3">
      <c r="B126" s="3">
        <f>Data!I123</f>
        <v>152.89999999999998</v>
      </c>
      <c r="C126" s="3">
        <f>Data!D123/Data!G123</f>
        <v>23.619555749174012</v>
      </c>
      <c r="D126" s="3"/>
      <c r="E126" s="3">
        <f>Data!H123/Data!G123</f>
        <v>6.6047375187357948</v>
      </c>
      <c r="F126" s="3"/>
      <c r="G126" s="3">
        <f t="shared" si="36"/>
        <v>0.12488904167578241</v>
      </c>
      <c r="H126" s="11">
        <f t="shared" si="37"/>
        <v>-4.5264663493222903</v>
      </c>
      <c r="I126" s="3">
        <f t="shared" si="66"/>
        <v>38.275648825469887</v>
      </c>
      <c r="J126" s="3">
        <f t="shared" si="67"/>
        <v>12.104097075035233</v>
      </c>
      <c r="K126" s="3">
        <f t="shared" si="68"/>
        <v>532.03151867403142</v>
      </c>
      <c r="L126" s="3">
        <f t="shared" si="69"/>
        <v>168.24694934298975</v>
      </c>
      <c r="M126" s="21"/>
      <c r="N126" s="21"/>
    </row>
    <row r="127" spans="1:17" x14ac:dyDescent="0.3">
      <c r="A127" t="str">
        <f>Data!A124</f>
        <v>5_T1_1</v>
      </c>
      <c r="B127" s="3">
        <f>Data!I124</f>
        <v>155.54999999999995</v>
      </c>
      <c r="C127" s="3">
        <f>Data!D124/Data!G124</f>
        <v>23.707254389351181</v>
      </c>
      <c r="D127" s="3"/>
      <c r="E127" s="3">
        <f>Data!H124/Data!G124</f>
        <v>7.0697776336183429</v>
      </c>
      <c r="F127" s="3"/>
      <c r="G127" s="3">
        <f t="shared" si="36"/>
        <v>0.21317000287339738</v>
      </c>
      <c r="H127" s="11">
        <f t="shared" si="37"/>
        <v>-4.060005764987884</v>
      </c>
      <c r="I127" s="3">
        <f t="shared" si="66"/>
        <v>38.338312478073114</v>
      </c>
      <c r="J127" s="3">
        <f t="shared" si="67"/>
        <v>12.958283586871143</v>
      </c>
      <c r="K127" s="3">
        <f t="shared" si="68"/>
        <v>532.90254344521634</v>
      </c>
      <c r="L127" s="3">
        <f t="shared" si="69"/>
        <v>180.12014185750891</v>
      </c>
      <c r="M127" s="21">
        <f t="shared" ref="M127:N127" si="75">AVERAGE(K127:K129)</f>
        <v>533.00173193176272</v>
      </c>
      <c r="N127" s="21">
        <f t="shared" si="75"/>
        <v>180.29467076875153</v>
      </c>
      <c r="O127" s="4" t="str">
        <f>Data!A124</f>
        <v>5_T1_1</v>
      </c>
      <c r="P127" s="18">
        <f t="shared" ref="P127:Q127" si="76">STDEV(K127:K129)/SQRT(3)</f>
        <v>6.2327958942098506E-2</v>
      </c>
      <c r="Q127" s="18">
        <f t="shared" si="76"/>
        <v>9.3900350994774104E-2</v>
      </c>
    </row>
    <row r="128" spans="1:17" x14ac:dyDescent="0.3">
      <c r="B128" s="3">
        <f>Data!I125</f>
        <v>155.66666666666663</v>
      </c>
      <c r="C128" s="3">
        <f>Data!D125/Data!G125</f>
        <v>23.71568108382187</v>
      </c>
      <c r="D128" s="3"/>
      <c r="E128" s="3">
        <f>Data!H125/Data!G125</f>
        <v>7.0776407765635758</v>
      </c>
      <c r="F128" s="3"/>
      <c r="G128" s="3">
        <f t="shared" si="36"/>
        <v>0.22162233411857102</v>
      </c>
      <c r="H128" s="11">
        <f t="shared" si="37"/>
        <v>-4.0520800856516894</v>
      </c>
      <c r="I128" s="3">
        <f t="shared" si="66"/>
        <v>38.344312117651683</v>
      </c>
      <c r="J128" s="3">
        <f t="shared" si="67"/>
        <v>12.972797156963619</v>
      </c>
      <c r="K128" s="3">
        <f t="shared" si="68"/>
        <v>532.98593843535843</v>
      </c>
      <c r="L128" s="3">
        <f t="shared" si="69"/>
        <v>180.3218804817943</v>
      </c>
      <c r="M128" s="21"/>
      <c r="N128" s="21"/>
    </row>
    <row r="129" spans="1:17" x14ac:dyDescent="0.3">
      <c r="B129" s="3">
        <f>Data!I126</f>
        <v>155.71666666666658</v>
      </c>
      <c r="C129" s="3">
        <f>Data!D126/Data!G126</f>
        <v>23.728924581924709</v>
      </c>
      <c r="D129" s="3"/>
      <c r="E129" s="3">
        <f>Data!H126/Data!G126</f>
        <v>7.0823327011191797</v>
      </c>
      <c r="F129" s="3"/>
      <c r="G129" s="3">
        <f t="shared" si="36"/>
        <v>0.23487681941047356</v>
      </c>
      <c r="H129" s="11">
        <f t="shared" si="37"/>
        <v>-4.0473613597856719</v>
      </c>
      <c r="I129" s="3">
        <f t="shared" si="66"/>
        <v>38.353720425518958</v>
      </c>
      <c r="J129" s="3">
        <f t="shared" si="67"/>
        <v>12.981438127118803</v>
      </c>
      <c r="K129" s="3">
        <f t="shared" si="68"/>
        <v>533.1167139147135</v>
      </c>
      <c r="L129" s="3">
        <f t="shared" si="69"/>
        <v>180.44198996695138</v>
      </c>
      <c r="M129" s="21"/>
      <c r="N129" s="21"/>
    </row>
    <row r="130" spans="1:17" x14ac:dyDescent="0.3">
      <c r="A130" t="str">
        <f>Data!A127</f>
        <v>6_T1_1</v>
      </c>
      <c r="B130" s="3">
        <f>Data!I127</f>
        <v>157.81666666666661</v>
      </c>
      <c r="C130" s="3">
        <f>Data!D127/Data!G127</f>
        <v>23.893193272837721</v>
      </c>
      <c r="D130" s="3"/>
      <c r="E130" s="3">
        <f>Data!H127/Data!G127</f>
        <v>7.3903411831249182</v>
      </c>
      <c r="F130" s="3"/>
      <c r="G130" s="3">
        <f t="shared" si="36"/>
        <v>0.39960697226421615</v>
      </c>
      <c r="H130" s="11">
        <f t="shared" si="37"/>
        <v>-3.738227222742613</v>
      </c>
      <c r="I130" s="3">
        <f t="shared" si="66"/>
        <v>38.470649295930748</v>
      </c>
      <c r="J130" s="3">
        <f t="shared" si="67"/>
        <v>13.547527136733624</v>
      </c>
      <c r="K130" s="3">
        <f t="shared" si="68"/>
        <v>534.74202521343739</v>
      </c>
      <c r="L130" s="3">
        <f t="shared" si="69"/>
        <v>188.31062720059737</v>
      </c>
      <c r="M130" s="21">
        <f>AVERAGE(K130:K132)</f>
        <v>534.81875705556183</v>
      </c>
      <c r="N130" s="21">
        <f>AVERAGE(L130:L132)</f>
        <v>188.48634627659499</v>
      </c>
      <c r="O130" s="4" t="str">
        <f>Data!A127</f>
        <v>6_T1_1</v>
      </c>
      <c r="P130" s="18">
        <f t="shared" ref="P130:Q130" si="77">STDEV(K130:K132)/SQRT(3)</f>
        <v>3.9178241496736307E-2</v>
      </c>
      <c r="Q130" s="18">
        <f t="shared" si="77"/>
        <v>8.8870069940052351E-2</v>
      </c>
    </row>
    <row r="131" spans="1:17" x14ac:dyDescent="0.3">
      <c r="B131" s="3">
        <f>Data!I128</f>
        <v>157.89999999999998</v>
      </c>
      <c r="C131" s="3">
        <f>Data!D128/Data!G128</f>
        <v>23.906233733230316</v>
      </c>
      <c r="D131" s="3"/>
      <c r="E131" s="3">
        <f>Data!H128/Data!G128</f>
        <v>7.3997423293339608</v>
      </c>
      <c r="F131" s="3"/>
      <c r="G131" s="3">
        <f t="shared" si="36"/>
        <v>0.41266574463858774</v>
      </c>
      <c r="H131" s="11">
        <f t="shared" si="37"/>
        <v>-3.7287814076828827</v>
      </c>
      <c r="I131" s="3">
        <f t="shared" si="66"/>
        <v>38.479918682720275</v>
      </c>
      <c r="J131" s="3">
        <f t="shared" si="67"/>
        <v>13.564824392039409</v>
      </c>
      <c r="K131" s="3">
        <f t="shared" si="68"/>
        <v>534.8708696898118</v>
      </c>
      <c r="L131" s="3">
        <f t="shared" si="69"/>
        <v>188.5510590493478</v>
      </c>
    </row>
    <row r="132" spans="1:17" x14ac:dyDescent="0.3">
      <c r="B132" s="3">
        <f>Data!I129</f>
        <v>158</v>
      </c>
      <c r="C132" s="3">
        <f>Data!D129/Data!G129</f>
        <v>23.90342521800132</v>
      </c>
      <c r="D132" s="3"/>
      <c r="E132" s="3">
        <f>Data!H129/Data!G129</f>
        <v>7.4015074546801767</v>
      </c>
      <c r="F132" s="3"/>
      <c r="G132" s="3">
        <f t="shared" si="36"/>
        <v>0.40987920378772102</v>
      </c>
      <c r="H132" s="11">
        <f t="shared" si="37"/>
        <v>-3.7269626797158413</v>
      </c>
      <c r="I132" s="3">
        <f t="shared" si="66"/>
        <v>38.477940738376731</v>
      </c>
      <c r="J132" s="3">
        <f t="shared" si="67"/>
        <v>13.56815486185898</v>
      </c>
      <c r="K132" s="3">
        <f t="shared" si="68"/>
        <v>534.84337626343654</v>
      </c>
      <c r="L132" s="3">
        <f t="shared" si="69"/>
        <v>188.59735257983982</v>
      </c>
    </row>
    <row r="133" spans="1:17" x14ac:dyDescent="0.3">
      <c r="A133" t="str">
        <f>Data!A130</f>
        <v>Calibrate_20C</v>
      </c>
      <c r="B133" s="3">
        <f>Data!I130</f>
        <v>160.61666666666667</v>
      </c>
      <c r="C133" s="3">
        <f>Data!D130/Data!G130</f>
        <v>23.57193084507146</v>
      </c>
      <c r="D133" s="3">
        <f t="shared" ref="D133:D135" si="78">B$3/C133</f>
        <v>1.6200200251301997</v>
      </c>
      <c r="E133" s="3">
        <f>Data!H130/Data!G130</f>
        <v>10.978924755726709</v>
      </c>
      <c r="F133" s="3">
        <f>C$3/E133</f>
        <v>1.8574678717387896</v>
      </c>
      <c r="G133" s="3">
        <f t="shared" si="36"/>
        <v>7.8959827085597567E-2</v>
      </c>
      <c r="H133" s="11">
        <f t="shared" si="37"/>
        <v>-0.14814277675772658</v>
      </c>
      <c r="I133" s="3">
        <f t="shared" si="66"/>
        <v>38.243047318776092</v>
      </c>
      <c r="J133" s="3">
        <f t="shared" si="67"/>
        <v>20.12171971184247</v>
      </c>
      <c r="K133" s="3">
        <f t="shared" si="68"/>
        <v>531.5783577309877</v>
      </c>
      <c r="L133" s="3">
        <f t="shared" si="69"/>
        <v>279.69190399461036</v>
      </c>
      <c r="M133" s="21">
        <f>AVERAGE(K133:K135)</f>
        <v>531.61884190709077</v>
      </c>
      <c r="N133" s="21">
        <f>AVERAGE(L133:L135)</f>
        <v>280.1501149837963</v>
      </c>
      <c r="O133" s="4" t="str">
        <f>Data!A130</f>
        <v>Calibrate_20C</v>
      </c>
      <c r="P133" s="18">
        <f t="shared" ref="P133:Q133" si="79">STDEV(K133:K135)/SQRT(3)</f>
        <v>2.152060049224188E-2</v>
      </c>
      <c r="Q133" s="18">
        <f t="shared" si="79"/>
        <v>0.25442091176095988</v>
      </c>
    </row>
    <row r="134" spans="1:17" x14ac:dyDescent="0.3">
      <c r="B134" s="3">
        <f>Data!I131</f>
        <v>160.66666666666663</v>
      </c>
      <c r="C134" s="3">
        <f>Data!D131/Data!G131</f>
        <v>23.576791890587764</v>
      </c>
      <c r="D134" s="3">
        <f t="shared" si="78"/>
        <v>1.6196860105994686</v>
      </c>
      <c r="E134" s="3">
        <f>Data!H131/Data!G131</f>
        <v>10.998371929410984</v>
      </c>
      <c r="F134" s="3">
        <f>C$3/E134</f>
        <v>1.8541835219689777</v>
      </c>
      <c r="G134" s="3">
        <f t="shared" si="36"/>
        <v>8.3831859790965524E-2</v>
      </c>
      <c r="H134" s="11">
        <f t="shared" si="37"/>
        <v>-0.1286688017630393</v>
      </c>
      <c r="I134" s="3">
        <f t="shared" si="66"/>
        <v>38.246505588382348</v>
      </c>
      <c r="J134" s="3">
        <f t="shared" si="67"/>
        <v>20.157380617245714</v>
      </c>
      <c r="K134" s="3">
        <f t="shared" si="68"/>
        <v>531.62642767851469</v>
      </c>
      <c r="L134" s="3">
        <f t="shared" si="69"/>
        <v>280.18759057971545</v>
      </c>
    </row>
    <row r="135" spans="1:17" x14ac:dyDescent="0.3">
      <c r="B135" s="3">
        <f>Data!I132</f>
        <v>160.75</v>
      </c>
      <c r="C135" s="3">
        <f>Data!D132/Data!G132</f>
        <v>23.579339089562907</v>
      </c>
      <c r="D135" s="3">
        <f t="shared" si="78"/>
        <v>1.6195110412107769</v>
      </c>
      <c r="E135" s="3">
        <f>Data!H132/Data!G132</f>
        <v>11.013384338831711</v>
      </c>
      <c r="F135" s="3">
        <f>C$3/E135</f>
        <v>1.8516560734284944</v>
      </c>
      <c r="G135" s="3">
        <f t="shared" si="36"/>
        <v>8.639737074788556E-2</v>
      </c>
      <c r="H135" s="11">
        <f t="shared" si="37"/>
        <v>-0.11361172349162452</v>
      </c>
      <c r="I135" s="3">
        <f t="shared" si="66"/>
        <v>38.248326641134533</v>
      </c>
      <c r="J135" s="3">
        <f t="shared" si="67"/>
        <v>20.184953264536915</v>
      </c>
      <c r="K135" s="3">
        <f t="shared" si="68"/>
        <v>531.65174031177003</v>
      </c>
      <c r="L135" s="3">
        <f t="shared" si="69"/>
        <v>280.57085037706315</v>
      </c>
    </row>
    <row r="136" spans="1:17" x14ac:dyDescent="0.3">
      <c r="A136" t="str">
        <f>Data!A133</f>
        <v>Calibrate_30C</v>
      </c>
      <c r="B136" s="3">
        <f>Data!I133</f>
        <v>163.36666666666667</v>
      </c>
      <c r="C136" s="3">
        <f>Data!D133/Data!G133</f>
        <v>24.175026658439215</v>
      </c>
      <c r="D136" s="3">
        <f>B$4/C136</f>
        <v>1.607485300804584</v>
      </c>
      <c r="E136" s="3">
        <f>Data!H133/Data!G133</f>
        <v>11.197574207950264</v>
      </c>
      <c r="F136" s="3">
        <f>C$4/E136</f>
        <v>1.820037056376927</v>
      </c>
      <c r="G136" s="3">
        <f t="shared" si="36"/>
        <v>0.68265993585192675</v>
      </c>
      <c r="H136" s="11">
        <f t="shared" si="37"/>
        <v>7.1980747538511025E-2</v>
      </c>
      <c r="I136" s="3">
        <f t="shared" si="66"/>
        <v>38.671566145248583</v>
      </c>
      <c r="J136" s="3">
        <f t="shared" si="67"/>
        <v>20.524811745138113</v>
      </c>
      <c r="K136" s="3">
        <f t="shared" si="68"/>
        <v>537.53476941895531</v>
      </c>
      <c r="L136" s="3">
        <f t="shared" si="69"/>
        <v>285.29488325741977</v>
      </c>
      <c r="M136" s="21">
        <f>AVERAGE(K136:K138)</f>
        <v>537.61484387934058</v>
      </c>
      <c r="N136" s="21">
        <f>AVERAGE(L136:L138)</f>
        <v>285.46163033382294</v>
      </c>
      <c r="O136" s="4" t="str">
        <f>Data!A133</f>
        <v>Calibrate_30C</v>
      </c>
      <c r="P136" s="18">
        <f t="shared" ref="P136:Q136" si="80">STDEV(K136:K138)/SQRT(3)</f>
        <v>7.2381077811388153E-2</v>
      </c>
      <c r="Q136" s="18">
        <f t="shared" si="80"/>
        <v>9.6728305873406639E-2</v>
      </c>
    </row>
    <row r="137" spans="1:17" x14ac:dyDescent="0.3">
      <c r="B137" s="3">
        <f>Data!I134</f>
        <v>163.41666666666663</v>
      </c>
      <c r="C137" s="3">
        <f>Data!D134/Data!G134</f>
        <v>24.197774853639011</v>
      </c>
      <c r="D137" s="3">
        <f t="shared" ref="D137:D138" si="81">B$4/C137</f>
        <v>1.6059741127046581</v>
      </c>
      <c r="E137" s="3">
        <f>Data!H134/Data!G134</f>
        <v>11.210711086687271</v>
      </c>
      <c r="F137" s="3">
        <f>C$4/E137</f>
        <v>1.8179043097633001</v>
      </c>
      <c r="G137" s="3">
        <f t="shared" si="36"/>
        <v>0.70541911824078696</v>
      </c>
      <c r="H137" s="11">
        <f t="shared" si="37"/>
        <v>8.5144427585928995E-2</v>
      </c>
      <c r="I137" s="3">
        <f t="shared" si="66"/>
        <v>38.687721083747228</v>
      </c>
      <c r="J137" s="3">
        <f t="shared" si="67"/>
        <v>20.548917185812535</v>
      </c>
      <c r="K137" s="3">
        <f t="shared" si="68"/>
        <v>537.75932306408652</v>
      </c>
      <c r="L137" s="3">
        <f t="shared" si="69"/>
        <v>285.62994888279422</v>
      </c>
    </row>
    <row r="138" spans="1:17" x14ac:dyDescent="0.3">
      <c r="B138" s="3">
        <f>Data!I135</f>
        <v>163.5</v>
      </c>
      <c r="C138" s="3">
        <f>Data!D135/Data!G135</f>
        <v>24.176585533799937</v>
      </c>
      <c r="D138" s="3">
        <f t="shared" si="81"/>
        <v>1.6073816522052131</v>
      </c>
      <c r="E138" s="3">
        <f>Data!H135/Data!G135</f>
        <v>11.203991970452448</v>
      </c>
      <c r="F138" s="3">
        <f>C$4/E138</f>
        <v>1.8189945203233664</v>
      </c>
      <c r="G138" s="3">
        <f t="shared" si="36"/>
        <v>0.68424811038348921</v>
      </c>
      <c r="H138" s="11">
        <f t="shared" si="37"/>
        <v>7.8469980201793632E-2</v>
      </c>
      <c r="I138" s="3">
        <f t="shared" si="66"/>
        <v>38.672693464387038</v>
      </c>
      <c r="J138" s="3">
        <f t="shared" si="67"/>
        <v>20.536694882104658</v>
      </c>
      <c r="K138" s="3">
        <f t="shared" si="68"/>
        <v>537.55043915497981</v>
      </c>
      <c r="L138" s="3">
        <f t="shared" si="69"/>
        <v>285.46005886125477</v>
      </c>
    </row>
    <row r="139" spans="1:17" x14ac:dyDescent="0.3">
      <c r="A139" t="str">
        <f>Data!A136</f>
        <v>hardwoodsIN_T1_1</v>
      </c>
      <c r="B139" s="3">
        <f>Data!I136</f>
        <v>166.84999999999991</v>
      </c>
      <c r="C139" s="3">
        <f>Data!D136/Data!G136</f>
        <v>23.620686803633976</v>
      </c>
      <c r="D139" s="3">
        <f t="shared" ref="D139:D141" si="82">B$3/C139</f>
        <v>1.6166761075772376</v>
      </c>
      <c r="E139" s="3">
        <f>Data!H136/Data!G136</f>
        <v>10.399928405742193</v>
      </c>
      <c r="F139" s="3">
        <f>C$3/E139</f>
        <v>1.9608788834296451</v>
      </c>
      <c r="G139" s="3">
        <f t="shared" ref="G139:G150" si="83">C139-(G$3+G$4*B139)</f>
        <v>0.12908552188488542</v>
      </c>
      <c r="H139" s="11">
        <f t="shared" ref="H139:H150" si="84">E139-(H$3+H$4*B139)</f>
        <v>-0.72379789671082939</v>
      </c>
      <c r="I139" s="3">
        <f t="shared" ref="I139:I150" si="85">G139*(B$7/B$9)+B$3</f>
        <v>38.27862757393855</v>
      </c>
      <c r="J139" s="3">
        <f t="shared" ref="J139:J150" si="86">H139*(C$7)+C$3</f>
        <v>19.067575255811192</v>
      </c>
      <c r="K139" s="3">
        <f t="shared" ref="K139:K150" si="87">I139*D$3</f>
        <v>532.07292327774587</v>
      </c>
      <c r="L139" s="3">
        <f t="shared" ref="L139:L150" si="88">J139*D$3</f>
        <v>265.03929605577559</v>
      </c>
      <c r="M139" s="21">
        <f t="shared" ref="M139:N139" si="89">AVERAGE(K139:K141)</f>
        <v>532.03723880980908</v>
      </c>
      <c r="N139" s="21">
        <f t="shared" si="89"/>
        <v>265.00073664649165</v>
      </c>
      <c r="O139" s="4" t="str">
        <f>Data!A136</f>
        <v>hardwoodsIN_T1_1</v>
      </c>
      <c r="P139" s="18">
        <f t="shared" ref="P139:Q139" si="90">STDEV(K139:K141)/SQRT(3)</f>
        <v>3.494428023320665E-2</v>
      </c>
      <c r="Q139" s="18">
        <f t="shared" si="90"/>
        <v>7.0002022563426983E-2</v>
      </c>
    </row>
    <row r="140" spans="1:17" x14ac:dyDescent="0.3">
      <c r="B140" s="3">
        <f>Data!I137</f>
        <v>166.89999999999998</v>
      </c>
      <c r="C140" s="3">
        <f>Data!D137/Data!G137</f>
        <v>23.609976208289446</v>
      </c>
      <c r="D140" s="3">
        <f t="shared" si="82"/>
        <v>1.617409507875428</v>
      </c>
      <c r="E140" s="3">
        <f>Data!H137/Data!G137</f>
        <v>10.393050094047041</v>
      </c>
      <c r="F140" s="3">
        <f>C$3/E140</f>
        <v>1.9621766291380389</v>
      </c>
      <c r="G140" s="3">
        <f t="shared" si="83"/>
        <v>0.1183859137294192</v>
      </c>
      <c r="H140" s="11">
        <f t="shared" si="84"/>
        <v>-0.73064940709556936</v>
      </c>
      <c r="I140" s="3">
        <f t="shared" si="85"/>
        <v>38.271032770717682</v>
      </c>
      <c r="J140" s="3">
        <f t="shared" si="86"/>
        <v>19.055028712860089</v>
      </c>
      <c r="K140" s="3">
        <f t="shared" si="87"/>
        <v>531.96735551297581</v>
      </c>
      <c r="L140" s="3">
        <f t="shared" si="88"/>
        <v>264.86489910875525</v>
      </c>
    </row>
    <row r="141" spans="1:17" x14ac:dyDescent="0.3">
      <c r="B141" s="3">
        <f>Data!I138</f>
        <v>166.91666666666663</v>
      </c>
      <c r="C141" s="3">
        <f>Data!D138/Data!G138</f>
        <v>23.620521580096103</v>
      </c>
      <c r="D141" s="3">
        <f t="shared" si="82"/>
        <v>1.6166874160889986</v>
      </c>
      <c r="E141" s="3">
        <f>Data!H138/Data!G138</f>
        <v>10.402199545415101</v>
      </c>
      <c r="F141" s="3">
        <f>C$3/E141</f>
        <v>1.9604507595692557</v>
      </c>
      <c r="G141" s="3">
        <f t="shared" si="83"/>
        <v>0.12893494793243221</v>
      </c>
      <c r="H141" s="11">
        <f t="shared" si="84"/>
        <v>-0.72149102195737136</v>
      </c>
      <c r="I141" s="3">
        <f t="shared" si="85"/>
        <v>38.278520693432043</v>
      </c>
      <c r="J141" s="3">
        <f t="shared" si="86"/>
        <v>19.071799624096695</v>
      </c>
      <c r="K141" s="3">
        <f t="shared" si="87"/>
        <v>532.07143763870545</v>
      </c>
      <c r="L141" s="3">
        <f t="shared" si="88"/>
        <v>265.09801477494409</v>
      </c>
    </row>
    <row r="142" spans="1:17" x14ac:dyDescent="0.3">
      <c r="A142" t="str">
        <f>Data!A139</f>
        <v>7_T1_1</v>
      </c>
      <c r="B142" s="3">
        <f>Data!I139</f>
        <v>170.56666666666661</v>
      </c>
      <c r="C142" s="3">
        <f>Data!D139/Data!G139</f>
        <v>23.596232377781</v>
      </c>
      <c r="D142" s="3">
        <f>B$4/C142</f>
        <v>1.6469154642074475</v>
      </c>
      <c r="E142" s="3">
        <f>Data!H139/Data!G139</f>
        <v>8.5707336436912858</v>
      </c>
      <c r="F142" s="3">
        <f>C$4/E142</f>
        <v>2.3778594513902824</v>
      </c>
      <c r="G142" s="3">
        <f t="shared" si="83"/>
        <v>0.10544781041907214</v>
      </c>
      <c r="H142" s="11">
        <f t="shared" si="84"/>
        <v>-2.5510004280210801</v>
      </c>
      <c r="I142" s="3">
        <f t="shared" si="85"/>
        <v>38.261849037326186</v>
      </c>
      <c r="J142" s="3">
        <f t="shared" si="86"/>
        <v>15.721586743481222</v>
      </c>
      <c r="K142" s="3">
        <f t="shared" si="87"/>
        <v>531.83970161883406</v>
      </c>
      <c r="L142" s="3">
        <f t="shared" si="88"/>
        <v>218.53005573438898</v>
      </c>
      <c r="M142" s="21">
        <f t="shared" ref="M142:N142" si="91">AVERAGE(K142:K144)</f>
        <v>531.81957491833475</v>
      </c>
      <c r="N142" s="21">
        <f t="shared" si="91"/>
        <v>218.34115475682017</v>
      </c>
      <c r="O142" s="4" t="str">
        <f>Data!A139</f>
        <v>7_T1_1</v>
      </c>
      <c r="P142" s="18">
        <f t="shared" ref="P142:Q142" si="92">STDEV(K142:K144)/SQRT(3)</f>
        <v>2.5799467008936622E-2</v>
      </c>
      <c r="Q142" s="18">
        <f t="shared" si="92"/>
        <v>9.5839726281239421E-2</v>
      </c>
    </row>
    <row r="143" spans="1:17" x14ac:dyDescent="0.3">
      <c r="B143" s="3">
        <f>Data!I140</f>
        <v>170.66666666666663</v>
      </c>
      <c r="C143" s="3">
        <f>Data!D140/Data!G140</f>
        <v>23.588980243337982</v>
      </c>
      <c r="D143" s="3">
        <f t="shared" ref="D143:D144" si="93">B$4/C143</f>
        <v>1.6474217875940249</v>
      </c>
      <c r="E143" s="3">
        <f>Data!H140/Data!G140</f>
        <v>8.558441667938208</v>
      </c>
      <c r="F143" s="3">
        <f>C$4/E143</f>
        <v>2.3812746281075832</v>
      </c>
      <c r="G143" s="3">
        <f t="shared" si="83"/>
        <v>9.8217650354186503E-2</v>
      </c>
      <c r="H143" s="11">
        <f t="shared" si="84"/>
        <v>-2.563238801153334</v>
      </c>
      <c r="I143" s="3">
        <f t="shared" si="85"/>
        <v>38.25671692013551</v>
      </c>
      <c r="J143" s="3">
        <f t="shared" si="86"/>
        <v>15.699175732545962</v>
      </c>
      <c r="K143" s="3">
        <f t="shared" si="87"/>
        <v>531.76836518988364</v>
      </c>
      <c r="L143" s="3">
        <f t="shared" si="88"/>
        <v>218.21854268238889</v>
      </c>
    </row>
    <row r="144" spans="1:17" x14ac:dyDescent="0.3">
      <c r="B144" s="3">
        <f>Data!I141</f>
        <v>170.71666666666658</v>
      </c>
      <c r="C144" s="3">
        <f>Data!D141/Data!G141</f>
        <v>23.597309872713662</v>
      </c>
      <c r="D144" s="3">
        <f t="shared" si="93"/>
        <v>1.6468402631325461</v>
      </c>
      <c r="E144" s="3">
        <f>Data!H141/Data!G141</f>
        <v>8.5606276278005886</v>
      </c>
      <c r="F144" s="3">
        <f>C$4/E144</f>
        <v>2.3806665686305601</v>
      </c>
      <c r="G144" s="3">
        <f t="shared" si="83"/>
        <v>0.10655826691893111</v>
      </c>
      <c r="H144" s="11">
        <f t="shared" si="84"/>
        <v>-2.5610260399805398</v>
      </c>
      <c r="I144" s="3">
        <f t="shared" si="85"/>
        <v>38.262637262322762</v>
      </c>
      <c r="J144" s="3">
        <f t="shared" si="86"/>
        <v>15.703227759257741</v>
      </c>
      <c r="K144" s="3">
        <f t="shared" si="87"/>
        <v>531.85065794628645</v>
      </c>
      <c r="L144" s="3">
        <f t="shared" si="88"/>
        <v>218.2748658536826</v>
      </c>
    </row>
    <row r="145" spans="1:17" x14ac:dyDescent="0.3">
      <c r="A145" t="str">
        <f>Data!A142</f>
        <v>8_T1_1</v>
      </c>
      <c r="B145" s="3">
        <f>Data!I142</f>
        <v>174.19999999999993</v>
      </c>
      <c r="C145" s="3">
        <f>Data!D142/Data!G142</f>
        <v>23.622168287829318</v>
      </c>
      <c r="D145" s="3"/>
      <c r="E145" s="3">
        <f>Data!H142/Data!G142</f>
        <v>7.3072972565678276</v>
      </c>
      <c r="F145" s="3"/>
      <c r="G145" s="3">
        <f t="shared" si="83"/>
        <v>0.13218212287278064</v>
      </c>
      <c r="H145" s="11">
        <f t="shared" si="84"/>
        <v>-3.8124892532545696</v>
      </c>
      <c r="I145" s="3">
        <f t="shared" si="85"/>
        <v>38.280825605381843</v>
      </c>
      <c r="J145" s="3">
        <f t="shared" si="86"/>
        <v>13.411537887190978</v>
      </c>
      <c r="K145" s="3">
        <f t="shared" si="87"/>
        <v>532.10347591480763</v>
      </c>
      <c r="L145" s="3">
        <f t="shared" si="88"/>
        <v>186.42037663195458</v>
      </c>
      <c r="M145" s="21">
        <f t="shared" ref="M145:N145" si="94">AVERAGE(K145:K147)</f>
        <v>532.14702803154023</v>
      </c>
      <c r="N145" s="21">
        <f t="shared" si="94"/>
        <v>186.62351902516309</v>
      </c>
      <c r="O145" s="4" t="str">
        <f>Data!A142</f>
        <v>8_T1_1</v>
      </c>
      <c r="P145" s="18">
        <f t="shared" ref="P145:Q145" si="95">STDEV(K145:K147)/SQRT(3)</f>
        <v>3.5919013385450525E-2</v>
      </c>
      <c r="Q145" s="18">
        <f t="shared" si="95"/>
        <v>0.26112239779870383</v>
      </c>
    </row>
    <row r="146" spans="1:17" x14ac:dyDescent="0.3">
      <c r="B146" s="3">
        <f>Data!I143</f>
        <v>174.26666666666665</v>
      </c>
      <c r="C146" s="3">
        <f>Data!D143/Data!G143</f>
        <v>23.633789447501432</v>
      </c>
      <c r="D146" s="3"/>
      <c r="E146" s="3">
        <f>Data!H143/Data!G143</f>
        <v>7.3356019875114082</v>
      </c>
      <c r="F146" s="3"/>
      <c r="G146" s="3">
        <f t="shared" si="83"/>
        <v>0.14381793213031457</v>
      </c>
      <c r="H146" s="11">
        <f t="shared" si="84"/>
        <v>-3.7841487872304391</v>
      </c>
      <c r="I146" s="3">
        <f t="shared" si="85"/>
        <v>38.289084943512961</v>
      </c>
      <c r="J146" s="3">
        <f t="shared" si="86"/>
        <v>13.463435184904778</v>
      </c>
      <c r="K146" s="3">
        <f t="shared" si="87"/>
        <v>532.21828071483014</v>
      </c>
      <c r="L146" s="3">
        <f t="shared" si="88"/>
        <v>187.14174907017642</v>
      </c>
    </row>
    <row r="147" spans="1:17" x14ac:dyDescent="0.3">
      <c r="B147" s="3">
        <f>Data!I144</f>
        <v>174.29999999999995</v>
      </c>
      <c r="C147" s="3">
        <f>Data!D144/Data!G144</f>
        <v>23.623752915389765</v>
      </c>
      <c r="D147" s="3"/>
      <c r="E147" s="3">
        <f>Data!H144/Data!G144</f>
        <v>7.3028456749978332</v>
      </c>
      <c r="F147" s="3"/>
      <c r="G147" s="3">
        <f t="shared" si="83"/>
        <v>0.13378872481136028</v>
      </c>
      <c r="H147" s="11">
        <f t="shared" si="84"/>
        <v>-3.8168872322037402</v>
      </c>
      <c r="I147" s="3">
        <f t="shared" si="85"/>
        <v>38.28196600467502</v>
      </c>
      <c r="J147" s="3">
        <f t="shared" si="86"/>
        <v>13.403484271464624</v>
      </c>
      <c r="K147" s="3">
        <f t="shared" si="87"/>
        <v>532.1193274649828</v>
      </c>
      <c r="L147" s="3">
        <f t="shared" si="88"/>
        <v>186.30843137335827</v>
      </c>
    </row>
    <row r="148" spans="1:17" x14ac:dyDescent="0.3">
      <c r="A148" t="str">
        <f>Data!A145</f>
        <v>Calibrate_20C</v>
      </c>
      <c r="B148" s="3">
        <f>Data!I145</f>
        <v>178.84999999999991</v>
      </c>
      <c r="C148" s="3">
        <f>Data!D145/Data!G145</f>
        <v>23.470187801136284</v>
      </c>
      <c r="D148" s="3">
        <f t="shared" ref="D148:D150" si="96">B$3/C148</f>
        <v>1.6270427967411158</v>
      </c>
      <c r="E148" s="3">
        <f>Data!H145/Data!G145</f>
        <v>11.189110067510825</v>
      </c>
      <c r="F148" s="3">
        <f>C$3/E148</f>
        <v>1.8225756898409626</v>
      </c>
      <c r="G148" s="3">
        <f t="shared" si="83"/>
        <v>-1.8776555237206338E-2</v>
      </c>
      <c r="H148" s="11">
        <f t="shared" si="84"/>
        <v>7.1816079556780821E-2</v>
      </c>
      <c r="I148" s="3">
        <f t="shared" si="85"/>
        <v>38.173672012645667</v>
      </c>
      <c r="J148" s="3">
        <f t="shared" si="86"/>
        <v>20.524510203756808</v>
      </c>
      <c r="K148" s="3">
        <f t="shared" si="87"/>
        <v>530.61404097577474</v>
      </c>
      <c r="L148" s="3">
        <f t="shared" si="88"/>
        <v>285.29069183221964</v>
      </c>
      <c r="M148" s="21">
        <f t="shared" ref="M148:N148" si="97">AVERAGE(K148:K150)</f>
        <v>530.62168021102184</v>
      </c>
      <c r="N148" s="21">
        <f t="shared" si="97"/>
        <v>285.32846969862766</v>
      </c>
      <c r="O148" s="4" t="str">
        <f>Data!A145</f>
        <v>Calibrate_20C</v>
      </c>
      <c r="P148" s="18">
        <f t="shared" ref="P148:Q148" si="98">STDEV(K148:K150)/SQRT(3)</f>
        <v>5.1670524598969397E-2</v>
      </c>
      <c r="Q148" s="18">
        <f t="shared" si="98"/>
        <v>7.0575730895971453E-2</v>
      </c>
    </row>
    <row r="149" spans="1:17" x14ac:dyDescent="0.3">
      <c r="B149" s="3">
        <f>Data!I146</f>
        <v>178.93333333333328</v>
      </c>
      <c r="C149" s="3">
        <f>Data!D146/Data!G146</f>
        <v>23.462285011478251</v>
      </c>
      <c r="D149" s="3">
        <f t="shared" si="96"/>
        <v>1.6275908327478803</v>
      </c>
      <c r="E149" s="3">
        <f>Data!H146/Data!G146</f>
        <v>11.186664402600924</v>
      </c>
      <c r="F149" s="3">
        <f>C$3/E149</f>
        <v>1.8229741472586398</v>
      </c>
      <c r="G149" s="3">
        <f t="shared" si="83"/>
        <v>-2.6661032913466443E-2</v>
      </c>
      <c r="H149" s="11">
        <f t="shared" si="84"/>
        <v>6.9415083497567309E-2</v>
      </c>
      <c r="I149" s="3">
        <f t="shared" si="85"/>
        <v>38.168075447278</v>
      </c>
      <c r="J149" s="3">
        <f t="shared" si="86"/>
        <v>20.52011347975133</v>
      </c>
      <c r="K149" s="3">
        <f t="shared" si="87"/>
        <v>530.5362487171642</v>
      </c>
      <c r="L149" s="3">
        <f t="shared" si="88"/>
        <v>285.22957736854352</v>
      </c>
    </row>
    <row r="150" spans="1:17" x14ac:dyDescent="0.3">
      <c r="B150" s="3">
        <f>Data!I147</f>
        <v>179</v>
      </c>
      <c r="C150" s="3">
        <f>Data!D147/Data!G147</f>
        <v>23.480362095148116</v>
      </c>
      <c r="D150" s="3">
        <f t="shared" si="96"/>
        <v>1.6263377815579259</v>
      </c>
      <c r="E150" s="3">
        <f>Data!H147/Data!G147</f>
        <v>11.195883182147309</v>
      </c>
      <c r="F150" s="3">
        <f>C$3/E150</f>
        <v>1.8214730957999095</v>
      </c>
      <c r="G150" s="3">
        <f t="shared" si="83"/>
        <v>-8.5692996581805403E-3</v>
      </c>
      <c r="H150" s="11">
        <f t="shared" si="84"/>
        <v>7.8669598124502471E-2</v>
      </c>
      <c r="I150" s="3">
        <f t="shared" si="85"/>
        <v>38.180917333822052</v>
      </c>
      <c r="J150" s="3">
        <f t="shared" si="86"/>
        <v>20.537060424109335</v>
      </c>
      <c r="K150" s="3">
        <f t="shared" si="87"/>
        <v>530.71475094012658</v>
      </c>
      <c r="L150" s="3">
        <f t="shared" si="88"/>
        <v>285.46513989511976</v>
      </c>
    </row>
    <row r="151" spans="1:17" x14ac:dyDescent="0.3">
      <c r="A151" t="str">
        <f>Data!A148</f>
        <v>Calibrate_30C</v>
      </c>
      <c r="B151" s="3">
        <f>Data!I148</f>
        <v>181.93333333333328</v>
      </c>
      <c r="C151" s="3">
        <f>Data!D148/Data!G148</f>
        <v>24.587426312549077</v>
      </c>
      <c r="D151" s="3">
        <f>B$4/C151</f>
        <v>1.5805232929225248</v>
      </c>
      <c r="E151" s="3">
        <f>Data!H148/Data!G148</f>
        <v>11.440133439263843</v>
      </c>
      <c r="F151" s="3">
        <f>C$4/E151</f>
        <v>1.7814477521786167</v>
      </c>
      <c r="G151" s="3">
        <f t="shared" ref="G151:G156" si="99">C151-(G$3+G$4*B151)</f>
        <v>1.0991394995012627</v>
      </c>
      <c r="H151" s="11">
        <f t="shared" ref="H151:H156" si="100">E151-(H$3+H$4*B151)</f>
        <v>0.32449219878523117</v>
      </c>
      <c r="I151" s="3">
        <f t="shared" ref="I151:I156" si="101">G151*(B$7/B$9)+B$3</f>
        <v>38.967191955602487</v>
      </c>
      <c r="J151" s="3">
        <f t="shared" ref="J151:J156" si="102">H151*(C$7)+C$3</f>
        <v>20.987212820347565</v>
      </c>
      <c r="K151" s="3">
        <f t="shared" ref="K151:K156" si="103">I151*D$3</f>
        <v>541.64396818287457</v>
      </c>
      <c r="L151" s="3">
        <f t="shared" ref="L151:L156" si="104">J151*D$3</f>
        <v>291.72225820283114</v>
      </c>
      <c r="M151" s="21">
        <f t="shared" ref="M151:N151" si="105">AVERAGE(K151:K153)</f>
        <v>541.71706112295362</v>
      </c>
      <c r="N151" s="21">
        <f t="shared" si="105"/>
        <v>291.79035409340423</v>
      </c>
      <c r="O151" s="4" t="str">
        <f>Data!A148</f>
        <v>Calibrate_30C</v>
      </c>
      <c r="P151" s="18">
        <f t="shared" ref="P151:Q151" si="106">STDEV(K151:K153)/SQRT(3)</f>
        <v>3.7343724517364243E-2</v>
      </c>
      <c r="Q151" s="18">
        <f t="shared" si="106"/>
        <v>3.766105534658138E-2</v>
      </c>
    </row>
    <row r="152" spans="1:17" x14ac:dyDescent="0.3">
      <c r="B152" s="3">
        <f>Data!I149</f>
        <v>182.01666666666665</v>
      </c>
      <c r="C152" s="3">
        <f>Data!D149/Data!G149</f>
        <v>24.599867658928869</v>
      </c>
      <c r="D152" s="3">
        <f t="shared" ref="D152:D153" si="107">B$4/C152</f>
        <v>1.5797239456243517</v>
      </c>
      <c r="E152" s="3">
        <f>Data!H149/Data!G149</f>
        <v>11.443006376045735</v>
      </c>
      <c r="F152" s="3">
        <f>C$4/E152</f>
        <v>1.7810004932499695</v>
      </c>
      <c r="G152" s="3">
        <f t="shared" si="99"/>
        <v>1.1115991578628268</v>
      </c>
      <c r="H152" s="11">
        <f t="shared" si="100"/>
        <v>0.32740980441781176</v>
      </c>
      <c r="I152" s="3">
        <f t="shared" si="101"/>
        <v>38.976036078871331</v>
      </c>
      <c r="J152" s="3">
        <f t="shared" si="102"/>
        <v>20.992555564111786</v>
      </c>
      <c r="K152" s="3">
        <f t="shared" si="103"/>
        <v>541.76690149631156</v>
      </c>
      <c r="L152" s="3">
        <f t="shared" si="104"/>
        <v>291.79652234115383</v>
      </c>
    </row>
    <row r="153" spans="1:17" x14ac:dyDescent="0.3">
      <c r="B153" s="3">
        <f>Data!I150</f>
        <v>182.08333333333326</v>
      </c>
      <c r="C153" s="3">
        <f>Data!D150/Data!G150</f>
        <v>24.597158255756984</v>
      </c>
      <c r="D153" s="3">
        <f t="shared" si="107"/>
        <v>1.5798979538989855</v>
      </c>
      <c r="E153" s="3">
        <f>Data!H150/Data!G150</f>
        <v>11.445161253134277</v>
      </c>
      <c r="F153" s="3">
        <f>C$4/E153</f>
        <v>1.7806651692582227</v>
      </c>
      <c r="G153" s="3">
        <f t="shared" si="99"/>
        <v>1.1089044042763625</v>
      </c>
      <c r="H153" s="11">
        <f t="shared" si="100"/>
        <v>0.32960041658690287</v>
      </c>
      <c r="I153" s="3">
        <f t="shared" si="101"/>
        <v>38.974123287026949</v>
      </c>
      <c r="J153" s="3">
        <f t="shared" si="102"/>
        <v>20.996567031383286</v>
      </c>
      <c r="K153" s="3">
        <f t="shared" si="103"/>
        <v>541.74031368967462</v>
      </c>
      <c r="L153" s="3">
        <f t="shared" si="104"/>
        <v>291.85228173622767</v>
      </c>
    </row>
    <row r="154" spans="1:17" x14ac:dyDescent="0.3">
      <c r="A154" t="str">
        <f>Data!A151</f>
        <v>9_T1_1</v>
      </c>
      <c r="B154" s="3">
        <f>Data!I151</f>
        <v>185.84999999999991</v>
      </c>
      <c r="C154" s="3">
        <f>Data!D151/Data!G151</f>
        <v>23.663039139814614</v>
      </c>
      <c r="D154" s="3"/>
      <c r="E154" s="3">
        <f>Data!H151/Data!G151</f>
        <v>5.3067556088421703</v>
      </c>
      <c r="F154" s="3"/>
      <c r="G154" s="3">
        <f t="shared" si="99"/>
        <v>0.17561298991022412</v>
      </c>
      <c r="H154" s="11">
        <f t="shared" si="100"/>
        <v>-5.8067861956541353</v>
      </c>
      <c r="I154" s="3">
        <f t="shared" si="101"/>
        <v>38.311653733297206</v>
      </c>
      <c r="J154" s="3">
        <f t="shared" si="102"/>
        <v>9.7595646958782805</v>
      </c>
      <c r="K154" s="3">
        <f t="shared" si="103"/>
        <v>532.53198689283113</v>
      </c>
      <c r="L154" s="3">
        <f t="shared" si="104"/>
        <v>135.65794927270809</v>
      </c>
      <c r="M154" s="21">
        <f t="shared" ref="M154:N154" si="108">AVERAGE(K154:K156)</f>
        <v>532.50040583561997</v>
      </c>
      <c r="N154" s="21">
        <f t="shared" si="108"/>
        <v>135.53610310973227</v>
      </c>
      <c r="O154" s="4" t="str">
        <f>Data!A151</f>
        <v>9_T1_1</v>
      </c>
      <c r="P154" s="18">
        <f t="shared" ref="P154:Q154" si="109">STDEV(K154:K156)/SQRT(3)</f>
        <v>2.5182330819469217E-2</v>
      </c>
      <c r="Q154" s="18">
        <f t="shared" si="109"/>
        <v>6.1774507678127435E-2</v>
      </c>
    </row>
    <row r="155" spans="1:17" x14ac:dyDescent="0.3">
      <c r="B155" s="3">
        <f>Data!I152</f>
        <v>185.89999999999998</v>
      </c>
      <c r="C155" s="3">
        <f>Data!D152/Data!G152</f>
        <v>23.654783244817651</v>
      </c>
      <c r="D155" s="3"/>
      <c r="E155" s="3">
        <f>Data!H152/Data!G152</f>
        <v>5.3002438797041647</v>
      </c>
      <c r="F155" s="3"/>
      <c r="G155" s="3">
        <f t="shared" si="99"/>
        <v>0.16736808210232468</v>
      </c>
      <c r="H155" s="11">
        <f t="shared" si="100"/>
        <v>-5.8132711234817291</v>
      </c>
      <c r="I155" s="3">
        <f t="shared" si="101"/>
        <v>38.305801327165568</v>
      </c>
      <c r="J155" s="3">
        <f t="shared" si="102"/>
        <v>9.7476894419627467</v>
      </c>
      <c r="K155" s="3">
        <f t="shared" si="103"/>
        <v>532.45063844760136</v>
      </c>
      <c r="L155" s="3">
        <f t="shared" si="104"/>
        <v>135.49288324328219</v>
      </c>
    </row>
    <row r="156" spans="1:17" x14ac:dyDescent="0.3">
      <c r="B156" s="3">
        <f>Data!I153</f>
        <v>185.96666666666658</v>
      </c>
      <c r="C156" s="3">
        <f>Data!D153/Data!G153</f>
        <v>23.661655907526175</v>
      </c>
      <c r="D156" s="3"/>
      <c r="E156" s="3">
        <f>Data!H153/Data!G153</f>
        <v>5.2988171367677168</v>
      </c>
      <c r="F156" s="3"/>
      <c r="G156" s="3">
        <f t="shared" si="99"/>
        <v>0.17425539439626903</v>
      </c>
      <c r="H156" s="11">
        <f t="shared" si="100"/>
        <v>-5.8146621313376272</v>
      </c>
      <c r="I156" s="3">
        <f t="shared" si="101"/>
        <v>38.310690083915638</v>
      </c>
      <c r="J156" s="3">
        <f t="shared" si="102"/>
        <v>9.7451422167774471</v>
      </c>
      <c r="K156" s="3">
        <f t="shared" si="103"/>
        <v>532.51859216642742</v>
      </c>
      <c r="L156" s="3">
        <f t="shared" si="104"/>
        <v>135.45747681320651</v>
      </c>
    </row>
    <row r="157" spans="1:17" x14ac:dyDescent="0.3">
      <c r="A157" t="str">
        <f>Data!A154</f>
        <v>typhaIN_T1_1</v>
      </c>
      <c r="B157" s="3">
        <f>Data!I154</f>
        <v>189.38333333333333</v>
      </c>
      <c r="C157" s="3">
        <f>Data!D154/Data!G154</f>
        <v>23.669179571338052</v>
      </c>
      <c r="D157" s="3"/>
      <c r="E157" s="3">
        <f>Data!H154/Data!G154</f>
        <v>9.0419517763689452</v>
      </c>
      <c r="F157" s="3"/>
      <c r="G157" s="3">
        <f t="shared" ref="G157:G210" si="110">C157-(G$3+G$4*B157)</f>
        <v>0.18252984946092354</v>
      </c>
      <c r="H157" s="11">
        <f t="shared" ref="H157:H210" si="111">E157-(H$3+H$4*B157)</f>
        <v>-2.0696960688582173</v>
      </c>
      <c r="I157" s="3">
        <f t="shared" ref="I157:I210" si="112">G157*(B$7/B$9)+B$3</f>
        <v>38.316563463301392</v>
      </c>
      <c r="J157" s="3">
        <f t="shared" ref="J157:J210" si="113">H157*(C$7)+C$3</f>
        <v>16.602955299564858</v>
      </c>
      <c r="K157" s="3">
        <f t="shared" ref="K157:K210" si="114">I157*D$3</f>
        <v>532.60023213988939</v>
      </c>
      <c r="L157" s="3">
        <f t="shared" ref="L157:L210" si="115">J157*D$3</f>
        <v>230.78107866395152</v>
      </c>
      <c r="M157" s="21">
        <f t="shared" ref="M157:N157" si="116">AVERAGE(K157:K159)</f>
        <v>532.51074922894736</v>
      </c>
      <c r="N157" s="21">
        <f t="shared" si="116"/>
        <v>230.96611695177717</v>
      </c>
      <c r="O157" s="4" t="str">
        <f>Data!A154</f>
        <v>typhaIN_T1_1</v>
      </c>
      <c r="P157" s="18">
        <f t="shared" ref="P157:Q157" si="117">STDEV(K157:K159)/SQRT(3)</f>
        <v>4.9256100014126128E-2</v>
      </c>
      <c r="Q157" s="18">
        <f t="shared" si="117"/>
        <v>9.6373212201319738E-2</v>
      </c>
    </row>
    <row r="158" spans="1:17" x14ac:dyDescent="0.3">
      <c r="B158" s="3">
        <f>Data!I155</f>
        <v>189.51666666666665</v>
      </c>
      <c r="C158" s="3">
        <f>Data!D155/Data!G155</f>
        <v>23.659162555054266</v>
      </c>
      <c r="D158" s="3"/>
      <c r="E158" s="3">
        <f>Data!H155/Data!G155</f>
        <v>9.0509486595920112</v>
      </c>
      <c r="F158" s="3"/>
      <c r="G158" s="3">
        <f t="shared" si="110"/>
        <v>0.17254213234797788</v>
      </c>
      <c r="H158" s="11">
        <f t="shared" si="111"/>
        <v>-2.0606277154740518</v>
      </c>
      <c r="I158" s="3">
        <f t="shared" si="112"/>
        <v>38.30947397507002</v>
      </c>
      <c r="J158" s="3">
        <f t="shared" si="113"/>
        <v>16.619561343902706</v>
      </c>
      <c r="K158" s="3">
        <f t="shared" si="114"/>
        <v>532.50168825347328</v>
      </c>
      <c r="L158" s="3">
        <f t="shared" si="115"/>
        <v>231.01190268024763</v>
      </c>
    </row>
    <row r="159" spans="1:17" x14ac:dyDescent="0.3">
      <c r="B159" s="3">
        <f>Data!I156</f>
        <v>189.56666666666661</v>
      </c>
      <c r="C159" s="3">
        <f>Data!D156/Data!G156</f>
        <v>23.651918921505814</v>
      </c>
      <c r="D159" s="3"/>
      <c r="E159" s="3">
        <f>Data!H156/Data!G156</f>
        <v>9.054593877622402</v>
      </c>
      <c r="F159" s="3"/>
      <c r="G159" s="3">
        <f t="shared" si="110"/>
        <v>0.16530948598859041</v>
      </c>
      <c r="H159" s="11">
        <f t="shared" si="111"/>
        <v>-2.0569556961332474</v>
      </c>
      <c r="I159" s="3">
        <f t="shared" si="112"/>
        <v>38.304340093056069</v>
      </c>
      <c r="J159" s="3">
        <f t="shared" si="113"/>
        <v>16.626285576340461</v>
      </c>
      <c r="K159" s="3">
        <f t="shared" si="114"/>
        <v>532.43032729347942</v>
      </c>
      <c r="L159" s="3">
        <f t="shared" si="115"/>
        <v>231.10536951113241</v>
      </c>
    </row>
    <row r="160" spans="1:17" x14ac:dyDescent="0.3">
      <c r="A160" t="str">
        <f>Data!A157</f>
        <v>10_T1_1</v>
      </c>
      <c r="B160" s="3">
        <f>Data!I157</f>
        <v>191.96666666666658</v>
      </c>
      <c r="C160" s="3">
        <f>Data!D157/Data!G157</f>
        <v>23.649033504956996</v>
      </c>
      <c r="D160" s="3"/>
      <c r="E160" s="3">
        <f>Data!H157/Data!G157</f>
        <v>7.2521774155077745</v>
      </c>
      <c r="F160" s="3"/>
      <c r="G160" s="3">
        <f t="shared" si="110"/>
        <v>0.1629514545148929</v>
      </c>
      <c r="H160" s="11">
        <f t="shared" si="111"/>
        <v>-3.8580856953480795</v>
      </c>
      <c r="I160" s="3">
        <f t="shared" si="112"/>
        <v>38.302666313533386</v>
      </c>
      <c r="J160" s="3">
        <f t="shared" si="113"/>
        <v>13.32804130220179</v>
      </c>
      <c r="K160" s="3">
        <f t="shared" si="114"/>
        <v>532.40706175811408</v>
      </c>
      <c r="L160" s="3">
        <f t="shared" si="115"/>
        <v>185.25977410060489</v>
      </c>
      <c r="M160" s="21">
        <f t="shared" ref="M160:N160" si="118">AVERAGE(K160:K162)</f>
        <v>532.57672449022596</v>
      </c>
      <c r="N160" s="21">
        <f t="shared" si="118"/>
        <v>184.96570220799467</v>
      </c>
      <c r="O160" s="4" t="str">
        <f>Data!A157</f>
        <v>10_T1_1</v>
      </c>
      <c r="P160" s="18">
        <f t="shared" ref="P160:Q160" si="119">STDEV(K160:K162)/SQRT(3)</f>
        <v>9.3192288902406523E-2</v>
      </c>
      <c r="Q160" s="18">
        <f t="shared" si="119"/>
        <v>0.14726644576103387</v>
      </c>
    </row>
    <row r="161" spans="1:17" x14ac:dyDescent="0.3">
      <c r="B161" s="3">
        <f>Data!I158</f>
        <v>192.08333333333326</v>
      </c>
      <c r="C161" s="3">
        <f>Data!D158/Data!G158</f>
        <v>23.668028884606304</v>
      </c>
      <c r="D161" s="3"/>
      <c r="E161" s="3">
        <f>Data!H158/Data!G158</f>
        <v>7.2342246783616826</v>
      </c>
      <c r="F161" s="3"/>
      <c r="G161" s="3">
        <f t="shared" si="110"/>
        <v>0.1819724709386854</v>
      </c>
      <c r="H161" s="11">
        <f t="shared" si="111"/>
        <v>-3.8759758961032098</v>
      </c>
      <c r="I161" s="3">
        <f t="shared" si="112"/>
        <v>38.316167824495331</v>
      </c>
      <c r="J161" s="3">
        <f t="shared" si="113"/>
        <v>13.295280617393075</v>
      </c>
      <c r="K161" s="3">
        <f t="shared" si="114"/>
        <v>532.59473276048516</v>
      </c>
      <c r="L161" s="3">
        <f t="shared" si="115"/>
        <v>184.80440058176376</v>
      </c>
    </row>
    <row r="162" spans="1:17" x14ac:dyDescent="0.3">
      <c r="B162" s="3">
        <f>Data!I159</f>
        <v>192.14999999999998</v>
      </c>
      <c r="C162" s="3">
        <f>Data!D159/Data!G159</f>
        <v>23.681559675569293</v>
      </c>
      <c r="D162" s="3"/>
      <c r="E162" s="3">
        <f>Data!H159/Data!G159</f>
        <v>7.2353098511390632</v>
      </c>
      <c r="F162" s="3"/>
      <c r="G162" s="3">
        <f t="shared" si="110"/>
        <v>0.19551791148709441</v>
      </c>
      <c r="H162" s="11">
        <f t="shared" si="111"/>
        <v>-3.8748549882452794</v>
      </c>
      <c r="I162" s="3">
        <f t="shared" si="112"/>
        <v>38.325782658422924</v>
      </c>
      <c r="J162" s="3">
        <f t="shared" si="113"/>
        <v>13.297333233209738</v>
      </c>
      <c r="K162" s="3">
        <f t="shared" si="114"/>
        <v>532.72837895207863</v>
      </c>
      <c r="L162" s="3">
        <f t="shared" si="115"/>
        <v>184.83293194161536</v>
      </c>
    </row>
    <row r="163" spans="1:17" x14ac:dyDescent="0.3">
      <c r="A163" t="str">
        <f>Data!A160</f>
        <v>Calibrate_20C</v>
      </c>
      <c r="B163" s="3">
        <f>Data!I160</f>
        <v>194.01666666666665</v>
      </c>
      <c r="C163" s="3">
        <f>Data!D160/Data!G160</f>
        <v>23.54413015497866</v>
      </c>
      <c r="D163" s="3">
        <f t="shared" ref="D163:D165" si="120">B$3/C163</f>
        <v>1.621932929721124</v>
      </c>
      <c r="E163" s="3">
        <f>Data!H160/Data!G160</f>
        <v>10.662338077782879</v>
      </c>
      <c r="F163" s="3">
        <f>C$3/E163</f>
        <v>1.9126199011165204</v>
      </c>
      <c r="G163" s="3">
        <f t="shared" si="110"/>
        <v>5.8498579288222885E-2</v>
      </c>
      <c r="H163" s="11">
        <f t="shared" si="111"/>
        <v>-0.44682617934606661</v>
      </c>
      <c r="I163" s="3">
        <f t="shared" si="112"/>
        <v>38.228523501789859</v>
      </c>
      <c r="J163" s="3">
        <f t="shared" si="113"/>
        <v>19.574768174309533</v>
      </c>
      <c r="K163" s="3">
        <f t="shared" si="114"/>
        <v>531.37647667487909</v>
      </c>
      <c r="L163" s="3">
        <f t="shared" si="115"/>
        <v>272.0892776229025</v>
      </c>
      <c r="M163" s="21">
        <f t="shared" ref="M163:N163" si="121">AVERAGE(K163:K165)</f>
        <v>531.3303338267375</v>
      </c>
      <c r="N163" s="21">
        <f t="shared" si="121"/>
        <v>273.09718395244846</v>
      </c>
      <c r="O163" s="4" t="str">
        <f>Data!A160</f>
        <v>Calibrate_20C</v>
      </c>
      <c r="P163" s="18">
        <f t="shared" ref="P163:Q163" si="122">STDEV(K163:K165)/SQRT(3)</f>
        <v>4.1582520468160675E-2</v>
      </c>
      <c r="Q163" s="18">
        <f t="shared" si="122"/>
        <v>0.53169233835491536</v>
      </c>
    </row>
    <row r="164" spans="1:17" x14ac:dyDescent="0.3">
      <c r="B164" s="3">
        <f>Data!I161</f>
        <v>194.09999999999991</v>
      </c>
      <c r="C164" s="3">
        <f>Data!D161/Data!G161</f>
        <v>23.531023665289343</v>
      </c>
      <c r="D164" s="3">
        <f t="shared" si="120"/>
        <v>1.6228363263400951</v>
      </c>
      <c r="E164" s="3">
        <f>Data!H161/Data!G161</f>
        <v>10.710156157432571</v>
      </c>
      <c r="F164" s="3">
        <f>C$3/E164</f>
        <v>1.9040805474948921</v>
      </c>
      <c r="G164" s="3">
        <f t="shared" si="110"/>
        <v>4.5410401580678439E-2</v>
      </c>
      <c r="H164" s="11">
        <f t="shared" si="111"/>
        <v>-0.39896343084568642</v>
      </c>
      <c r="I164" s="3">
        <f t="shared" si="112"/>
        <v>38.219233242486503</v>
      </c>
      <c r="J164" s="3">
        <f t="shared" si="113"/>
        <v>19.662414838489649</v>
      </c>
      <c r="K164" s="3">
        <f t="shared" si="114"/>
        <v>531.24734207056235</v>
      </c>
      <c r="L164" s="3">
        <f t="shared" si="115"/>
        <v>273.30756625500612</v>
      </c>
    </row>
    <row r="165" spans="1:17" x14ac:dyDescent="0.3">
      <c r="B165" s="3">
        <f>Data!I162</f>
        <v>194.11666666666667</v>
      </c>
      <c r="C165" s="3">
        <f>Data!D162/Data!G162</f>
        <v>23.543166212021447</v>
      </c>
      <c r="D165" s="3">
        <f t="shared" si="120"/>
        <v>1.6219993375615391</v>
      </c>
      <c r="E165" s="3">
        <f>Data!H162/Data!G162</f>
        <v>10.733214184930862</v>
      </c>
      <c r="F165" s="3">
        <f>C$3/E165</f>
        <v>1.899990035476159</v>
      </c>
      <c r="G165" s="3">
        <f t="shared" si="110"/>
        <v>5.7556610709138312E-2</v>
      </c>
      <c r="H165" s="11">
        <f t="shared" si="111"/>
        <v>-0.37589646957725797</v>
      </c>
      <c r="I165" s="3">
        <f t="shared" si="112"/>
        <v>38.2278548730051</v>
      </c>
      <c r="J165" s="3">
        <f t="shared" si="113"/>
        <v>19.704655250319192</v>
      </c>
      <c r="K165" s="3">
        <f t="shared" si="114"/>
        <v>531.36718273477095</v>
      </c>
      <c r="L165" s="3">
        <f t="shared" si="115"/>
        <v>273.89470797943676</v>
      </c>
    </row>
    <row r="166" spans="1:17" x14ac:dyDescent="0.3">
      <c r="A166" t="str">
        <f>Data!A163</f>
        <v>Calibrate_30C</v>
      </c>
      <c r="B166" s="3">
        <f>Data!I163</f>
        <v>196.2833333333333</v>
      </c>
      <c r="C166" s="3">
        <f>Data!D163/Data!G163</f>
        <v>24.14441264665048</v>
      </c>
      <c r="D166" s="3">
        <f>B$4/C166</f>
        <v>1.6095235187007595</v>
      </c>
      <c r="E166" s="3">
        <f>Data!H163/Data!G163</f>
        <v>11.130460840750585</v>
      </c>
      <c r="F166" s="3">
        <f>C$4/E166</f>
        <v>1.8310113383073248</v>
      </c>
      <c r="G166" s="3">
        <f t="shared" si="110"/>
        <v>0.65927915686432215</v>
      </c>
      <c r="H166" s="11">
        <f t="shared" si="111"/>
        <v>2.2511576360335184E-2</v>
      </c>
      <c r="I166" s="3">
        <f t="shared" si="112"/>
        <v>38.654969984624636</v>
      </c>
      <c r="J166" s="3">
        <f t="shared" si="113"/>
        <v>20.4342233863545</v>
      </c>
      <c r="K166" s="3">
        <f t="shared" si="114"/>
        <v>537.30408278628249</v>
      </c>
      <c r="L166" s="3">
        <f t="shared" si="115"/>
        <v>284.03570507032754</v>
      </c>
      <c r="M166" s="21">
        <f t="shared" ref="M166:N166" si="123">AVERAGE(K166:K168)</f>
        <v>537.47427416921721</v>
      </c>
      <c r="N166" s="21">
        <f t="shared" si="123"/>
        <v>284.2642853738086</v>
      </c>
      <c r="O166" s="4" t="str">
        <f>Data!A163</f>
        <v>Calibrate_30C</v>
      </c>
      <c r="P166" s="18">
        <f t="shared" ref="P166:Q166" si="124">STDEV(K166:K168)/SQRT(3)</f>
        <v>8.8265148897731585E-2</v>
      </c>
      <c r="Q166" s="18">
        <f t="shared" si="124"/>
        <v>0.11672744781903667</v>
      </c>
    </row>
    <row r="167" spans="1:17" x14ac:dyDescent="0.3">
      <c r="B167" s="3">
        <f>Data!I164</f>
        <v>196.38333333333333</v>
      </c>
      <c r="C167" s="3">
        <f>Data!D164/Data!G164</f>
        <v>24.174379734928021</v>
      </c>
      <c r="D167" s="3">
        <f t="shared" ref="D167:D168" si="125">B$4/C167</f>
        <v>1.6075283182489359</v>
      </c>
      <c r="E167" s="3">
        <f>Data!H164/Data!G164</f>
        <v>11.145492219134523</v>
      </c>
      <c r="F167" s="3">
        <f>C$4/E167</f>
        <v>1.8285419431733774</v>
      </c>
      <c r="G167" s="3">
        <f t="shared" si="110"/>
        <v>0.68926821951999173</v>
      </c>
      <c r="H167" s="11">
        <f t="shared" si="111"/>
        <v>3.7596557365098704E-2</v>
      </c>
      <c r="I167" s="3">
        <f t="shared" si="112"/>
        <v>38.676256841707499</v>
      </c>
      <c r="J167" s="3">
        <f t="shared" si="113"/>
        <v>20.46184712936369</v>
      </c>
      <c r="K167" s="3">
        <f t="shared" si="114"/>
        <v>537.59997009973426</v>
      </c>
      <c r="L167" s="3">
        <f t="shared" si="115"/>
        <v>284.41967509815532</v>
      </c>
    </row>
    <row r="168" spans="1:17" x14ac:dyDescent="0.3">
      <c r="B168" s="3">
        <f>Data!I165</f>
        <v>196.41666666666663</v>
      </c>
      <c r="C168" s="3">
        <f>Data!D165/Data!G165</f>
        <v>24.166142499237868</v>
      </c>
      <c r="D168" s="3">
        <f t="shared" si="125"/>
        <v>1.6080762579805843</v>
      </c>
      <c r="E168" s="3">
        <f>Data!H165/Data!G165</f>
        <v>11.142245004368503</v>
      </c>
      <c r="F168" s="3">
        <f>C$4/E168</f>
        <v>1.8290748401250987</v>
      </c>
      <c r="G168" s="3">
        <f t="shared" si="110"/>
        <v>0.68103830862255066</v>
      </c>
      <c r="H168" s="11">
        <f t="shared" si="111"/>
        <v>3.4367210139352622E-2</v>
      </c>
      <c r="I168" s="3">
        <f t="shared" si="112"/>
        <v>38.670415080693154</v>
      </c>
      <c r="J168" s="3">
        <f t="shared" si="113"/>
        <v>20.45593352179446</v>
      </c>
      <c r="K168" s="3">
        <f t="shared" si="114"/>
        <v>537.51876962163487</v>
      </c>
      <c r="L168" s="3">
        <f t="shared" si="115"/>
        <v>284.33747595294301</v>
      </c>
    </row>
    <row r="169" spans="1:17" x14ac:dyDescent="0.3">
      <c r="A169" t="str">
        <f>Data!A166</f>
        <v>11_T1_1</v>
      </c>
      <c r="B169" s="3">
        <f>Data!I166</f>
        <v>199.79999999999995</v>
      </c>
      <c r="C169" s="3">
        <f>Data!D166/Data!G166</f>
        <v>23.644617627295769</v>
      </c>
      <c r="D169" s="3"/>
      <c r="E169" s="3">
        <f>Data!H166/Data!G166</f>
        <v>6.1530834917693005</v>
      </c>
      <c r="F169" s="3"/>
      <c r="G169" s="3">
        <f t="shared" si="110"/>
        <v>0.16025690314051744</v>
      </c>
      <c r="H169" s="11">
        <f t="shared" si="111"/>
        <v>-4.9529807471219423</v>
      </c>
      <c r="I169" s="3">
        <f t="shared" si="112"/>
        <v>38.300753665223326</v>
      </c>
      <c r="J169" s="3">
        <f t="shared" si="113"/>
        <v>11.32306035309198</v>
      </c>
      <c r="K169" s="3">
        <f t="shared" si="114"/>
        <v>532.38047594660429</v>
      </c>
      <c r="L169" s="3">
        <f t="shared" si="115"/>
        <v>157.39053890797854</v>
      </c>
      <c r="M169" s="21">
        <f t="shared" ref="M169:N169" si="126">AVERAGE(K169:K171)</f>
        <v>532.43840988126567</v>
      </c>
      <c r="N169" s="21">
        <f t="shared" si="126"/>
        <v>157.11016632289622</v>
      </c>
      <c r="O169" s="4" t="str">
        <f>Data!A166</f>
        <v>11_T1_1</v>
      </c>
      <c r="P169" s="18">
        <f t="shared" ref="P169:Q169" si="127">STDEV(K169:K171)/SQRT(3)</f>
        <v>2.8984925100963545E-2</v>
      </c>
      <c r="Q169" s="18">
        <f t="shared" si="127"/>
        <v>0.17778073370481814</v>
      </c>
    </row>
    <row r="170" spans="1:17" x14ac:dyDescent="0.3">
      <c r="B170" s="3">
        <f>Data!I167</f>
        <v>199.88333333333333</v>
      </c>
      <c r="C170" s="3">
        <f>Data!D167/Data!G167</f>
        <v>23.653227897025783</v>
      </c>
      <c r="D170" s="3"/>
      <c r="E170" s="3">
        <f>Data!H167/Data!G167</f>
        <v>6.1439561748040479</v>
      </c>
      <c r="F170" s="3"/>
      <c r="G170" s="3">
        <f t="shared" si="110"/>
        <v>0.16888548485230359</v>
      </c>
      <c r="H170" s="11">
        <f t="shared" si="111"/>
        <v>-4.9620633952365072</v>
      </c>
      <c r="I170" s="3">
        <f t="shared" si="112"/>
        <v>38.306878411029338</v>
      </c>
      <c r="J170" s="3">
        <f t="shared" si="113"/>
        <v>11.306428132124623</v>
      </c>
      <c r="K170" s="3">
        <f t="shared" si="114"/>
        <v>532.46560991330784</v>
      </c>
      <c r="L170" s="3">
        <f t="shared" si="115"/>
        <v>157.15935103653226</v>
      </c>
    </row>
    <row r="171" spans="1:17" x14ac:dyDescent="0.3">
      <c r="B171" s="3">
        <f>Data!I168</f>
        <v>199.98333333333323</v>
      </c>
      <c r="C171" s="3">
        <f>Data!D168/Data!G168</f>
        <v>23.653564090981789</v>
      </c>
      <c r="D171" s="3"/>
      <c r="E171" s="3">
        <f>Data!H168/Data!G168</f>
        <v>6.1290229835486789</v>
      </c>
      <c r="F171" s="3"/>
      <c r="G171" s="3">
        <f t="shared" si="110"/>
        <v>0.16924365318644163</v>
      </c>
      <c r="H171" s="11">
        <f t="shared" si="111"/>
        <v>-4.9769429838710524</v>
      </c>
      <c r="I171" s="3">
        <f t="shared" si="112"/>
        <v>38.30713264632265</v>
      </c>
      <c r="J171" s="3">
        <f t="shared" si="113"/>
        <v>11.279180505336537</v>
      </c>
      <c r="K171" s="3">
        <f t="shared" si="114"/>
        <v>532.46914378388487</v>
      </c>
      <c r="L171" s="3">
        <f t="shared" si="115"/>
        <v>156.78060902417786</v>
      </c>
    </row>
    <row r="172" spans="1:17" x14ac:dyDescent="0.3">
      <c r="A172" t="str">
        <f>Data!A169</f>
        <v>12_T1_1</v>
      </c>
      <c r="B172" s="3">
        <f>Data!I169</f>
        <v>201.76666666666665</v>
      </c>
      <c r="C172" s="3">
        <f>Data!D169/Data!G169</f>
        <v>23.794137865383476</v>
      </c>
      <c r="D172" s="3"/>
      <c r="E172" s="3">
        <f>Data!H169/Data!G169</f>
        <v>5.5715759906437938</v>
      </c>
      <c r="F172" s="3"/>
      <c r="G172" s="3">
        <f t="shared" si="110"/>
        <v>0.31020930399811419</v>
      </c>
      <c r="H172" s="11">
        <f t="shared" si="111"/>
        <v>-5.533434063371228</v>
      </c>
      <c r="I172" s="3">
        <f t="shared" si="112"/>
        <v>38.407192981548015</v>
      </c>
      <c r="J172" s="3">
        <f t="shared" si="113"/>
        <v>10.260129399991101</v>
      </c>
      <c r="K172" s="3">
        <f t="shared" si="114"/>
        <v>533.85998244351742</v>
      </c>
      <c r="L172" s="3">
        <f t="shared" si="115"/>
        <v>142.6157986598763</v>
      </c>
      <c r="M172" s="21">
        <f t="shared" ref="M172:N172" si="128">AVERAGE(K172:K174)</f>
        <v>533.72045035836197</v>
      </c>
      <c r="N172" s="21">
        <f t="shared" si="128"/>
        <v>142.16965890116055</v>
      </c>
      <c r="O172" s="4" t="str">
        <f>Data!A169</f>
        <v>12_T1_1</v>
      </c>
      <c r="P172" s="18">
        <f t="shared" ref="P172:Q172" si="129">STDEV(K172:K174)/SQRT(3)</f>
        <v>7.5046973460139693E-2</v>
      </c>
      <c r="Q172" s="18">
        <f t="shared" si="129"/>
        <v>0.23410956038218164</v>
      </c>
    </row>
    <row r="173" spans="1:17" x14ac:dyDescent="0.3">
      <c r="B173" s="3">
        <f>Data!I170</f>
        <v>201.83333333333326</v>
      </c>
      <c r="C173" s="3">
        <f>Data!D170/Data!G170</f>
        <v>23.768055594751704</v>
      </c>
      <c r="D173" s="3"/>
      <c r="E173" s="3">
        <f>Data!H170/Data!G170</f>
        <v>5.5500833591140459</v>
      </c>
      <c r="F173" s="3"/>
      <c r="G173" s="3">
        <f t="shared" si="110"/>
        <v>0.28414168295176268</v>
      </c>
      <c r="H173" s="11">
        <f t="shared" si="111"/>
        <v>-5.5548909598204261</v>
      </c>
      <c r="I173" s="3">
        <f t="shared" si="112"/>
        <v>38.388689644845726</v>
      </c>
      <c r="J173" s="3">
        <f t="shared" si="113"/>
        <v>10.220837352284825</v>
      </c>
      <c r="K173" s="3">
        <f t="shared" si="114"/>
        <v>533.60278606335567</v>
      </c>
      <c r="L173" s="3">
        <f t="shared" si="115"/>
        <v>142.06963919675906</v>
      </c>
    </row>
    <row r="174" spans="1:17" x14ac:dyDescent="0.3">
      <c r="B174" s="3">
        <f>Data!I171</f>
        <v>201.91666666666663</v>
      </c>
      <c r="C174" s="3">
        <f>Data!D171/Data!G171</f>
        <v>23.77774654455898</v>
      </c>
      <c r="D174" s="3"/>
      <c r="E174" s="3">
        <f>Data!H171/Data!G171</f>
        <v>5.5403701775289065</v>
      </c>
      <c r="F174" s="3"/>
      <c r="G174" s="3">
        <f t="shared" si="110"/>
        <v>0.29385094474081086</v>
      </c>
      <c r="H174" s="11">
        <f t="shared" si="111"/>
        <v>-5.5645594725548779</v>
      </c>
      <c r="I174" s="3">
        <f t="shared" si="112"/>
        <v>38.395581479727547</v>
      </c>
      <c r="J174" s="3">
        <f t="shared" si="113"/>
        <v>10.203132291140019</v>
      </c>
      <c r="K174" s="3">
        <f t="shared" si="114"/>
        <v>533.69858256821294</v>
      </c>
      <c r="L174" s="3">
        <f t="shared" si="115"/>
        <v>141.82353884684628</v>
      </c>
    </row>
    <row r="175" spans="1:17" x14ac:dyDescent="0.3">
      <c r="A175" t="str">
        <f>Data!A172</f>
        <v>grassesIN_T2_1</v>
      </c>
      <c r="B175" s="3">
        <f>Data!I172</f>
        <v>204.61666666666667</v>
      </c>
      <c r="C175" s="3">
        <f>Data!D172/Data!G172</f>
        <v>23.768111397083871</v>
      </c>
      <c r="D175" s="3"/>
      <c r="E175" s="3">
        <f>Data!H172/Data!G172</f>
        <v>6.8783722062873016</v>
      </c>
      <c r="F175" s="3"/>
      <c r="G175" s="3">
        <f t="shared" si="110"/>
        <v>0.28480910547521177</v>
      </c>
      <c r="H175" s="11">
        <f t="shared" si="111"/>
        <v>-4.2251101730342127</v>
      </c>
      <c r="I175" s="3">
        <f t="shared" si="112"/>
        <v>38.389163395160416</v>
      </c>
      <c r="J175" s="3">
        <f t="shared" si="113"/>
        <v>12.655943018055318</v>
      </c>
      <c r="K175" s="3">
        <f t="shared" si="114"/>
        <v>533.60937119272978</v>
      </c>
      <c r="L175" s="3">
        <f t="shared" si="115"/>
        <v>175.91760795096891</v>
      </c>
      <c r="M175" s="21">
        <f t="shared" ref="M175:N175" si="130">AVERAGE(K175:K177)</f>
        <v>533.61904766030796</v>
      </c>
      <c r="N175" s="21">
        <f t="shared" si="130"/>
        <v>176.05801722953211</v>
      </c>
      <c r="O175" s="4" t="str">
        <f>Data!A172</f>
        <v>grassesIN_T2_1</v>
      </c>
      <c r="P175" s="18">
        <f t="shared" ref="P175:Q175" si="131">STDEV(K175:K177)/SQRT(3)</f>
        <v>9.0286334742970722E-2</v>
      </c>
      <c r="Q175" s="18">
        <f t="shared" si="131"/>
        <v>7.2848056531576985E-2</v>
      </c>
    </row>
    <row r="176" spans="1:17" x14ac:dyDescent="0.3">
      <c r="B176" s="3">
        <f>Data!I173</f>
        <v>204.69999999999993</v>
      </c>
      <c r="C176" s="3">
        <f>Data!D173/Data!G173</f>
        <v>23.785391052369711</v>
      </c>
      <c r="D176" s="3"/>
      <c r="E176" s="3">
        <f>Data!H173/Data!G173</f>
        <v>6.8879251402993873</v>
      </c>
      <c r="F176" s="3"/>
      <c r="G176" s="3">
        <f t="shared" si="110"/>
        <v>0.30210707274282811</v>
      </c>
      <c r="H176" s="11">
        <f t="shared" si="111"/>
        <v>-4.2155125701714393</v>
      </c>
      <c r="I176" s="3">
        <f t="shared" si="112"/>
        <v>38.401441850185094</v>
      </c>
      <c r="J176" s="3">
        <f t="shared" si="113"/>
        <v>12.67351822845179</v>
      </c>
      <c r="K176" s="3">
        <f t="shared" si="114"/>
        <v>533.78004171757277</v>
      </c>
      <c r="L176" s="3">
        <f t="shared" si="115"/>
        <v>176.16190337547988</v>
      </c>
    </row>
    <row r="177" spans="1:17" x14ac:dyDescent="0.3">
      <c r="B177" s="3">
        <f>Data!I174</f>
        <v>204.75</v>
      </c>
      <c r="C177" s="3">
        <f>Data!D174/Data!G174</f>
        <v>23.7537263472863</v>
      </c>
      <c r="D177" s="3"/>
      <c r="E177" s="3">
        <f>Data!H174/Data!G174</f>
        <v>6.8852518569646088</v>
      </c>
      <c r="F177" s="3"/>
      <c r="G177" s="3">
        <f t="shared" si="110"/>
        <v>0.2704533548484811</v>
      </c>
      <c r="H177" s="11">
        <f t="shared" si="111"/>
        <v>-4.2181590521958059</v>
      </c>
      <c r="I177" s="3">
        <f t="shared" si="112"/>
        <v>38.378973386375641</v>
      </c>
      <c r="J177" s="3">
        <f t="shared" si="113"/>
        <v>12.668671968499826</v>
      </c>
      <c r="K177" s="3">
        <f t="shared" si="114"/>
        <v>533.46773007062143</v>
      </c>
      <c r="L177" s="3">
        <f t="shared" si="115"/>
        <v>176.0945403621476</v>
      </c>
    </row>
    <row r="178" spans="1:17" x14ac:dyDescent="0.3">
      <c r="A178" t="str">
        <f>Data!A175</f>
        <v>Calibrate_20C</v>
      </c>
      <c r="B178" s="3">
        <f>Data!I175</f>
        <v>219.83333333333326</v>
      </c>
      <c r="C178" s="3">
        <f>Data!D175/Data!G175</f>
        <v>23.450823480621615</v>
      </c>
      <c r="D178" s="3">
        <f t="shared" ref="D178:D180" si="132">B$3/C178</f>
        <v>1.62838631366423</v>
      </c>
      <c r="E178" s="3">
        <f>Data!H175/Data!G175</f>
        <v>11.275847768403995</v>
      </c>
      <c r="F178" s="3">
        <f>C$3/E178</f>
        <v>1.8085558105123714</v>
      </c>
      <c r="G178" s="3">
        <f t="shared" si="110"/>
        <v>-2.9135043114926873E-2</v>
      </c>
      <c r="H178" s="11">
        <f t="shared" si="111"/>
        <v>0.18052192121799138</v>
      </c>
      <c r="I178" s="3">
        <f t="shared" si="112"/>
        <v>38.166319343654997</v>
      </c>
      <c r="J178" s="3">
        <f t="shared" si="113"/>
        <v>20.723573247502017</v>
      </c>
      <c r="K178" s="3">
        <f t="shared" si="114"/>
        <v>530.51183887680452</v>
      </c>
      <c r="L178" s="3">
        <f t="shared" si="115"/>
        <v>288.05766814027805</v>
      </c>
      <c r="M178" s="21">
        <f t="shared" ref="M178:N178" si="133">AVERAGE(K178:K180)</f>
        <v>530.51166984599467</v>
      </c>
      <c r="N178" s="21">
        <f t="shared" si="133"/>
        <v>288.13605607035817</v>
      </c>
      <c r="O178" s="4" t="str">
        <f>Data!A175</f>
        <v>Calibrate_20C</v>
      </c>
      <c r="P178" s="18">
        <f t="shared" ref="P178:Q178" si="134">STDEV(K178:K180)/SQRT(3)</f>
        <v>2.8115092779747934E-2</v>
      </c>
      <c r="Q178" s="18">
        <f t="shared" si="134"/>
        <v>5.481687642426674E-2</v>
      </c>
    </row>
    <row r="179" spans="1:17" x14ac:dyDescent="0.3">
      <c r="B179" s="3">
        <f>Data!I176</f>
        <v>219.91666666666663</v>
      </c>
      <c r="C179" s="3">
        <f>Data!D176/Data!G176</f>
        <v>23.445843930324944</v>
      </c>
      <c r="D179" s="3">
        <f t="shared" si="132"/>
        <v>1.6287321588202157</v>
      </c>
      <c r="E179" s="3">
        <f>Data!H176/Data!G176</f>
        <v>11.277814701837155</v>
      </c>
      <c r="F179" s="3">
        <f>C$3/E179</f>
        <v>1.8082403851411022</v>
      </c>
      <c r="G179" s="3">
        <f t="shared" si="110"/>
        <v>-3.4096281429821573E-2</v>
      </c>
      <c r="H179" s="11">
        <f t="shared" si="111"/>
        <v>0.1825335235018386</v>
      </c>
      <c r="I179" s="3">
        <f t="shared" si="112"/>
        <v>38.162797754061629</v>
      </c>
      <c r="J179" s="3">
        <f t="shared" si="113"/>
        <v>20.727256910378898</v>
      </c>
      <c r="K179" s="3">
        <f t="shared" si="114"/>
        <v>530.46288878145663</v>
      </c>
      <c r="L179" s="3">
        <f t="shared" si="115"/>
        <v>288.10887105426667</v>
      </c>
    </row>
    <row r="180" spans="1:17" x14ac:dyDescent="0.3">
      <c r="B180" s="3">
        <f>Data!I177</f>
        <v>219.98333333333323</v>
      </c>
      <c r="C180" s="3">
        <f>Data!D177/Data!G177</f>
        <v>23.455700362037554</v>
      </c>
      <c r="D180" s="3">
        <f t="shared" si="132"/>
        <v>1.6280477415121091</v>
      </c>
      <c r="E180" s="3">
        <f>Data!H177/Data!G177</f>
        <v>11.282994611712798</v>
      </c>
      <c r="F180" s="3">
        <f>C$3/E180</f>
        <v>1.8074102400820231</v>
      </c>
      <c r="G180" s="3">
        <f t="shared" si="110"/>
        <v>-2.4225200131791524E-2</v>
      </c>
      <c r="H180" s="11">
        <f t="shared" si="111"/>
        <v>0.18774916845803169</v>
      </c>
      <c r="I180" s="3">
        <f t="shared" si="112"/>
        <v>38.169804451778631</v>
      </c>
      <c r="J180" s="3">
        <f t="shared" si="113"/>
        <v>20.736807842915805</v>
      </c>
      <c r="K180" s="3">
        <f t="shared" si="114"/>
        <v>530.56028187972299</v>
      </c>
      <c r="L180" s="3">
        <f t="shared" si="115"/>
        <v>288.24162901652971</v>
      </c>
    </row>
    <row r="181" spans="1:17" x14ac:dyDescent="0.3">
      <c r="A181" t="str">
        <f>Data!A178</f>
        <v>Calibrate_30C</v>
      </c>
      <c r="B181" s="3">
        <f>Data!I178</f>
        <v>224.58333333333326</v>
      </c>
      <c r="C181" s="3">
        <f>Data!D178/Data!G178</f>
        <v>24.527286715300693</v>
      </c>
      <c r="D181" s="3">
        <f>B$4/C181</f>
        <v>1.5843986516355109</v>
      </c>
      <c r="E181" s="3">
        <f>Data!H178/Data!G178</f>
        <v>11.488760093307869</v>
      </c>
      <c r="F181" s="3">
        <f>C$4/E181</f>
        <v>1.7739077006117676</v>
      </c>
      <c r="G181" s="3">
        <f t="shared" si="110"/>
        <v>1.0483719745253275</v>
      </c>
      <c r="H181" s="11">
        <f t="shared" si="111"/>
        <v>0.39598037061104385</v>
      </c>
      <c r="I181" s="3">
        <f t="shared" si="112"/>
        <v>38.931156116102542</v>
      </c>
      <c r="J181" s="3">
        <f t="shared" si="113"/>
        <v>21.11812255673301</v>
      </c>
      <c r="K181" s="3">
        <f t="shared" si="114"/>
        <v>541.14307001382531</v>
      </c>
      <c r="L181" s="3">
        <f t="shared" si="115"/>
        <v>293.54190353858883</v>
      </c>
      <c r="M181" s="21">
        <f t="shared" ref="M181:N181" si="135">AVERAGE(K181:K183)</f>
        <v>541.05659652906741</v>
      </c>
      <c r="N181" s="21">
        <f t="shared" si="135"/>
        <v>293.43449063750433</v>
      </c>
      <c r="O181" s="4" t="str">
        <f>Data!A178</f>
        <v>Calibrate_30C</v>
      </c>
      <c r="P181" s="18">
        <f t="shared" ref="P181:Q181" si="136">STDEV(K181:K183)/SQRT(3)</f>
        <v>4.3320742785131448E-2</v>
      </c>
      <c r="Q181" s="18">
        <f t="shared" si="136"/>
        <v>5.3921515570316339E-2</v>
      </c>
    </row>
    <row r="182" spans="1:17" x14ac:dyDescent="0.3">
      <c r="B182" s="3">
        <f>Data!I179</f>
        <v>224.69999999999993</v>
      </c>
      <c r="C182" s="3">
        <f>Data!D179/Data!G179</f>
        <v>24.51364120122474</v>
      </c>
      <c r="D182" s="3">
        <f t="shared" ref="D182:D183" si="137">B$4/C182</f>
        <v>1.5852806068671039</v>
      </c>
      <c r="E182" s="3">
        <f>Data!H179/Data!G179</f>
        <v>11.482695064266595</v>
      </c>
      <c r="F182" s="3">
        <f>C$4/E182</f>
        <v>1.7748446585001845</v>
      </c>
      <c r="G182" s="3">
        <f t="shared" si="110"/>
        <v>1.0347520972238584</v>
      </c>
      <c r="H182" s="11">
        <f t="shared" si="111"/>
        <v>0.38997787796073169</v>
      </c>
      <c r="I182" s="3">
        <f t="shared" si="112"/>
        <v>38.921488445427691</v>
      </c>
      <c r="J182" s="3">
        <f t="shared" si="113"/>
        <v>21.10713074213713</v>
      </c>
      <c r="K182" s="3">
        <f t="shared" si="114"/>
        <v>541.00868939144493</v>
      </c>
      <c r="L182" s="3">
        <f t="shared" si="115"/>
        <v>293.38911731570613</v>
      </c>
    </row>
    <row r="183" spans="1:17" x14ac:dyDescent="0.3">
      <c r="B183" s="3">
        <f>Data!I180</f>
        <v>224.76666666666665</v>
      </c>
      <c r="C183" s="3">
        <f>Data!D180/Data!G180</f>
        <v>24.514573268644167</v>
      </c>
      <c r="D183" s="3">
        <f t="shared" si="137"/>
        <v>1.5852203329888634</v>
      </c>
      <c r="E183" s="3">
        <f>Data!H180/Data!G180</f>
        <v>11.482004564075735</v>
      </c>
      <c r="F183" s="3">
        <f>C$4/E183</f>
        <v>1.7749513933972665</v>
      </c>
      <c r="G183" s="3">
        <f t="shared" si="110"/>
        <v>1.0356988142287058</v>
      </c>
      <c r="H183" s="11">
        <f t="shared" si="111"/>
        <v>0.38932311285042154</v>
      </c>
      <c r="I183" s="3">
        <f t="shared" si="112"/>
        <v>38.922160444743298</v>
      </c>
      <c r="J183" s="3">
        <f t="shared" si="113"/>
        <v>21.105931730807058</v>
      </c>
      <c r="K183" s="3">
        <f t="shared" si="114"/>
        <v>541.01803018193186</v>
      </c>
      <c r="L183" s="3">
        <f t="shared" si="115"/>
        <v>293.37245105821813</v>
      </c>
    </row>
    <row r="184" spans="1:17" x14ac:dyDescent="0.3">
      <c r="A184" t="str">
        <f>Data!A181</f>
        <v>1_T2_1</v>
      </c>
      <c r="B184" s="3">
        <f>Data!I181</f>
        <v>229.16666666666663</v>
      </c>
      <c r="C184" s="3">
        <f>Data!D181/Data!G181</f>
        <v>23.634369753811082</v>
      </c>
      <c r="D184" s="3"/>
      <c r="E184" s="3">
        <f>Data!H181/Data!G181</f>
        <v>4.2505601741310475</v>
      </c>
      <c r="F184" s="3"/>
      <c r="G184" s="3">
        <f t="shared" si="110"/>
        <v>0.15646217203334345</v>
      </c>
      <c r="H184" s="11">
        <f t="shared" si="111"/>
        <v>-6.8397627617779726</v>
      </c>
      <c r="I184" s="3">
        <f t="shared" si="112"/>
        <v>38.298060086578545</v>
      </c>
      <c r="J184" s="3">
        <f t="shared" si="113"/>
        <v>7.8679693940274475</v>
      </c>
      <c r="K184" s="3">
        <f t="shared" si="114"/>
        <v>532.34303520344179</v>
      </c>
      <c r="L184" s="3">
        <f t="shared" si="115"/>
        <v>109.36477457698152</v>
      </c>
      <c r="M184" s="21">
        <f t="shared" ref="M184:N184" si="138">AVERAGE(K184:K186)</f>
        <v>532.36268390429007</v>
      </c>
      <c r="N184" s="21">
        <f t="shared" si="138"/>
        <v>109.30794907473414</v>
      </c>
      <c r="O184" s="4" t="str">
        <f>Data!A181</f>
        <v>1_T2_1</v>
      </c>
      <c r="P184" s="18">
        <f t="shared" ref="P184:Q184" si="139">STDEV(K184:K186)/SQRT(3)</f>
        <v>1.4558611214318781E-2</v>
      </c>
      <c r="Q184" s="18">
        <f t="shared" si="139"/>
        <v>2.8929372137095229E-2</v>
      </c>
    </row>
    <row r="185" spans="1:17" x14ac:dyDescent="0.3">
      <c r="B185" s="3">
        <f>Data!I182</f>
        <v>229.25</v>
      </c>
      <c r="C185" s="3">
        <f>Data!D182/Data!G182</f>
        <v>23.635452515862127</v>
      </c>
      <c r="D185" s="3"/>
      <c r="E185" s="3">
        <f>Data!H182/Data!G182</f>
        <v>4.2467963951088352</v>
      </c>
      <c r="F185" s="3"/>
      <c r="G185" s="3">
        <f t="shared" si="110"/>
        <v>0.1575632460661609</v>
      </c>
      <c r="H185" s="11">
        <f t="shared" si="111"/>
        <v>-6.843481871949499</v>
      </c>
      <c r="I185" s="3">
        <f t="shared" si="112"/>
        <v>38.298841651705914</v>
      </c>
      <c r="J185" s="3">
        <f t="shared" si="113"/>
        <v>7.8611589284677859</v>
      </c>
      <c r="K185" s="3">
        <f t="shared" si="114"/>
        <v>532.35389895871219</v>
      </c>
      <c r="L185" s="3">
        <f t="shared" si="115"/>
        <v>109.27010910570223</v>
      </c>
    </row>
    <row r="186" spans="1:17" x14ac:dyDescent="0.3">
      <c r="B186" s="3">
        <f>Data!I183</f>
        <v>229.29999999999995</v>
      </c>
      <c r="C186" s="3">
        <f>Data!D183/Data!G183</f>
        <v>23.639213744097074</v>
      </c>
      <c r="D186" s="3"/>
      <c r="E186" s="3">
        <f>Data!H183/Data!G183</f>
        <v>4.2475103255887525</v>
      </c>
      <c r="F186" s="3"/>
      <c r="G186" s="3">
        <f t="shared" si="110"/>
        <v>0.16133546149017519</v>
      </c>
      <c r="H186" s="11">
        <f t="shared" si="111"/>
        <v>-6.842741140159168</v>
      </c>
      <c r="I186" s="3">
        <f t="shared" si="112"/>
        <v>38.301519248252987</v>
      </c>
      <c r="J186" s="3">
        <f t="shared" si="113"/>
        <v>7.8625153626991828</v>
      </c>
      <c r="K186" s="3">
        <f t="shared" si="114"/>
        <v>532.39111755071656</v>
      </c>
      <c r="L186" s="3">
        <f t="shared" si="115"/>
        <v>109.28896354151864</v>
      </c>
    </row>
    <row r="187" spans="1:17" x14ac:dyDescent="0.3">
      <c r="A187" t="str">
        <f>Data!A184</f>
        <v>2_T2_1</v>
      </c>
      <c r="B187" s="3">
        <f>Data!I184</f>
        <v>232.01666666666665</v>
      </c>
      <c r="C187" s="3">
        <f>Data!D184/Data!G184</f>
        <v>24.397609507145123</v>
      </c>
      <c r="D187" s="3"/>
      <c r="E187" s="3">
        <f>Data!H184/Data!G184</f>
        <v>5.5566339303146988</v>
      </c>
      <c r="F187" s="3"/>
      <c r="G187" s="3">
        <f t="shared" si="110"/>
        <v>0.92032819514408715</v>
      </c>
      <c r="H187" s="11">
        <f t="shared" si="111"/>
        <v>-5.5321613309008137</v>
      </c>
      <c r="I187" s="3">
        <f t="shared" si="112"/>
        <v>38.840267992544511</v>
      </c>
      <c r="J187" s="3">
        <f t="shared" si="113"/>
        <v>10.262460038304207</v>
      </c>
      <c r="K187" s="3">
        <f t="shared" si="114"/>
        <v>539.8797250963687</v>
      </c>
      <c r="L187" s="3">
        <f t="shared" si="115"/>
        <v>142.64819453242848</v>
      </c>
      <c r="M187" s="21">
        <f t="shared" ref="M187:N187" si="140">AVERAGE(K187:K189)</f>
        <v>539.96058922228838</v>
      </c>
      <c r="N187" s="21">
        <f t="shared" si="140"/>
        <v>142.80735119102914</v>
      </c>
      <c r="O187" s="4" t="str">
        <f>Data!A184</f>
        <v>2_T2_1</v>
      </c>
      <c r="P187" s="18">
        <f t="shared" ref="P187:Q187" si="141">STDEV(K187:K189)/SQRT(3)</f>
        <v>7.342791812947895E-2</v>
      </c>
      <c r="Q187" s="18">
        <f t="shared" si="141"/>
        <v>8.1411159919447612E-2</v>
      </c>
    </row>
    <row r="188" spans="1:17" x14ac:dyDescent="0.3">
      <c r="B188" s="3">
        <f>Data!I185</f>
        <v>232.13333333333333</v>
      </c>
      <c r="C188" s="3">
        <f>Data!D185/Data!G185</f>
        <v>24.420637605010999</v>
      </c>
      <c r="D188" s="3"/>
      <c r="E188" s="3">
        <f>Data!H185/Data!G185</f>
        <v>5.5647816698271182</v>
      </c>
      <c r="F188" s="3"/>
      <c r="G188" s="3">
        <f t="shared" si="110"/>
        <v>0.94338192978445079</v>
      </c>
      <c r="H188" s="11">
        <f t="shared" si="111"/>
        <v>-5.5239510549974327</v>
      </c>
      <c r="I188" s="3">
        <f t="shared" si="112"/>
        <v>38.856632010324937</v>
      </c>
      <c r="J188" s="3">
        <f t="shared" si="113"/>
        <v>10.277494764003757</v>
      </c>
      <c r="K188" s="3">
        <f t="shared" si="114"/>
        <v>540.10718494351659</v>
      </c>
      <c r="L188" s="3">
        <f t="shared" si="115"/>
        <v>142.85717721965221</v>
      </c>
    </row>
    <row r="189" spans="1:17" x14ac:dyDescent="0.3">
      <c r="B189" s="3">
        <f>Data!I186</f>
        <v>232.23333333333323</v>
      </c>
      <c r="C189" s="3">
        <f>Data!D186/Data!G186</f>
        <v>24.399095623151467</v>
      </c>
      <c r="D189" s="3"/>
      <c r="E189" s="3">
        <f>Data!H186/Data!G186</f>
        <v>5.5670658168119278</v>
      </c>
      <c r="F189" s="3"/>
      <c r="G189" s="3">
        <f t="shared" si="110"/>
        <v>0.92186192230304798</v>
      </c>
      <c r="H189" s="11">
        <f t="shared" si="111"/>
        <v>-5.5216133053917993</v>
      </c>
      <c r="I189" s="3">
        <f t="shared" si="112"/>
        <v>38.841356663811496</v>
      </c>
      <c r="J189" s="3">
        <f t="shared" si="113"/>
        <v>10.281775670576026</v>
      </c>
      <c r="K189" s="3">
        <f t="shared" si="114"/>
        <v>539.89485762697984</v>
      </c>
      <c r="L189" s="3">
        <f t="shared" si="115"/>
        <v>142.91668182100676</v>
      </c>
    </row>
    <row r="190" spans="1:17" x14ac:dyDescent="0.3">
      <c r="A190" t="str">
        <f>Data!A187</f>
        <v>3_T2_1</v>
      </c>
      <c r="B190" s="3">
        <f>Data!I187</f>
        <v>235.33333333333326</v>
      </c>
      <c r="C190" s="3">
        <f>Data!D187/Data!G187</f>
        <v>23.589704274163886</v>
      </c>
      <c r="D190" s="3"/>
      <c r="E190" s="3">
        <f>Data!H187/Data!G187</f>
        <v>7.358899912232455</v>
      </c>
      <c r="F190" s="3"/>
      <c r="G190" s="3">
        <f t="shared" si="110"/>
        <v>0.11315177903749785</v>
      </c>
      <c r="H190" s="11">
        <f t="shared" si="111"/>
        <v>-3.7281175287257016</v>
      </c>
      <c r="I190" s="3">
        <f t="shared" si="112"/>
        <v>38.267317473630257</v>
      </c>
      <c r="J190" s="3">
        <f t="shared" si="113"/>
        <v>13.566040092721869</v>
      </c>
      <c r="K190" s="3">
        <f t="shared" si="114"/>
        <v>531.91571288346063</v>
      </c>
      <c r="L190" s="3">
        <f t="shared" si="115"/>
        <v>188.56795728883398</v>
      </c>
      <c r="M190" s="21">
        <f t="shared" ref="M190:N190" si="142">AVERAGE(K190:K192)</f>
        <v>531.99092546157954</v>
      </c>
      <c r="N190" s="21">
        <f t="shared" si="142"/>
        <v>188.70793739753739</v>
      </c>
      <c r="O190" s="4" t="str">
        <f>Data!A187</f>
        <v>3_T2_1</v>
      </c>
      <c r="P190" s="18">
        <f t="shared" ref="P190:Q190" si="143">STDEV(K190:K192)/SQRT(3)</f>
        <v>5.4102479424706258E-2</v>
      </c>
      <c r="Q190" s="18">
        <f t="shared" si="143"/>
        <v>9.5318573045656482E-2</v>
      </c>
    </row>
    <row r="191" spans="1:17" x14ac:dyDescent="0.3">
      <c r="B191" s="3">
        <f>Data!I188</f>
        <v>235.39999999999998</v>
      </c>
      <c r="C191" s="3">
        <f>Data!D188/Data!G188</f>
        <v>23.594296139109392</v>
      </c>
      <c r="D191" s="3"/>
      <c r="E191" s="3">
        <f>Data!H188/Data!G188</f>
        <v>7.3627101258255729</v>
      </c>
      <c r="F191" s="3"/>
      <c r="G191" s="3">
        <f t="shared" si="110"/>
        <v>0.11775829356842493</v>
      </c>
      <c r="H191" s="11">
        <f t="shared" si="111"/>
        <v>-3.7242715800520338</v>
      </c>
      <c r="I191" s="3">
        <f t="shared" si="112"/>
        <v>38.270587272943288</v>
      </c>
      <c r="J191" s="3">
        <f t="shared" si="113"/>
        <v>13.573082826004356</v>
      </c>
      <c r="K191" s="3">
        <f t="shared" si="114"/>
        <v>531.96116309391175</v>
      </c>
      <c r="L191" s="3">
        <f t="shared" si="115"/>
        <v>188.66585128146056</v>
      </c>
    </row>
    <row r="192" spans="1:17" x14ac:dyDescent="0.3">
      <c r="B192" s="3">
        <f>Data!I189</f>
        <v>235.46666666666658</v>
      </c>
      <c r="C192" s="3">
        <f>Data!D189/Data!G189</f>
        <v>23.607937518530786</v>
      </c>
      <c r="D192" s="3"/>
      <c r="E192" s="3">
        <f>Data!H189/Data!G189</f>
        <v>7.3714806348759288</v>
      </c>
      <c r="F192" s="3"/>
      <c r="G192" s="3">
        <f t="shared" si="110"/>
        <v>0.13141432257523533</v>
      </c>
      <c r="H192" s="11">
        <f t="shared" si="111"/>
        <v>-3.7154653359211283</v>
      </c>
      <c r="I192" s="3">
        <f t="shared" si="112"/>
        <v>38.280280604846489</v>
      </c>
      <c r="J192" s="3">
        <f t="shared" si="113"/>
        <v>13.589208893691911</v>
      </c>
      <c r="K192" s="3">
        <f t="shared" si="114"/>
        <v>532.09590040736623</v>
      </c>
      <c r="L192" s="3">
        <f t="shared" si="115"/>
        <v>188.89000362231758</v>
      </c>
    </row>
    <row r="193" spans="1:17" x14ac:dyDescent="0.3">
      <c r="A193" t="str">
        <f>Data!A190</f>
        <v>Calibrate_20C</v>
      </c>
      <c r="B193" s="3">
        <f>Data!I190</f>
        <v>238.38333333333333</v>
      </c>
      <c r="C193" s="3">
        <f>Data!D190/Data!G190</f>
        <v>23.507787970910599</v>
      </c>
      <c r="D193" s="3">
        <f t="shared" ref="D193:D195" si="144">B$3/C193</f>
        <v>1.6244403789609638</v>
      </c>
      <c r="E193" s="3">
        <f>Data!H190/Data!G190</f>
        <v>10.992424794231189</v>
      </c>
      <c r="F193" s="3">
        <f>C$3/E193</f>
        <v>1.8551866746181627</v>
      </c>
      <c r="G193" s="3">
        <f t="shared" si="110"/>
        <v>3.1905694317174493E-2</v>
      </c>
      <c r="H193" s="11">
        <f t="shared" si="111"/>
        <v>-9.295776679181067E-2</v>
      </c>
      <c r="I193" s="3">
        <f t="shared" si="112"/>
        <v>38.209647321887225</v>
      </c>
      <c r="J193" s="3">
        <f t="shared" si="113"/>
        <v>20.222774962278425</v>
      </c>
      <c r="K193" s="3">
        <f t="shared" si="114"/>
        <v>531.11409777423239</v>
      </c>
      <c r="L193" s="3">
        <f t="shared" si="115"/>
        <v>281.09657197567014</v>
      </c>
      <c r="M193" s="21">
        <f t="shared" ref="M193:N193" si="145">AVERAGE(K193:K195)</f>
        <v>531.12843581958361</v>
      </c>
      <c r="N193" s="21">
        <f t="shared" si="145"/>
        <v>281.45709370406149</v>
      </c>
      <c r="O193" s="4" t="str">
        <f>Data!A190</f>
        <v>Calibrate_20C</v>
      </c>
      <c r="P193" s="18">
        <f t="shared" ref="P193:Q193" si="146">STDEV(K193:K195)/SQRT(3)</f>
        <v>9.8507293078500414E-3</v>
      </c>
      <c r="Q193" s="18">
        <f t="shared" si="146"/>
        <v>0.19614736932182428</v>
      </c>
    </row>
    <row r="194" spans="1:17" x14ac:dyDescent="0.3">
      <c r="B194" s="3">
        <f>Data!I191</f>
        <v>238.48333333333323</v>
      </c>
      <c r="C194" s="3">
        <f>Data!D191/Data!G191</f>
        <v>23.511131787704674</v>
      </c>
      <c r="D194" s="3">
        <f t="shared" si="144"/>
        <v>1.6242093466538341</v>
      </c>
      <c r="E194" s="3">
        <f>Data!H191/Data!G191</f>
        <v>11.008354835924836</v>
      </c>
      <c r="F194" s="3">
        <f>C$3/E194</f>
        <v>1.8525020590224044</v>
      </c>
      <c r="G194" s="3">
        <f t="shared" si="110"/>
        <v>3.5271485489378307E-2</v>
      </c>
      <c r="H194" s="11">
        <f t="shared" si="111"/>
        <v>-7.6974122477338369E-2</v>
      </c>
      <c r="I194" s="3">
        <f t="shared" si="112"/>
        <v>38.212036430092311</v>
      </c>
      <c r="J194" s="3">
        <f t="shared" si="113"/>
        <v>20.252044345034282</v>
      </c>
      <c r="K194" s="3">
        <f t="shared" si="114"/>
        <v>531.14730637828313</v>
      </c>
      <c r="L194" s="3">
        <f t="shared" si="115"/>
        <v>281.5034163959765</v>
      </c>
    </row>
    <row r="195" spans="1:17" x14ac:dyDescent="0.3">
      <c r="B195" s="3">
        <f>Data!I192</f>
        <v>238.54999999999995</v>
      </c>
      <c r="C195" s="3">
        <f>Data!D192/Data!G192</f>
        <v>23.508745166892133</v>
      </c>
      <c r="D195" s="3">
        <f t="shared" si="144"/>
        <v>1.6243742372850918</v>
      </c>
      <c r="E195" s="3">
        <f>Data!H192/Data!G192</f>
        <v>11.018843124274435</v>
      </c>
      <c r="F195" s="3">
        <f>C$3/E195</f>
        <v>1.8507387545135627</v>
      </c>
      <c r="G195" s="3">
        <f t="shared" si="110"/>
        <v>3.2899514262258123E-2</v>
      </c>
      <c r="H195" s="11">
        <f t="shared" si="111"/>
        <v>-6.6450099047189681E-2</v>
      </c>
      <c r="I195" s="3">
        <f t="shared" si="112"/>
        <v>38.210352755844262</v>
      </c>
      <c r="J195" s="3">
        <f t="shared" si="113"/>
        <v>20.271316024499129</v>
      </c>
      <c r="K195" s="3">
        <f t="shared" si="114"/>
        <v>531.12390330623521</v>
      </c>
      <c r="L195" s="3">
        <f t="shared" si="115"/>
        <v>281.77129274053789</v>
      </c>
    </row>
    <row r="196" spans="1:17" x14ac:dyDescent="0.3">
      <c r="A196" t="str">
        <f>Data!A193</f>
        <v>Calibrate_30C</v>
      </c>
      <c r="B196" s="3">
        <f>Data!I193</f>
        <v>241.38333333333333</v>
      </c>
      <c r="C196" s="3">
        <f>Data!D193/Data!G193</f>
        <v>24.507548123453628</v>
      </c>
      <c r="D196" s="3">
        <f>B$4/C196</f>
        <v>1.5856747400532563</v>
      </c>
      <c r="E196" s="3">
        <f>Data!H193/Data!G193</f>
        <v>11.344213247194245</v>
      </c>
      <c r="F196" s="3">
        <f>C$4/E196</f>
        <v>1.796510657540801</v>
      </c>
      <c r="G196" s="3">
        <f t="shared" si="110"/>
        <v>1.0323250782041029</v>
      </c>
      <c r="H196" s="11">
        <f t="shared" si="111"/>
        <v>0.26043876479599071</v>
      </c>
      <c r="I196" s="3">
        <f t="shared" si="112"/>
        <v>38.919765697117612</v>
      </c>
      <c r="J196" s="3">
        <f t="shared" si="113"/>
        <v>20.869917637886541</v>
      </c>
      <c r="K196" s="3">
        <f t="shared" si="114"/>
        <v>540.98474318993476</v>
      </c>
      <c r="L196" s="3">
        <f t="shared" si="115"/>
        <v>290.09185516662291</v>
      </c>
      <c r="M196" s="21">
        <f t="shared" ref="M196:N196" si="147">AVERAGE(K196:K198)</f>
        <v>541.06901073138738</v>
      </c>
      <c r="N196" s="21">
        <f t="shared" si="147"/>
        <v>290.16631539265006</v>
      </c>
      <c r="O196" s="4" t="str">
        <f>Data!A193</f>
        <v>Calibrate_30C</v>
      </c>
      <c r="P196" s="18">
        <f t="shared" ref="P196:Q196" si="148">STDEV(K196:K198)/SQRT(3)</f>
        <v>6.6229837593746774E-2</v>
      </c>
      <c r="Q196" s="18">
        <f t="shared" si="148"/>
        <v>7.7382103398202048E-2</v>
      </c>
    </row>
    <row r="197" spans="1:17" x14ac:dyDescent="0.3">
      <c r="B197" s="3">
        <f>Data!I194</f>
        <v>241.46666666666658</v>
      </c>
      <c r="C197" s="3">
        <f>Data!D194/Data!G194</f>
        <v>24.511370558267586</v>
      </c>
      <c r="D197" s="3">
        <f t="shared" ref="D197:D198" si="149">B$4/C197</f>
        <v>1.5854274614151407</v>
      </c>
      <c r="E197" s="3">
        <f>Data!H194/Data!G194</f>
        <v>11.343940422572038</v>
      </c>
      <c r="F197" s="3">
        <f>C$4/E197</f>
        <v>1.7965538640742609</v>
      </c>
      <c r="G197" s="3">
        <f t="shared" si="110"/>
        <v>1.0361658249998378</v>
      </c>
      <c r="H197" s="11">
        <f t="shared" si="111"/>
        <v>0.26021060902447068</v>
      </c>
      <c r="I197" s="3">
        <f t="shared" si="112"/>
        <v>38.922491938650104</v>
      </c>
      <c r="J197" s="3">
        <f t="shared" si="113"/>
        <v>20.869499837135148</v>
      </c>
      <c r="K197" s="3">
        <f t="shared" si="114"/>
        <v>541.02263794723649</v>
      </c>
      <c r="L197" s="3">
        <f t="shared" si="115"/>
        <v>290.08604773617856</v>
      </c>
    </row>
    <row r="198" spans="1:17" x14ac:dyDescent="0.3">
      <c r="B198" s="3">
        <f>Data!I195</f>
        <v>241.51666666666665</v>
      </c>
      <c r="C198" s="3">
        <f>Data!D195/Data!G195</f>
        <v>24.529300378264121</v>
      </c>
      <c r="D198" s="3">
        <f t="shared" si="149"/>
        <v>1.5842685849464939</v>
      </c>
      <c r="E198" s="3">
        <f>Data!H195/Data!G195</f>
        <v>11.353145860719547</v>
      </c>
      <c r="F198" s="3">
        <f>C$4/E198</f>
        <v>1.7950971695441904</v>
      </c>
      <c r="G198" s="3">
        <f t="shared" si="110"/>
        <v>1.0541066321854373</v>
      </c>
      <c r="H198" s="11">
        <f t="shared" si="111"/>
        <v>0.26944284848239164</v>
      </c>
      <c r="I198" s="3">
        <f t="shared" si="112"/>
        <v>38.935226694747548</v>
      </c>
      <c r="J198" s="3">
        <f t="shared" si="113"/>
        <v>20.886405991017899</v>
      </c>
      <c r="K198" s="3">
        <f t="shared" si="114"/>
        <v>541.19965105699089</v>
      </c>
      <c r="L198" s="3">
        <f t="shared" si="115"/>
        <v>290.32104327514878</v>
      </c>
    </row>
    <row r="199" spans="1:17" x14ac:dyDescent="0.3">
      <c r="A199" t="str">
        <f>Data!A196</f>
        <v>openwaterIN_T2_1</v>
      </c>
      <c r="B199" s="3">
        <f>Data!I196</f>
        <v>245.13333333333333</v>
      </c>
      <c r="C199" s="3">
        <f>Data!D196/Data!G196</f>
        <v>23.587491733328406</v>
      </c>
      <c r="D199" s="3">
        <f t="shared" ref="D199:D210" si="150">B$3/C199</f>
        <v>1.6189512828124464</v>
      </c>
      <c r="E199" s="3">
        <f>Data!H196/Data!G196</f>
        <v>8.4731241173764875</v>
      </c>
      <c r="F199" s="3">
        <f>C$3/E199</f>
        <v>2.4067864128389793</v>
      </c>
      <c r="G199" s="3">
        <f t="shared" si="110"/>
        <v>0.1130927272587563</v>
      </c>
      <c r="H199" s="11">
        <f t="shared" si="111"/>
        <v>-2.6086402667408368</v>
      </c>
      <c r="I199" s="3">
        <f t="shared" si="112"/>
        <v>38.267275557456045</v>
      </c>
      <c r="J199" s="3">
        <f t="shared" si="113"/>
        <v>15.616036190160481</v>
      </c>
      <c r="K199" s="3">
        <f t="shared" si="114"/>
        <v>531.915130248639</v>
      </c>
      <c r="L199" s="3">
        <f t="shared" si="115"/>
        <v>217.06290304323068</v>
      </c>
      <c r="M199" s="21">
        <f t="shared" ref="M199:N199" si="151">AVERAGE(K199:K201)</f>
        <v>531.94666892810073</v>
      </c>
      <c r="N199" s="21">
        <f t="shared" si="151"/>
        <v>216.87871378106345</v>
      </c>
      <c r="O199" s="4" t="str">
        <f>Data!A196</f>
        <v>openwaterIN_T2_1</v>
      </c>
      <c r="P199" s="18">
        <f t="shared" ref="P199:Q199" si="152">STDEV(K199:K201)/SQRT(3)</f>
        <v>2.5183862145433986E-2</v>
      </c>
      <c r="Q199" s="18">
        <f t="shared" si="152"/>
        <v>9.2442425086020824E-2</v>
      </c>
    </row>
    <row r="200" spans="1:17" x14ac:dyDescent="0.3">
      <c r="B200" s="3">
        <f>Data!I197</f>
        <v>245.26666666666665</v>
      </c>
      <c r="C200" s="3">
        <f>Data!D197/Data!G197</f>
        <v>23.588810251335257</v>
      </c>
      <c r="D200" s="3">
        <f t="shared" si="150"/>
        <v>1.6188607900577945</v>
      </c>
      <c r="E200" s="3">
        <f>Data!H197/Data!G197</f>
        <v>8.4627434610910779</v>
      </c>
      <c r="F200" s="3">
        <f t="shared" ref="F200:F201" si="153">C$3/E200</f>
        <v>2.4097386496188067</v>
      </c>
      <c r="G200" s="3">
        <f t="shared" si="110"/>
        <v>0.11444054443644802</v>
      </c>
      <c r="H200" s="11">
        <f t="shared" si="111"/>
        <v>-2.6189494528651469</v>
      </c>
      <c r="I200" s="3">
        <f t="shared" si="112"/>
        <v>38.268232265972244</v>
      </c>
      <c r="J200" s="3">
        <f t="shared" si="113"/>
        <v>15.597157922561607</v>
      </c>
      <c r="K200" s="3">
        <f t="shared" si="114"/>
        <v>531.92842849701424</v>
      </c>
      <c r="L200" s="3">
        <f t="shared" si="115"/>
        <v>216.80049512360634</v>
      </c>
    </row>
    <row r="201" spans="1:17" x14ac:dyDescent="0.3">
      <c r="B201" s="3">
        <f>Data!I198</f>
        <v>245.2833333333333</v>
      </c>
      <c r="C201" s="3">
        <f>Data!D198/Data!G198</f>
        <v>23.595700572571022</v>
      </c>
      <c r="D201" s="3">
        <f t="shared" si="150"/>
        <v>1.6183880568645088</v>
      </c>
      <c r="E201" s="3">
        <f>Data!H198/Data!G198</f>
        <v>8.4616442401453398</v>
      </c>
      <c r="F201" s="3">
        <f t="shared" si="153"/>
        <v>2.4100516898651514</v>
      </c>
      <c r="G201" s="3">
        <f t="shared" si="110"/>
        <v>0.12133452806856937</v>
      </c>
      <c r="H201" s="11">
        <f t="shared" si="111"/>
        <v>-2.6200397400407471</v>
      </c>
      <c r="I201" s="3">
        <f t="shared" si="112"/>
        <v>38.273125758176171</v>
      </c>
      <c r="J201" s="3">
        <f t="shared" si="113"/>
        <v>15.595161379593772</v>
      </c>
      <c r="K201" s="3">
        <f t="shared" si="114"/>
        <v>531.99644803864874</v>
      </c>
      <c r="L201" s="3">
        <f t="shared" si="115"/>
        <v>216.77274317635343</v>
      </c>
    </row>
    <row r="202" spans="1:17" x14ac:dyDescent="0.3">
      <c r="A202" t="str">
        <f>Data!A199</f>
        <v>4_T2_1</v>
      </c>
      <c r="B202" s="3">
        <f>Data!I199</f>
        <v>248.04999999999995</v>
      </c>
      <c r="C202" s="3">
        <f>Data!D199/Data!G199</f>
        <v>23.521102336545848</v>
      </c>
      <c r="D202" s="3">
        <f>B$4/C202</f>
        <v>1.6521759670940177</v>
      </c>
      <c r="E202" s="3">
        <f>Data!H199/Data!G199</f>
        <v>5.2284659105356655</v>
      </c>
      <c r="F202" s="3">
        <f t="shared" ref="F202:F204" si="154">C$4/E202</f>
        <v>3.897892871202068</v>
      </c>
      <c r="G202" s="3">
        <f t="shared" si="110"/>
        <v>4.734424983832497E-2</v>
      </c>
      <c r="H202" s="11">
        <f t="shared" si="111"/>
        <v>-5.8517350638076016</v>
      </c>
      <c r="I202" s="3">
        <f t="shared" si="112"/>
        <v>38.220605927986988</v>
      </c>
      <c r="J202" s="3">
        <f t="shared" si="113"/>
        <v>9.6772539536882043</v>
      </c>
      <c r="K202" s="3">
        <f t="shared" si="114"/>
        <v>531.26642239901912</v>
      </c>
      <c r="L202" s="3">
        <f t="shared" si="115"/>
        <v>134.51382995626605</v>
      </c>
      <c r="M202" s="21">
        <f t="shared" ref="M202:N202" si="155">AVERAGE(K202:K204)</f>
        <v>531.15103724038272</v>
      </c>
      <c r="N202" s="21">
        <f t="shared" si="155"/>
        <v>134.19133494849666</v>
      </c>
      <c r="O202" s="4" t="str">
        <f>Data!A199</f>
        <v>4_T2_1</v>
      </c>
      <c r="P202" s="18">
        <f t="shared" ref="P202:Q202" si="156">STDEV(K202:K204)/SQRT(3)</f>
        <v>8.2084235078789869E-2</v>
      </c>
      <c r="Q202" s="18">
        <f t="shared" si="156"/>
        <v>0.1933475202128285</v>
      </c>
    </row>
    <row r="203" spans="1:17" x14ac:dyDescent="0.3">
      <c r="B203" s="3">
        <f>Data!I200</f>
        <v>248.11666666666667</v>
      </c>
      <c r="C203" s="3">
        <f>Data!D200/Data!G200</f>
        <v>23.513796013331053</v>
      </c>
      <c r="D203" s="3">
        <f t="shared" ref="D203:D204" si="157">B$4/C203</f>
        <v>1.6526893393975139</v>
      </c>
      <c r="E203" s="3">
        <f>Data!H200/Data!G200</f>
        <v>5.2166852851588903</v>
      </c>
      <c r="F203" s="3">
        <f t="shared" si="154"/>
        <v>3.9066953220236789</v>
      </c>
      <c r="G203" s="3">
        <f t="shared" si="110"/>
        <v>4.0052576208950086E-2</v>
      </c>
      <c r="H203" s="11">
        <f t="shared" si="111"/>
        <v>-5.8634799541038269</v>
      </c>
      <c r="I203" s="3">
        <f t="shared" si="112"/>
        <v>38.215430147195654</v>
      </c>
      <c r="J203" s="3">
        <f t="shared" si="113"/>
        <v>9.6557466126374205</v>
      </c>
      <c r="K203" s="3">
        <f t="shared" si="114"/>
        <v>531.19447904601964</v>
      </c>
      <c r="L203" s="3">
        <f t="shared" si="115"/>
        <v>134.21487791566014</v>
      </c>
    </row>
    <row r="204" spans="1:17" x14ac:dyDescent="0.3">
      <c r="B204" s="3">
        <f>Data!I201</f>
        <v>248.19999999999993</v>
      </c>
      <c r="C204" s="3">
        <f>Data!D201/Data!G201</f>
        <v>23.493277157600513</v>
      </c>
      <c r="D204" s="3">
        <f t="shared" si="157"/>
        <v>1.6541327861288921</v>
      </c>
      <c r="E204" s="3">
        <f>Data!H201/Data!G201</f>
        <v>5.2021209374603847</v>
      </c>
      <c r="F204" s="3">
        <f t="shared" si="154"/>
        <v>3.9176328741694495</v>
      </c>
      <c r="G204" s="3">
        <f t="shared" si="110"/>
        <v>1.9552032460186552E-2</v>
      </c>
      <c r="H204" s="11">
        <f t="shared" si="111"/>
        <v>-5.8779996329516448</v>
      </c>
      <c r="I204" s="3">
        <f t="shared" si="112"/>
        <v>38.200878437130172</v>
      </c>
      <c r="J204" s="3">
        <f t="shared" si="113"/>
        <v>9.6291580556520699</v>
      </c>
      <c r="K204" s="3">
        <f t="shared" si="114"/>
        <v>530.9922102761094</v>
      </c>
      <c r="L204" s="3">
        <f t="shared" si="115"/>
        <v>133.84529697356376</v>
      </c>
    </row>
    <row r="205" spans="1:17" x14ac:dyDescent="0.3">
      <c r="A205" t="str">
        <f>Data!A202</f>
        <v>5_T2_1</v>
      </c>
      <c r="B205" s="3">
        <f>Data!I202</f>
        <v>250.19999999999993</v>
      </c>
      <c r="C205" s="3">
        <f>Data!D202/Data!G202</f>
        <v>23.714836143657699</v>
      </c>
      <c r="D205" s="3">
        <f t="shared" si="150"/>
        <v>1.6102578052268237</v>
      </c>
      <c r="E205" s="3">
        <f>Data!H202/Data!G202</f>
        <v>5.2778839037737644</v>
      </c>
      <c r="F205" s="3">
        <f>C$3/E205</f>
        <v>3.8638591473030899</v>
      </c>
      <c r="G205" s="3">
        <f t="shared" si="110"/>
        <v>0.24155050607997097</v>
      </c>
      <c r="H205" s="11">
        <f t="shared" si="111"/>
        <v>-5.8011646142217685</v>
      </c>
      <c r="I205" s="3">
        <f t="shared" si="112"/>
        <v>38.358457546381338</v>
      </c>
      <c r="J205" s="3">
        <f t="shared" si="113"/>
        <v>9.7698589826754532</v>
      </c>
      <c r="K205" s="3">
        <f t="shared" si="114"/>
        <v>533.1825598947006</v>
      </c>
      <c r="L205" s="3">
        <f t="shared" si="115"/>
        <v>135.80103985918879</v>
      </c>
      <c r="M205" s="21">
        <f t="shared" ref="M205:N205" si="158">AVERAGE(K205:K207)</f>
        <v>533.25086949403669</v>
      </c>
      <c r="N205" s="21">
        <f t="shared" si="158"/>
        <v>135.83019847975183</v>
      </c>
      <c r="O205" s="4" t="str">
        <f>Data!A202</f>
        <v>5_T2_1</v>
      </c>
      <c r="P205" s="18">
        <f t="shared" ref="P205:Q205" si="159">STDEV(K205:K207)/SQRT(3)</f>
        <v>3.5184479206338687E-2</v>
      </c>
      <c r="Q205" s="18">
        <f t="shared" si="159"/>
        <v>1.519113259075725E-2</v>
      </c>
    </row>
    <row r="206" spans="1:17" x14ac:dyDescent="0.3">
      <c r="B206" s="3">
        <f>Data!I203</f>
        <v>250.25</v>
      </c>
      <c r="C206" s="3">
        <f>Data!D203/Data!G203</f>
        <v>23.723726898911384</v>
      </c>
      <c r="D206" s="3">
        <f t="shared" si="150"/>
        <v>1.6096543415255844</v>
      </c>
      <c r="E206" s="3">
        <f>Data!H203/Data!G203</f>
        <v>5.2792850177093351</v>
      </c>
      <c r="F206" s="3">
        <f t="shared" ref="F206:F207" si="160">C$3/E206</f>
        <v>3.8628336851660374</v>
      </c>
      <c r="G206" s="3">
        <f t="shared" si="110"/>
        <v>0.25045224852271986</v>
      </c>
      <c r="H206" s="11">
        <f t="shared" si="111"/>
        <v>-5.7997366989757859</v>
      </c>
      <c r="I206" s="3">
        <f t="shared" si="112"/>
        <v>38.364776187325305</v>
      </c>
      <c r="J206" s="3">
        <f t="shared" si="113"/>
        <v>9.7724737929812449</v>
      </c>
      <c r="K206" s="3">
        <f t="shared" si="114"/>
        <v>533.27038900382172</v>
      </c>
      <c r="L206" s="3">
        <f t="shared" si="115"/>
        <v>135.83738572243931</v>
      </c>
    </row>
    <row r="207" spans="1:17" x14ac:dyDescent="0.3">
      <c r="B207" s="3">
        <f>Data!I204</f>
        <v>250.29999999999995</v>
      </c>
      <c r="C207" s="3">
        <f>Data!D204/Data!G204</f>
        <v>23.726682572375445</v>
      </c>
      <c r="D207" s="3">
        <f t="shared" si="150"/>
        <v>1.6094538241288077</v>
      </c>
      <c r="E207" s="3">
        <f>Data!H204/Data!G204</f>
        <v>5.2798390388129697</v>
      </c>
      <c r="F207" s="3">
        <f t="shared" si="160"/>
        <v>3.862428352472052</v>
      </c>
      <c r="G207" s="3">
        <f t="shared" si="110"/>
        <v>0.25341890917584919</v>
      </c>
      <c r="H207" s="11">
        <f t="shared" si="111"/>
        <v>-5.7991558765617395</v>
      </c>
      <c r="I207" s="3">
        <f t="shared" si="112"/>
        <v>38.36688198443079</v>
      </c>
      <c r="J207" s="3">
        <f t="shared" si="113"/>
        <v>9.7735373998293102</v>
      </c>
      <c r="K207" s="3">
        <f t="shared" si="114"/>
        <v>533.29965958358798</v>
      </c>
      <c r="L207" s="3">
        <f t="shared" si="115"/>
        <v>135.85216985762742</v>
      </c>
    </row>
    <row r="208" spans="1:17" x14ac:dyDescent="0.3">
      <c r="A208" t="str">
        <f>Data!A205</f>
        <v>Calibrate_20C</v>
      </c>
      <c r="B208" s="3">
        <f>Data!I205</f>
        <v>253.75</v>
      </c>
      <c r="C208" s="3">
        <f>Data!D205/Data!G205</f>
        <v>23.460172863112771</v>
      </c>
      <c r="D208" s="3">
        <f t="shared" si="150"/>
        <v>1.62773736676266</v>
      </c>
      <c r="E208" s="3">
        <f>Data!H205/Data!G205</f>
        <v>10.995129069068144</v>
      </c>
      <c r="F208" s="3">
        <f>C$3/E208</f>
        <v>1.8547303876013839</v>
      </c>
      <c r="G208" s="3">
        <f t="shared" si="110"/>
        <v>-1.2332684041339803E-2</v>
      </c>
      <c r="H208" s="11">
        <f t="shared" si="111"/>
        <v>-8.20165558881083E-2</v>
      </c>
      <c r="I208" s="3">
        <f t="shared" si="112"/>
        <v>38.178246005730472</v>
      </c>
      <c r="J208" s="3">
        <f t="shared" si="113"/>
        <v>20.242810598923757</v>
      </c>
      <c r="K208" s="3">
        <f t="shared" si="114"/>
        <v>530.67761947965357</v>
      </c>
      <c r="L208" s="3">
        <f t="shared" si="115"/>
        <v>281.37506732504022</v>
      </c>
      <c r="M208" s="21">
        <f t="shared" ref="M208:N208" si="161">AVERAGE(K208:K210)</f>
        <v>530.801265910437</v>
      </c>
      <c r="N208" s="21">
        <f t="shared" si="161"/>
        <v>281.70179482998543</v>
      </c>
      <c r="O208" s="4" t="str">
        <f>Data!A205</f>
        <v>Calibrate_20C</v>
      </c>
      <c r="P208" s="18">
        <f t="shared" ref="P208:Q208" si="162">STDEV(K208:K210)/SQRT(3)</f>
        <v>0.10783647171280041</v>
      </c>
      <c r="Q208" s="18">
        <f t="shared" si="162"/>
        <v>0.24806713442452863</v>
      </c>
    </row>
    <row r="209" spans="1:17" x14ac:dyDescent="0.3">
      <c r="B209" s="3">
        <f>Data!I206</f>
        <v>253.79999999999995</v>
      </c>
      <c r="C209" s="3">
        <f>Data!D206/Data!G206</f>
        <v>23.463449200052057</v>
      </c>
      <c r="D209" s="3">
        <f t="shared" si="150"/>
        <v>1.6275100763921475</v>
      </c>
      <c r="E209" s="3">
        <f>Data!H206/Data!G206</f>
        <v>11.001653402490225</v>
      </c>
      <c r="F209" s="3">
        <f>C$3/E209</f>
        <v>1.8536304729781838</v>
      </c>
      <c r="G209" s="3">
        <f t="shared" si="110"/>
        <v>-9.0453599129887152E-3</v>
      </c>
      <c r="H209" s="11">
        <f t="shared" si="111"/>
        <v>-7.546542115561472E-2</v>
      </c>
      <c r="I209" s="3">
        <f t="shared" si="112"/>
        <v>38.18057941640452</v>
      </c>
      <c r="J209" s="3">
        <f t="shared" si="113"/>
        <v>20.254807091475644</v>
      </c>
      <c r="K209" s="3">
        <f t="shared" si="114"/>
        <v>530.7100538880228</v>
      </c>
      <c r="L209" s="3">
        <f t="shared" si="115"/>
        <v>281.54181857151144</v>
      </c>
    </row>
    <row r="210" spans="1:17" x14ac:dyDescent="0.3">
      <c r="B210" s="3">
        <f>Data!I207</f>
        <v>253.89999999999998</v>
      </c>
      <c r="C210" s="3">
        <f>Data!D207/Data!G207</f>
        <v>23.494448382218604</v>
      </c>
      <c r="D210" s="3">
        <f t="shared" si="150"/>
        <v>1.625362697551189</v>
      </c>
      <c r="E210" s="3">
        <f>Data!H207/Data!G207</f>
        <v>11.027005834558121</v>
      </c>
      <c r="F210" s="3">
        <f>C$3/E210</f>
        <v>1.8493687503174516</v>
      </c>
      <c r="G210" s="3">
        <f t="shared" si="110"/>
        <v>2.1975796631686251E-2</v>
      </c>
      <c r="H210" s="11">
        <f t="shared" si="111"/>
        <v>-5.005938646689323E-2</v>
      </c>
      <c r="I210" s="3">
        <f t="shared" si="112"/>
        <v>38.20259887508162</v>
      </c>
      <c r="J210" s="3">
        <f t="shared" si="113"/>
        <v>20.301330834057897</v>
      </c>
      <c r="K210" s="3">
        <f t="shared" si="114"/>
        <v>531.0161243636345</v>
      </c>
      <c r="L210" s="3">
        <f t="shared" si="115"/>
        <v>282.18849859340474</v>
      </c>
    </row>
    <row r="211" spans="1:17" x14ac:dyDescent="0.3">
      <c r="A211" t="str">
        <f>Data!A208</f>
        <v>Calibrate_30C</v>
      </c>
      <c r="B211" s="3">
        <f>Data!I208</f>
        <v>256.98333333333323</v>
      </c>
      <c r="C211" s="3">
        <f>Data!D208/Data!G208</f>
        <v>24.508788655350088</v>
      </c>
      <c r="D211" s="3">
        <f>B$4/C211</f>
        <v>1.5855944798608774</v>
      </c>
      <c r="E211" s="3">
        <f>Data!H208/Data!G208</f>
        <v>11.354297848296572</v>
      </c>
      <c r="F211" s="3">
        <f>C$4/E211</f>
        <v>1.7949150420655478</v>
      </c>
      <c r="G211" s="3">
        <f t="shared" ref="G211:G258" si="163">C211-(G$3+G$4*B211)</f>
        <v>1.0369936130888462</v>
      </c>
      <c r="H211" s="11">
        <f t="shared" ref="H211:H258" si="164">E211-(H$3+H$4*B211)</f>
        <v>0.27888537474698794</v>
      </c>
      <c r="I211" s="3">
        <f t="shared" ref="I211:I258" si="165">G211*(B$7/B$9)+B$3</f>
        <v>38.923079519760854</v>
      </c>
      <c r="J211" s="3">
        <f t="shared" ref="J211:J258" si="166">H211*(C$7)+C$3</f>
        <v>20.903697223854611</v>
      </c>
      <c r="K211" s="3">
        <f t="shared" ref="K211:K258" si="167">I211*D$3</f>
        <v>541.03080532467584</v>
      </c>
      <c r="L211" s="3">
        <f t="shared" ref="L211:L258" si="168">J211*D$3</f>
        <v>290.56139141157911</v>
      </c>
      <c r="M211" s="21">
        <f t="shared" ref="M211" si="169">AVERAGE(K211:K213)</f>
        <v>541.10637882073399</v>
      </c>
      <c r="N211" s="21">
        <f t="shared" ref="N211" si="170">AVERAGE(L211:L213)</f>
        <v>290.72536653474305</v>
      </c>
      <c r="O211" s="4" t="str">
        <f>Data!A208</f>
        <v>Calibrate_30C</v>
      </c>
      <c r="P211" s="18">
        <f t="shared" ref="P211" si="171">STDEV(K211:K213)/SQRT(3)</f>
        <v>4.7554760158323689E-2</v>
      </c>
      <c r="Q211" s="18">
        <f t="shared" ref="Q211" si="172">STDEV(L211:L213)/SQRT(3)</f>
        <v>0.10032685431479527</v>
      </c>
    </row>
    <row r="212" spans="1:17" x14ac:dyDescent="0.3">
      <c r="B212" s="3">
        <f>Data!I209</f>
        <v>257.06666666666661</v>
      </c>
      <c r="C212" s="3">
        <f>Data!D209/Data!G209</f>
        <v>24.515191231185344</v>
      </c>
      <c r="D212" s="3">
        <f t="shared" ref="D212:D213" si="173">B$4/C212</f>
        <v>1.5851803738151389</v>
      </c>
      <c r="E212" s="3">
        <f>Data!H209/Data!G209</f>
        <v>11.359981599682932</v>
      </c>
      <c r="F212" s="3">
        <f>C$4/E212</f>
        <v>1.7940169903592822</v>
      </c>
      <c r="G212" s="3">
        <f t="shared" si="163"/>
        <v>1.0434145009058788</v>
      </c>
      <c r="H212" s="11">
        <f t="shared" si="164"/>
        <v>0.28461379498403616</v>
      </c>
      <c r="I212" s="3">
        <f t="shared" si="165"/>
        <v>38.927637198767883</v>
      </c>
      <c r="J212" s="3">
        <f t="shared" si="166"/>
        <v>20.914187154761841</v>
      </c>
      <c r="K212" s="3">
        <f t="shared" si="167"/>
        <v>541.09415706287359</v>
      </c>
      <c r="L212" s="3">
        <f t="shared" si="168"/>
        <v>290.70720145118958</v>
      </c>
    </row>
    <row r="213" spans="1:17" x14ac:dyDescent="0.3">
      <c r="B213" s="3">
        <f>Data!I210</f>
        <v>257.19999999999993</v>
      </c>
      <c r="C213" s="3">
        <f>Data!D210/Data!G210</f>
        <v>24.525298954781327</v>
      </c>
      <c r="D213" s="3">
        <f t="shared" si="173"/>
        <v>1.5845270661797113</v>
      </c>
      <c r="E213" s="3">
        <f>Data!H210/Data!G210</f>
        <v>11.3677794976493</v>
      </c>
      <c r="F213" s="3">
        <f>C$4/E213</f>
        <v>1.7927863576360099</v>
      </c>
      <c r="G213" s="3">
        <f t="shared" si="163"/>
        <v>1.0535515236727022</v>
      </c>
      <c r="H213" s="11">
        <f t="shared" si="164"/>
        <v>0.29248316311150369</v>
      </c>
      <c r="I213" s="3">
        <f t="shared" si="165"/>
        <v>38.934832667241196</v>
      </c>
      <c r="J213" s="3">
        <f t="shared" si="166"/>
        <v>20.928597607299317</v>
      </c>
      <c r="K213" s="3">
        <f t="shared" si="167"/>
        <v>541.19417407465266</v>
      </c>
      <c r="L213" s="3">
        <f t="shared" si="168"/>
        <v>290.90750674146051</v>
      </c>
    </row>
    <row r="214" spans="1:17" x14ac:dyDescent="0.3">
      <c r="A214" t="str">
        <f>Data!A211</f>
        <v>6_T2_1</v>
      </c>
      <c r="B214" s="3">
        <f>Data!I211</f>
        <v>259.76666666666665</v>
      </c>
      <c r="C214" s="3">
        <f>Data!D211/Data!G211</f>
        <v>23.604823522562707</v>
      </c>
      <c r="D214" s="3">
        <f t="shared" ref="D214:D252" si="174">B$4/C214</f>
        <v>1.6463160575148825</v>
      </c>
      <c r="E214" s="3">
        <f>Data!H211/Data!G211</f>
        <v>7.4505064984444545</v>
      </c>
      <c r="F214" s="3">
        <f t="shared" ref="F214:F252" si="175">C$4/E214</f>
        <v>2.7353845009403073</v>
      </c>
      <c r="G214" s="3">
        <f t="shared" si="163"/>
        <v>0.13364010049275166</v>
      </c>
      <c r="H214" s="11">
        <f t="shared" si="164"/>
        <v>-3.6234140354921713</v>
      </c>
      <c r="I214" s="3">
        <f t="shared" si="165"/>
        <v>38.281860508058948</v>
      </c>
      <c r="J214" s="3">
        <f t="shared" si="166"/>
        <v>13.75777400265083</v>
      </c>
      <c r="K214" s="3">
        <f t="shared" si="167"/>
        <v>532.11786106201941</v>
      </c>
      <c r="L214" s="3">
        <f t="shared" si="168"/>
        <v>191.23305863684655</v>
      </c>
      <c r="M214" s="21">
        <f t="shared" ref="M214" si="176">AVERAGE(K214:K216)</f>
        <v>532.22252778473569</v>
      </c>
      <c r="N214" s="21">
        <f t="shared" ref="N214" si="177">AVERAGE(L214:L216)</f>
        <v>190.91782133260685</v>
      </c>
      <c r="O214" s="4" t="str">
        <f>Data!A211</f>
        <v>6_T2_1</v>
      </c>
      <c r="P214" s="18">
        <f t="shared" ref="P214" si="178">STDEV(K214:K216)/SQRT(3)</f>
        <v>6.1033238938808444E-2</v>
      </c>
      <c r="Q214" s="18">
        <f t="shared" ref="Q214" si="179">STDEV(L214:L216)/SQRT(3)</f>
        <v>0.18787493736930974</v>
      </c>
    </row>
    <row r="215" spans="1:17" x14ac:dyDescent="0.3">
      <c r="B215" s="3">
        <f>Data!I212</f>
        <v>259.84999999999991</v>
      </c>
      <c r="C215" s="3">
        <f>Data!D212/Data!G212</f>
        <v>23.626230743401653</v>
      </c>
      <c r="D215" s="3">
        <f t="shared" si="174"/>
        <v>1.6448243658524804</v>
      </c>
      <c r="E215" s="3">
        <f>Data!H212/Data!G212</f>
        <v>7.4388420206953896</v>
      </c>
      <c r="F215" s="3">
        <f t="shared" si="175"/>
        <v>2.739673721165389</v>
      </c>
      <c r="G215" s="3">
        <f t="shared" si="163"/>
        <v>0.15506563331347323</v>
      </c>
      <c r="H215" s="11">
        <f t="shared" si="164"/>
        <v>-3.6350338443905486</v>
      </c>
      <c r="I215" s="3">
        <f t="shared" si="165"/>
        <v>38.297068794503765</v>
      </c>
      <c r="J215" s="3">
        <f t="shared" si="166"/>
        <v>13.736495711698836</v>
      </c>
      <c r="K215" s="3">
        <f t="shared" si="167"/>
        <v>532.32925624360234</v>
      </c>
      <c r="L215" s="3">
        <f t="shared" si="168"/>
        <v>190.93729039261382</v>
      </c>
    </row>
    <row r="216" spans="1:17" x14ac:dyDescent="0.3">
      <c r="B216" s="3">
        <f>Data!I213</f>
        <v>259.89999999999998</v>
      </c>
      <c r="C216" s="3">
        <f>Data!D213/Data!G213</f>
        <v>23.615193545130321</v>
      </c>
      <c r="D216" s="3">
        <f t="shared" si="174"/>
        <v>1.6455931189271793</v>
      </c>
      <c r="E216" s="3">
        <f>Data!H213/Data!G213</f>
        <v>7.4249007751314844</v>
      </c>
      <c r="F216" s="3">
        <f t="shared" si="175"/>
        <v>2.7448178254798425</v>
      </c>
      <c r="G216" s="3">
        <f t="shared" si="163"/>
        <v>0.1440394222312058</v>
      </c>
      <c r="H216" s="11">
        <f t="shared" si="164"/>
        <v>-3.6489482886440419</v>
      </c>
      <c r="I216" s="3">
        <f t="shared" si="165"/>
        <v>38.289242161768733</v>
      </c>
      <c r="J216" s="3">
        <f t="shared" si="166"/>
        <v>13.711015465349648</v>
      </c>
      <c r="K216" s="3">
        <f t="shared" si="167"/>
        <v>532.22046604858542</v>
      </c>
      <c r="L216" s="3">
        <f t="shared" si="168"/>
        <v>190.58311496836012</v>
      </c>
    </row>
    <row r="217" spans="1:17" x14ac:dyDescent="0.3">
      <c r="A217" t="str">
        <f>Data!A214</f>
        <v>hardwoodsIN_T2_1</v>
      </c>
      <c r="B217" s="3">
        <f>Data!I214</f>
        <v>262.94999999999993</v>
      </c>
      <c r="C217" s="3">
        <f>Data!D214/Data!G214</f>
        <v>23.653036571803536</v>
      </c>
      <c r="D217" s="3">
        <f t="shared" si="174"/>
        <v>1.6429602973820989</v>
      </c>
      <c r="E217" s="3">
        <f>Data!H214/Data!G214</f>
        <v>9.6463958685750093</v>
      </c>
      <c r="F217" s="3">
        <f t="shared" si="175"/>
        <v>2.1127061627640402</v>
      </c>
      <c r="G217" s="3">
        <f t="shared" si="163"/>
        <v>0.18255266743738474</v>
      </c>
      <c r="H217" s="11">
        <f t="shared" si="164"/>
        <v>-1.4258183152653601</v>
      </c>
      <c r="I217" s="3">
        <f t="shared" si="165"/>
        <v>38.316579659973144</v>
      </c>
      <c r="J217" s="3">
        <f t="shared" si="166"/>
        <v>17.782029611224026</v>
      </c>
      <c r="K217" s="3">
        <f t="shared" si="167"/>
        <v>532.60045727362672</v>
      </c>
      <c r="L217" s="3">
        <f t="shared" si="168"/>
        <v>247.17021159601396</v>
      </c>
      <c r="M217" s="21">
        <f t="shared" ref="M217" si="180">AVERAGE(K217:K219)</f>
        <v>532.54770177969556</v>
      </c>
      <c r="N217" s="21">
        <f t="shared" ref="N217" si="181">AVERAGE(L217:L219)</f>
        <v>247.23811840491848</v>
      </c>
      <c r="O217" s="4" t="str">
        <f>Data!A214</f>
        <v>hardwoodsIN_T2_1</v>
      </c>
      <c r="P217" s="18">
        <f t="shared" ref="P217" si="182">STDEV(K217:K219)/SQRT(3)</f>
        <v>2.649043317931889E-2</v>
      </c>
      <c r="Q217" s="18">
        <f t="shared" ref="Q217" si="183">STDEV(L217:L219)/SQRT(3)</f>
        <v>4.658208981162907E-2</v>
      </c>
    </row>
    <row r="218" spans="1:17" x14ac:dyDescent="0.3">
      <c r="B218" s="3">
        <f>Data!I215</f>
        <v>263</v>
      </c>
      <c r="C218" s="3">
        <f>Data!D215/Data!G215</f>
        <v>23.645433673583494</v>
      </c>
      <c r="D218" s="3">
        <f t="shared" si="174"/>
        <v>1.6434885710476617</v>
      </c>
      <c r="E218" s="3">
        <f>Data!H215/Data!G215</f>
        <v>9.6482007310518547</v>
      </c>
      <c r="F218" s="3">
        <f t="shared" si="175"/>
        <v>2.1123109446105146</v>
      </c>
      <c r="G218" s="3">
        <f t="shared" si="163"/>
        <v>0.1749607564064064</v>
      </c>
      <c r="H218" s="11">
        <f t="shared" si="164"/>
        <v>-1.423986651478101</v>
      </c>
      <c r="I218" s="3">
        <f t="shared" si="165"/>
        <v>38.311190764462872</v>
      </c>
      <c r="J218" s="3">
        <f t="shared" si="166"/>
        <v>17.785383769225454</v>
      </c>
      <c r="K218" s="3">
        <f t="shared" si="167"/>
        <v>532.52555162603392</v>
      </c>
      <c r="L218" s="3">
        <f t="shared" si="168"/>
        <v>247.21683439223384</v>
      </c>
    </row>
    <row r="219" spans="1:17" x14ac:dyDescent="0.3">
      <c r="B219" s="3">
        <f>Data!I216</f>
        <v>263.11666666666667</v>
      </c>
      <c r="C219" s="3">
        <f>Data!D216/Data!G216</f>
        <v>23.644551078401449</v>
      </c>
      <c r="D219" s="3">
        <f t="shared" si="174"/>
        <v>1.6435499185898392</v>
      </c>
      <c r="E219" s="3">
        <f>Data!H216/Data!G216</f>
        <v>9.6524784052391883</v>
      </c>
      <c r="F219" s="3">
        <f t="shared" si="175"/>
        <v>2.1113748349789736</v>
      </c>
      <c r="G219" s="3">
        <f t="shared" si="163"/>
        <v>0.17410379799884623</v>
      </c>
      <c r="H219" s="11">
        <f t="shared" si="164"/>
        <v>-1.4196464408998057</v>
      </c>
      <c r="I219" s="3">
        <f t="shared" si="165"/>
        <v>38.310582477656546</v>
      </c>
      <c r="J219" s="3">
        <f t="shared" si="166"/>
        <v>17.793331599029329</v>
      </c>
      <c r="K219" s="3">
        <f t="shared" si="167"/>
        <v>532.51709643942604</v>
      </c>
      <c r="L219" s="3">
        <f t="shared" si="168"/>
        <v>247.32730922650768</v>
      </c>
    </row>
    <row r="220" spans="1:17" x14ac:dyDescent="0.3">
      <c r="A220" t="str">
        <f>Data!A217</f>
        <v>7_T2_1</v>
      </c>
      <c r="B220" s="3">
        <f>Data!I217</f>
        <v>265.83333333333326</v>
      </c>
      <c r="C220" s="3">
        <f>Data!D217/Data!G217</f>
        <v>23.804443220544986</v>
      </c>
      <c r="D220" s="3">
        <f t="shared" si="174"/>
        <v>1.6325103527924609</v>
      </c>
      <c r="E220" s="3">
        <f>Data!H217/Data!G217</f>
        <v>7.7128392193247715</v>
      </c>
      <c r="F220" s="3">
        <f t="shared" si="175"/>
        <v>2.6423473147135286</v>
      </c>
      <c r="G220" s="3">
        <f t="shared" si="163"/>
        <v>0.33459291074824904</v>
      </c>
      <c r="H220" s="11">
        <f t="shared" si="164"/>
        <v>-3.3578294222818146</v>
      </c>
      <c r="I220" s="3">
        <f t="shared" si="165"/>
        <v>38.424500970064173</v>
      </c>
      <c r="J220" s="3">
        <f t="shared" si="166"/>
        <v>14.244114761064854</v>
      </c>
      <c r="K220" s="3">
        <f t="shared" si="167"/>
        <v>534.10056348389207</v>
      </c>
      <c r="L220" s="3">
        <f t="shared" si="168"/>
        <v>197.99319517880147</v>
      </c>
      <c r="M220" s="21">
        <f t="shared" ref="M220" si="184">AVERAGE(K220:K222)</f>
        <v>534.11429540821837</v>
      </c>
      <c r="N220" s="21">
        <f t="shared" ref="N220" si="185">AVERAGE(L220:L222)</f>
        <v>197.75781930545622</v>
      </c>
      <c r="O220" s="4" t="str">
        <f>Data!A217</f>
        <v>7_T2_1</v>
      </c>
      <c r="P220" s="18">
        <f t="shared" ref="P220" si="186">STDEV(K220:K222)/SQRT(3)</f>
        <v>2.7439937370584429E-2</v>
      </c>
      <c r="Q220" s="18">
        <f t="shared" ref="Q220" si="187">STDEV(L220:L222)/SQRT(3)</f>
        <v>0.12645700409125321</v>
      </c>
    </row>
    <row r="221" spans="1:17" x14ac:dyDescent="0.3">
      <c r="B221" s="3">
        <f>Data!I218</f>
        <v>265.91666666666663</v>
      </c>
      <c r="C221" s="3">
        <f>Data!D218/Data!G218</f>
        <v>23.801848757610969</v>
      </c>
      <c r="D221" s="3">
        <f t="shared" si="174"/>
        <v>1.6326883006335235</v>
      </c>
      <c r="E221" s="3">
        <f>Data!H218/Data!G218</f>
        <v>7.7020723138881992</v>
      </c>
      <c r="F221" s="3">
        <f t="shared" si="175"/>
        <v>2.646041113279507</v>
      </c>
      <c r="G221" s="3">
        <f t="shared" si="163"/>
        <v>0.33201675979600864</v>
      </c>
      <c r="H221" s="11">
        <f t="shared" si="164"/>
        <v>-3.3685516588676991</v>
      </c>
      <c r="I221" s="3">
        <f t="shared" si="165"/>
        <v>38.4226723648232</v>
      </c>
      <c r="J221" s="3">
        <f t="shared" si="166"/>
        <v>14.22448011201633</v>
      </c>
      <c r="K221" s="3">
        <f t="shared" si="167"/>
        <v>534.07514587104254</v>
      </c>
      <c r="L221" s="3">
        <f t="shared" si="168"/>
        <v>197.72027355702699</v>
      </c>
    </row>
    <row r="222" spans="1:17" x14ac:dyDescent="0.3">
      <c r="B222" s="3">
        <f>Data!I219</f>
        <v>265.98333333333323</v>
      </c>
      <c r="C222" s="3">
        <f>Data!D219/Data!G219</f>
        <v>23.811161724520584</v>
      </c>
      <c r="D222" s="3">
        <f t="shared" si="174"/>
        <v>1.6320497273335968</v>
      </c>
      <c r="E222" s="3">
        <f>Data!H219/Data!G219</f>
        <v>7.695739507162914</v>
      </c>
      <c r="F222" s="3">
        <f t="shared" si="175"/>
        <v>2.64821853455812</v>
      </c>
      <c r="G222" s="3">
        <f t="shared" si="163"/>
        <v>0.34134437629104397</v>
      </c>
      <c r="H222" s="11">
        <f t="shared" si="164"/>
        <v>-3.3748487305124346</v>
      </c>
      <c r="I222" s="3">
        <f t="shared" si="165"/>
        <v>38.429293299979904</v>
      </c>
      <c r="J222" s="3">
        <f t="shared" si="166"/>
        <v>14.212948861909371</v>
      </c>
      <c r="K222" s="3">
        <f t="shared" si="167"/>
        <v>534.16717686972072</v>
      </c>
      <c r="L222" s="3">
        <f t="shared" si="168"/>
        <v>197.55998918054027</v>
      </c>
    </row>
    <row r="223" spans="1:17" x14ac:dyDescent="0.3">
      <c r="A223" t="str">
        <f>Data!A220</f>
        <v>Calibrate_20C</v>
      </c>
      <c r="B223" s="3">
        <f>Data!I220</f>
        <v>268.66666666666663</v>
      </c>
      <c r="C223" s="3">
        <f>Data!D220/Data!G220</f>
        <v>23.475338745999647</v>
      </c>
      <c r="D223" s="3">
        <f t="shared" ref="D223:D225" si="188">B$3/C223</f>
        <v>1.6266857919784998</v>
      </c>
      <c r="E223" s="3">
        <f>Data!H220/Data!G220</f>
        <v>11.046337395591653</v>
      </c>
      <c r="F223" s="3">
        <f>C$3/E223</f>
        <v>1.8461322762183954</v>
      </c>
      <c r="G223" s="3">
        <f t="shared" si="163"/>
        <v>6.1110435832603116E-3</v>
      </c>
      <c r="H223" s="11">
        <f t="shared" si="164"/>
        <v>-2.2812505091563295E-2</v>
      </c>
      <c r="I223" s="3">
        <f t="shared" si="165"/>
        <v>38.191337745159878</v>
      </c>
      <c r="J223" s="3">
        <f t="shared" si="166"/>
        <v>20.351225550443441</v>
      </c>
      <c r="K223" s="3">
        <f t="shared" si="167"/>
        <v>530.85959465772237</v>
      </c>
      <c r="L223" s="3">
        <f t="shared" si="168"/>
        <v>282.88203515116385</v>
      </c>
      <c r="M223" s="21">
        <f t="shared" ref="M223" si="189">AVERAGE(K223:K225)</f>
        <v>530.77916106173427</v>
      </c>
      <c r="N223" s="21">
        <f t="shared" ref="N223" si="190">AVERAGE(L223:L225)</f>
        <v>283.27854723436752</v>
      </c>
      <c r="O223" s="4" t="str">
        <f>Data!A220</f>
        <v>Calibrate_20C</v>
      </c>
      <c r="P223" s="18">
        <f t="shared" ref="P223" si="191">STDEV(K223:K225)/SQRT(3)</f>
        <v>4.6312148953345414E-2</v>
      </c>
      <c r="Q223" s="18">
        <f t="shared" ref="Q223" si="192">STDEV(L223:L225)/SQRT(3)</f>
        <v>0.21976861840068562</v>
      </c>
    </row>
    <row r="224" spans="1:17" x14ac:dyDescent="0.3">
      <c r="B224" s="3">
        <f>Data!I221</f>
        <v>268.7833333333333</v>
      </c>
      <c r="C224" s="3">
        <f>Data!D221/Data!G221</f>
        <v>23.467116429758761</v>
      </c>
      <c r="D224" s="3">
        <f t="shared" si="188"/>
        <v>1.627255743768113</v>
      </c>
      <c r="E224" s="3">
        <f>Data!H221/Data!G221</f>
        <v>11.063188533378257</v>
      </c>
      <c r="F224" s="3">
        <f>C$3/E224</f>
        <v>1.8433202994302393</v>
      </c>
      <c r="G224" s="3">
        <f t="shared" si="163"/>
        <v>-2.0856358831409239E-3</v>
      </c>
      <c r="H224" s="11">
        <f t="shared" si="164"/>
        <v>-5.8988309139973438E-3</v>
      </c>
      <c r="I224" s="3">
        <f t="shared" si="165"/>
        <v>38.185519572502777</v>
      </c>
      <c r="J224" s="3">
        <f t="shared" si="166"/>
        <v>20.382198011640089</v>
      </c>
      <c r="K224" s="3">
        <f t="shared" si="167"/>
        <v>530.77872205778863</v>
      </c>
      <c r="L224" s="3">
        <f t="shared" si="168"/>
        <v>283.31255236179726</v>
      </c>
    </row>
    <row r="225" spans="1:17" x14ac:dyDescent="0.3">
      <c r="B225" s="3">
        <f>Data!I222</f>
        <v>268.89999999999998</v>
      </c>
      <c r="C225" s="3">
        <f>Data!D222/Data!G222</f>
        <v>23.459027596599782</v>
      </c>
      <c r="D225" s="3">
        <f t="shared" si="188"/>
        <v>1.6278168326778784</v>
      </c>
      <c r="E225" s="3">
        <f>Data!H222/Data!G222</f>
        <v>11.076031805986597</v>
      </c>
      <c r="F225" s="3">
        <f>C$3/E225</f>
        <v>1.8411828674036113</v>
      </c>
      <c r="G225" s="3">
        <f t="shared" si="163"/>
        <v>-1.0148832267631747E-2</v>
      </c>
      <c r="H225" s="11">
        <f t="shared" si="164"/>
        <v>7.006978085305704E-3</v>
      </c>
      <c r="I225" s="3">
        <f t="shared" si="165"/>
        <v>38.179796148898696</v>
      </c>
      <c r="J225" s="3">
        <f t="shared" si="166"/>
        <v>20.40583123670082</v>
      </c>
      <c r="K225" s="3">
        <f t="shared" si="167"/>
        <v>530.69916646969193</v>
      </c>
      <c r="L225" s="3">
        <f t="shared" si="168"/>
        <v>283.6410541901414</v>
      </c>
    </row>
    <row r="226" spans="1:17" x14ac:dyDescent="0.3">
      <c r="A226" t="str">
        <f>Data!A223</f>
        <v>Calibrate_30C</v>
      </c>
      <c r="B226" s="3">
        <f>Data!I223</f>
        <v>271.56666666666661</v>
      </c>
      <c r="C226" s="3">
        <f>Data!D223/Data!G223</f>
        <v>24.506090237762393</v>
      </c>
      <c r="D226" s="3">
        <f>B$4/C226</f>
        <v>1.5857690730330194</v>
      </c>
      <c r="E226" s="3">
        <f>Data!H223/Data!G223</f>
        <v>11.40516374152639</v>
      </c>
      <c r="F226" s="3">
        <f>C$4/E226</f>
        <v>1.7869098999250734</v>
      </c>
      <c r="G226" s="3">
        <f t="shared" si="163"/>
        <v>1.0374997923117775</v>
      </c>
      <c r="H226" s="11">
        <f t="shared" si="164"/>
        <v>0.33756831684709354</v>
      </c>
      <c r="I226" s="3">
        <f t="shared" si="165"/>
        <v>38.92343881624506</v>
      </c>
      <c r="J226" s="3">
        <f t="shared" si="166"/>
        <v>21.011157916783858</v>
      </c>
      <c r="K226" s="3">
        <f t="shared" si="167"/>
        <v>541.0357995458063</v>
      </c>
      <c r="L226" s="3">
        <f t="shared" si="168"/>
        <v>292.05509504329564</v>
      </c>
      <c r="M226" s="21">
        <f t="shared" ref="M226" si="193">AVERAGE(K226:K228)</f>
        <v>540.99788794078154</v>
      </c>
      <c r="N226" s="21">
        <f t="shared" ref="N226" si="194">AVERAGE(L226:L228)</f>
        <v>292.02792534208436</v>
      </c>
      <c r="O226" s="4" t="str">
        <f>Data!A223</f>
        <v>Calibrate_30C</v>
      </c>
      <c r="P226" s="18">
        <f t="shared" ref="P226" si="195">STDEV(K226:K228)/SQRT(3)</f>
        <v>5.0625407654782364E-2</v>
      </c>
      <c r="Q226" s="18">
        <f t="shared" ref="Q226" si="196">STDEV(L226:L228)/SQRT(3)</f>
        <v>4.2385020937762183E-2</v>
      </c>
    </row>
    <row r="227" spans="1:17" x14ac:dyDescent="0.3">
      <c r="B227" s="3">
        <f>Data!I224</f>
        <v>271.61666666666656</v>
      </c>
      <c r="C227" s="3">
        <f>Data!D224/Data!G224</f>
        <v>24.508556276304702</v>
      </c>
      <c r="D227" s="3">
        <f t="shared" ref="D227:D228" si="197">B$4/C227</f>
        <v>1.5856095137505708</v>
      </c>
      <c r="E227" s="3">
        <f>Data!H224/Data!G224</f>
        <v>11.406267834336361</v>
      </c>
      <c r="F227" s="3">
        <f>C$4/E227</f>
        <v>1.7867369323601145</v>
      </c>
      <c r="G227" s="3">
        <f t="shared" si="163"/>
        <v>1.0399768180431508</v>
      </c>
      <c r="H227" s="11">
        <f t="shared" si="164"/>
        <v>0.33869921096747646</v>
      </c>
      <c r="I227" s="3">
        <f t="shared" si="165"/>
        <v>38.925197060353582</v>
      </c>
      <c r="J227" s="3">
        <f t="shared" si="166"/>
        <v>21.013228819527601</v>
      </c>
      <c r="K227" s="3">
        <f t="shared" si="167"/>
        <v>541.06023913891477</v>
      </c>
      <c r="L227" s="3">
        <f t="shared" si="168"/>
        <v>292.08388059143368</v>
      </c>
    </row>
    <row r="228" spans="1:17" x14ac:dyDescent="0.3">
      <c r="B228" s="3">
        <f>Data!I225</f>
        <v>271.70000000000005</v>
      </c>
      <c r="C228" s="3">
        <f>Data!D225/Data!G225</f>
        <v>24.492056549771824</v>
      </c>
      <c r="D228" s="3">
        <f t="shared" si="197"/>
        <v>1.5866777018511351</v>
      </c>
      <c r="E228" s="3">
        <f>Data!H225/Data!G225</f>
        <v>11.400759139593731</v>
      </c>
      <c r="F228" s="3">
        <f>C$4/E228</f>
        <v>1.7876002598127203</v>
      </c>
      <c r="G228" s="3">
        <f t="shared" si="163"/>
        <v>1.0234954034920491</v>
      </c>
      <c r="H228" s="11">
        <f t="shared" si="164"/>
        <v>0.33323518507553374</v>
      </c>
      <c r="I228" s="3">
        <f t="shared" si="165"/>
        <v>38.913498211339828</v>
      </c>
      <c r="J228" s="3">
        <f t="shared" si="166"/>
        <v>21.003223049749906</v>
      </c>
      <c r="K228" s="3">
        <f t="shared" si="167"/>
        <v>540.89762513762366</v>
      </c>
      <c r="L228" s="3">
        <f t="shared" si="168"/>
        <v>291.9448003915237</v>
      </c>
    </row>
    <row r="229" spans="1:17" x14ac:dyDescent="0.3">
      <c r="A229" t="str">
        <f>Data!A226</f>
        <v>8_T2_1</v>
      </c>
      <c r="B229" s="3">
        <f>Data!I226</f>
        <v>275.25</v>
      </c>
      <c r="C229" s="3">
        <f>Data!D226/Data!G226</f>
        <v>23.855766415233834</v>
      </c>
      <c r="D229" s="3">
        <f t="shared" si="174"/>
        <v>1.6289981769432529</v>
      </c>
      <c r="E229" s="3">
        <f>Data!H226/Data!G226</f>
        <v>7.4021264689917912</v>
      </c>
      <c r="F229" s="3">
        <f t="shared" si="175"/>
        <v>2.7532628745771568</v>
      </c>
      <c r="G229" s="3">
        <f t="shared" si="163"/>
        <v>0.38798535937767298</v>
      </c>
      <c r="H229" s="11">
        <f t="shared" si="164"/>
        <v>-3.6634945924871252</v>
      </c>
      <c r="I229" s="3">
        <f t="shared" si="165"/>
        <v>38.462400034677444</v>
      </c>
      <c r="J229" s="3">
        <f t="shared" si="166"/>
        <v>13.684378152450943</v>
      </c>
      <c r="K229" s="3">
        <f t="shared" si="167"/>
        <v>534.62736048201646</v>
      </c>
      <c r="L229" s="3">
        <f t="shared" si="168"/>
        <v>190.21285631906812</v>
      </c>
      <c r="M229" s="21">
        <f t="shared" ref="M229" si="198">AVERAGE(K229:K231)</f>
        <v>534.67749106369547</v>
      </c>
      <c r="N229" s="21">
        <f t="shared" ref="N229" si="199">AVERAGE(L229:L231)</f>
        <v>190.12715910735611</v>
      </c>
      <c r="O229" s="4" t="str">
        <f>Data!A226</f>
        <v>8_T2_1</v>
      </c>
      <c r="P229" s="18">
        <f t="shared" ref="P229" si="200">STDEV(K229:K231)/SQRT(3)</f>
        <v>2.605094145219081E-2</v>
      </c>
      <c r="Q229" s="18">
        <f t="shared" ref="Q229" si="201">STDEV(L229:L231)/SQRT(3)</f>
        <v>7.8720628243962421E-2</v>
      </c>
    </row>
    <row r="230" spans="1:17" x14ac:dyDescent="0.3">
      <c r="B230" s="3">
        <f>Data!I227</f>
        <v>275.29999999999995</v>
      </c>
      <c r="C230" s="3">
        <f>Data!D227/Data!G227</f>
        <v>23.864622811756863</v>
      </c>
      <c r="D230" s="3">
        <f t="shared" si="174"/>
        <v>1.6283936396788636</v>
      </c>
      <c r="E230" s="3">
        <f>Data!H227/Data!G227</f>
        <v>7.4015431402026222</v>
      </c>
      <c r="F230" s="3">
        <f t="shared" si="175"/>
        <v>2.7534798641249401</v>
      </c>
      <c r="G230" s="3">
        <f t="shared" si="163"/>
        <v>0.39685274308977014</v>
      </c>
      <c r="H230" s="11">
        <f t="shared" si="164"/>
        <v>-3.6640511199658805</v>
      </c>
      <c r="I230" s="3">
        <f t="shared" si="165"/>
        <v>38.468694287083586</v>
      </c>
      <c r="J230" s="3">
        <f t="shared" si="166"/>
        <v>13.683359034690978</v>
      </c>
      <c r="K230" s="3">
        <f t="shared" si="167"/>
        <v>534.71485059046188</v>
      </c>
      <c r="L230" s="3">
        <f t="shared" si="168"/>
        <v>190.19869058220459</v>
      </c>
    </row>
    <row r="231" spans="1:17" x14ac:dyDescent="0.3">
      <c r="B231" s="3">
        <f>Data!I228</f>
        <v>275.36666666666656</v>
      </c>
      <c r="C231" s="3">
        <f>Data!D228/Data!G228</f>
        <v>23.862116047134744</v>
      </c>
      <c r="D231" s="3">
        <f t="shared" si="174"/>
        <v>1.6285647057971731</v>
      </c>
      <c r="E231" s="3">
        <f>Data!H228/Data!G228</f>
        <v>7.3925201341389082</v>
      </c>
      <c r="F231" s="3">
        <f t="shared" si="175"/>
        <v>2.7568406484122336</v>
      </c>
      <c r="G231" s="3">
        <f t="shared" si="163"/>
        <v>0.39436062805307159</v>
      </c>
      <c r="H231" s="11">
        <f t="shared" si="164"/>
        <v>-3.6730383909490447</v>
      </c>
      <c r="I231" s="3">
        <f t="shared" si="165"/>
        <v>38.466925332273981</v>
      </c>
      <c r="J231" s="3">
        <f t="shared" si="166"/>
        <v>13.666901469121989</v>
      </c>
      <c r="K231" s="3">
        <f t="shared" si="167"/>
        <v>534.6902621186083</v>
      </c>
      <c r="L231" s="3">
        <f t="shared" si="168"/>
        <v>189.96993042079563</v>
      </c>
    </row>
    <row r="232" spans="1:17" x14ac:dyDescent="0.3">
      <c r="A232" t="str">
        <f>Data!A229</f>
        <v>9_T2_1</v>
      </c>
      <c r="B232" s="3">
        <f>Data!I229</f>
        <v>278.09999999999991</v>
      </c>
      <c r="C232" s="3">
        <f>Data!D229/Data!G229</f>
        <v>23.818116965495431</v>
      </c>
      <c r="D232" s="3">
        <f t="shared" si="174"/>
        <v>1.6315731447744892</v>
      </c>
      <c r="E232" s="3">
        <f>Data!H229/Data!G229</f>
        <v>5.3914288435344808</v>
      </c>
      <c r="F232" s="3">
        <f t="shared" si="175"/>
        <v>3.7800740010582055</v>
      </c>
      <c r="G232" s="3">
        <f t="shared" si="163"/>
        <v>0.35096217941597629</v>
      </c>
      <c r="H232" s="11">
        <f t="shared" si="164"/>
        <v>-5.6726645432509279</v>
      </c>
      <c r="I232" s="3">
        <f t="shared" si="165"/>
        <v>38.436120215609854</v>
      </c>
      <c r="J232" s="3">
        <f t="shared" si="166"/>
        <v>10.005169384196025</v>
      </c>
      <c r="K232" s="3">
        <f t="shared" si="167"/>
        <v>534.26207099697695</v>
      </c>
      <c r="L232" s="3">
        <f t="shared" si="168"/>
        <v>139.07185444032476</v>
      </c>
      <c r="M232" s="21">
        <f t="shared" ref="M232" si="202">AVERAGE(K232:K234)</f>
        <v>534.2376578600423</v>
      </c>
      <c r="N232" s="21">
        <f t="shared" ref="N232" si="203">AVERAGE(L232:L234)</f>
        <v>138.80968748914191</v>
      </c>
      <c r="O232" s="4" t="str">
        <f>Data!A229</f>
        <v>9_T2_1</v>
      </c>
      <c r="P232" s="18">
        <f t="shared" ref="P232" si="204">STDEV(K232:K234)/SQRT(3)</f>
        <v>3.0342143187695719E-2</v>
      </c>
      <c r="Q232" s="18">
        <f t="shared" ref="Q232" si="205">STDEV(L232:L234)/SQRT(3)</f>
        <v>0.15772298691420514</v>
      </c>
    </row>
    <row r="233" spans="1:17" x14ac:dyDescent="0.3">
      <c r="B233" s="3">
        <f>Data!I230</f>
        <v>278.18333333333339</v>
      </c>
      <c r="C233" s="3">
        <f>Data!D230/Data!G230</f>
        <v>23.81926361249506</v>
      </c>
      <c r="D233" s="3">
        <f t="shared" si="174"/>
        <v>1.6314946016892971</v>
      </c>
      <c r="E233" s="3">
        <f>Data!H230/Data!G230</f>
        <v>5.3819032257412402</v>
      </c>
      <c r="F233" s="3">
        <f t="shared" si="175"/>
        <v>3.7867644855678537</v>
      </c>
      <c r="G233" s="3">
        <f t="shared" si="163"/>
        <v>0.35212713839738186</v>
      </c>
      <c r="H233" s="11">
        <f t="shared" si="164"/>
        <v>-5.6821454921934809</v>
      </c>
      <c r="I233" s="3">
        <f t="shared" si="165"/>
        <v>38.436947127595374</v>
      </c>
      <c r="J233" s="3">
        <f t="shared" si="166"/>
        <v>9.9878077914310328</v>
      </c>
      <c r="K233" s="3">
        <f t="shared" si="167"/>
        <v>534.2735650735757</v>
      </c>
      <c r="L233" s="3">
        <f t="shared" si="168"/>
        <v>138.83052830089136</v>
      </c>
    </row>
    <row r="234" spans="1:17" x14ac:dyDescent="0.3">
      <c r="B234" s="3">
        <f>Data!I231</f>
        <v>278.25</v>
      </c>
      <c r="C234" s="3">
        <f>Data!D231/Data!G231</f>
        <v>23.809496011989289</v>
      </c>
      <c r="D234" s="3">
        <f t="shared" si="174"/>
        <v>1.6321639055455652</v>
      </c>
      <c r="E234" s="3">
        <f>Data!H231/Data!G231</f>
        <v>5.369930230861196</v>
      </c>
      <c r="F234" s="3">
        <f t="shared" si="175"/>
        <v>3.7952075955987943</v>
      </c>
      <c r="G234" s="3">
        <f t="shared" si="163"/>
        <v>0.34237418747703074</v>
      </c>
      <c r="H234" s="11">
        <f t="shared" si="164"/>
        <v>-5.6940827519929753</v>
      </c>
      <c r="I234" s="3">
        <f t="shared" si="165"/>
        <v>38.430024281264316</v>
      </c>
      <c r="J234" s="3">
        <f t="shared" si="166"/>
        <v>9.9659481817416982</v>
      </c>
      <c r="K234" s="3">
        <f t="shared" si="167"/>
        <v>534.17733750957404</v>
      </c>
      <c r="L234" s="3">
        <f t="shared" si="168"/>
        <v>138.52667972620961</v>
      </c>
    </row>
    <row r="235" spans="1:17" x14ac:dyDescent="0.3">
      <c r="A235" t="str">
        <f>Data!A232</f>
        <v>typhaIN_T2_1</v>
      </c>
      <c r="B235" s="3">
        <f>Data!I232</f>
        <v>281.56666666666661</v>
      </c>
      <c r="C235" s="3">
        <f>Data!D232/Data!G232</f>
        <v>23.987665023309027</v>
      </c>
      <c r="D235" s="3">
        <f t="shared" si="174"/>
        <v>1.6200409653143988</v>
      </c>
      <c r="E235" s="3">
        <f>Data!H232/Data!G232</f>
        <v>8.1388512698808473</v>
      </c>
      <c r="F235" s="3">
        <f t="shared" si="175"/>
        <v>2.5040388777491889</v>
      </c>
      <c r="G235" s="3">
        <f t="shared" si="163"/>
        <v>0.52127201567141412</v>
      </c>
      <c r="H235" s="11">
        <f t="shared" si="164"/>
        <v>-2.9233838927159663</v>
      </c>
      <c r="I235" s="3">
        <f t="shared" si="165"/>
        <v>38.557009660731936</v>
      </c>
      <c r="J235" s="3">
        <f t="shared" si="166"/>
        <v>15.039675037635869</v>
      </c>
      <c r="K235" s="3">
        <f t="shared" si="167"/>
        <v>535.94243428417394</v>
      </c>
      <c r="L235" s="3">
        <f t="shared" si="168"/>
        <v>209.05148302313859</v>
      </c>
      <c r="M235" s="21">
        <f t="shared" ref="M235" si="206">AVERAGE(K235:K237)</f>
        <v>535.9752981810999</v>
      </c>
      <c r="N235" s="21">
        <f t="shared" ref="N235" si="207">AVERAGE(L235:L237)</f>
        <v>209.2011192515977</v>
      </c>
      <c r="O235" s="4" t="str">
        <f>Data!A232</f>
        <v>typhaIN_T2_1</v>
      </c>
      <c r="P235" s="18">
        <f t="shared" ref="P235" si="208">STDEV(K235:K237)/SQRT(3)</f>
        <v>1.6535452185438945E-2</v>
      </c>
      <c r="Q235" s="18">
        <f t="shared" ref="Q235" si="209">STDEV(L235:L237)/SQRT(3)</f>
        <v>8.6033543331286197E-2</v>
      </c>
    </row>
    <row r="236" spans="1:17" x14ac:dyDescent="0.3">
      <c r="B236" s="3">
        <f>Data!I233</f>
        <v>281.64999999999986</v>
      </c>
      <c r="C236" s="3">
        <f>Data!D233/Data!G233</f>
        <v>23.992967270460596</v>
      </c>
      <c r="D236" s="3">
        <f t="shared" si="174"/>
        <v>1.6196829496718592</v>
      </c>
      <c r="E236" s="3">
        <f>Data!H233/Data!G233</f>
        <v>8.1447345039417929</v>
      </c>
      <c r="F236" s="3">
        <f t="shared" si="175"/>
        <v>2.5022301205934614</v>
      </c>
      <c r="G236" s="3">
        <f t="shared" si="163"/>
        <v>0.52659257480475929</v>
      </c>
      <c r="H236" s="11">
        <f t="shared" si="164"/>
        <v>-2.9174559898043348</v>
      </c>
      <c r="I236" s="3">
        <f t="shared" si="165"/>
        <v>38.560786303675826</v>
      </c>
      <c r="J236" s="3">
        <f t="shared" si="166"/>
        <v>15.050530262880276</v>
      </c>
      <c r="K236" s="3">
        <f t="shared" si="167"/>
        <v>535.994929621094</v>
      </c>
      <c r="L236" s="3">
        <f t="shared" si="168"/>
        <v>209.20237065403583</v>
      </c>
    </row>
    <row r="237" spans="1:17" x14ac:dyDescent="0.3">
      <c r="B237" s="3">
        <f>Data!I234</f>
        <v>281.70000000000005</v>
      </c>
      <c r="C237" s="3">
        <f>Data!D234/Data!G234</f>
        <v>23.99230772723261</v>
      </c>
      <c r="D237" s="3">
        <f t="shared" si="174"/>
        <v>1.6197274743975791</v>
      </c>
      <c r="E237" s="3">
        <f>Data!H234/Data!G234</f>
        <v>8.150488114484018</v>
      </c>
      <c r="F237" s="3">
        <f t="shared" si="175"/>
        <v>2.5004637407891237</v>
      </c>
      <c r="G237" s="3">
        <f t="shared" si="163"/>
        <v>0.52594401876583774</v>
      </c>
      <c r="H237" s="11">
        <f t="shared" si="164"/>
        <v>-2.9116755779516961</v>
      </c>
      <c r="I237" s="3">
        <f t="shared" si="165"/>
        <v>38.560325945182157</v>
      </c>
      <c r="J237" s="3">
        <f t="shared" si="166"/>
        <v>15.061115401267534</v>
      </c>
      <c r="K237" s="3">
        <f t="shared" si="167"/>
        <v>535.98853063803199</v>
      </c>
      <c r="L237" s="3">
        <f t="shared" si="168"/>
        <v>209.34950407761872</v>
      </c>
    </row>
    <row r="238" spans="1:17" x14ac:dyDescent="0.3">
      <c r="A238" t="str">
        <f>Data!A235</f>
        <v>Calibrate_20C</v>
      </c>
      <c r="B238" s="3">
        <f>Data!I235</f>
        <v>284.20000000000005</v>
      </c>
      <c r="C238" s="3">
        <f>Data!D235/Data!G235</f>
        <v>23.440441795546494</v>
      </c>
      <c r="D238" s="3">
        <f t="shared" ref="D238:D240" si="210">B$3/C238</f>
        <v>1.629107519946797</v>
      </c>
      <c r="E238" s="3">
        <f>Data!H235/Data!G235</f>
        <v>10.936901141018653</v>
      </c>
      <c r="F238" s="3">
        <f>C$3/E238</f>
        <v>1.864604949524177</v>
      </c>
      <c r="G238" s="3">
        <f t="shared" si="163"/>
        <v>-2.5372553467029491E-2</v>
      </c>
      <c r="H238" s="11">
        <f t="shared" si="164"/>
        <v>-0.12392248589643984</v>
      </c>
      <c r="I238" s="3">
        <f t="shared" si="165"/>
        <v>38.168990036644978</v>
      </c>
      <c r="J238" s="3">
        <f t="shared" si="166"/>
        <v>20.166072110440037</v>
      </c>
      <c r="K238" s="3">
        <f t="shared" si="167"/>
        <v>530.5489615093652</v>
      </c>
      <c r="L238" s="3">
        <f t="shared" si="168"/>
        <v>280.30840233511651</v>
      </c>
      <c r="M238" s="21">
        <f t="shared" ref="M238" si="211">AVERAGE(K238:K240)</f>
        <v>530.62907437405283</v>
      </c>
      <c r="N238" s="21">
        <f t="shared" ref="N238" si="212">AVERAGE(L238:L240)</f>
        <v>280.64543150456893</v>
      </c>
      <c r="O238" s="4" t="str">
        <f>Data!A235</f>
        <v>Calibrate_20C</v>
      </c>
      <c r="P238" s="18">
        <f t="shared" ref="P238" si="213">STDEV(K238:K240)/SQRT(3)</f>
        <v>5.8075234485646034E-2</v>
      </c>
      <c r="Q238" s="18">
        <f t="shared" ref="Q238" si="214">STDEV(L238:L240)/SQRT(3)</f>
        <v>0.19458395361080078</v>
      </c>
    </row>
    <row r="239" spans="1:17" x14ac:dyDescent="0.3">
      <c r="B239" s="3">
        <f>Data!I236</f>
        <v>284.2166666666667</v>
      </c>
      <c r="C239" s="3">
        <f>Data!D236/Data!G236</f>
        <v>23.45999949177159</v>
      </c>
      <c r="D239" s="3">
        <f t="shared" si="210"/>
        <v>1.6277493958767471</v>
      </c>
      <c r="E239" s="3">
        <f>Data!H236/Data!G236</f>
        <v>10.950133019013608</v>
      </c>
      <c r="F239" s="3">
        <f>C$3/E239</f>
        <v>1.8623518056438195</v>
      </c>
      <c r="G239" s="3">
        <f t="shared" si="163"/>
        <v>-5.8111948455774609E-3</v>
      </c>
      <c r="H239" s="11">
        <f t="shared" si="164"/>
        <v>-0.11068167413134944</v>
      </c>
      <c r="I239" s="3">
        <f t="shared" si="165"/>
        <v>38.182875093677353</v>
      </c>
      <c r="J239" s="3">
        <f t="shared" si="166"/>
        <v>20.190318795359055</v>
      </c>
      <c r="K239" s="3">
        <f t="shared" si="167"/>
        <v>530.74196380211527</v>
      </c>
      <c r="L239" s="3">
        <f t="shared" si="168"/>
        <v>280.64543125549085</v>
      </c>
    </row>
    <row r="240" spans="1:17" x14ac:dyDescent="0.3">
      <c r="B240" s="3">
        <f>Data!I237</f>
        <v>284.29999999999995</v>
      </c>
      <c r="C240" s="3">
        <f>Data!D237/Data!G237</f>
        <v>23.445217496639472</v>
      </c>
      <c r="D240" s="3">
        <f t="shared" si="210"/>
        <v>1.6287756769786224</v>
      </c>
      <c r="E240" s="3">
        <f>Data!H237/Data!G237</f>
        <v>10.963329191284503</v>
      </c>
      <c r="F240" s="3">
        <f>C$3/E240</f>
        <v>1.8601101585284683</v>
      </c>
      <c r="G240" s="3">
        <f t="shared" si="163"/>
        <v>-2.0574877995919394E-2</v>
      </c>
      <c r="H240" s="11">
        <f t="shared" si="164"/>
        <v>-9.7440833009766692E-2</v>
      </c>
      <c r="I240" s="3">
        <f t="shared" si="165"/>
        <v>38.172395525948069</v>
      </c>
      <c r="J240" s="3">
        <f t="shared" si="166"/>
        <v>20.21456553403593</v>
      </c>
      <c r="K240" s="3">
        <f t="shared" si="167"/>
        <v>530.59629781067815</v>
      </c>
      <c r="L240" s="3">
        <f t="shared" si="168"/>
        <v>280.98246092309944</v>
      </c>
    </row>
    <row r="241" spans="1:17" x14ac:dyDescent="0.3">
      <c r="A241" t="str">
        <f>Data!A238</f>
        <v>Calibrate_30C</v>
      </c>
      <c r="B241" s="3">
        <f>Data!I238</f>
        <v>287.38333333333321</v>
      </c>
      <c r="C241" s="3">
        <f>Data!D238/Data!G238</f>
        <v>24.472497998757042</v>
      </c>
      <c r="D241" s="3">
        <f>B$4/C241</f>
        <v>1.5879457831388422</v>
      </c>
      <c r="E241" s="3">
        <f>Data!H238/Data!G238</f>
        <v>11.366590697250222</v>
      </c>
      <c r="F241" s="3">
        <f>C$4/E241</f>
        <v>1.792973860220926</v>
      </c>
      <c r="G241" s="3">
        <f t="shared" si="163"/>
        <v>1.0073831674473226</v>
      </c>
      <c r="H241" s="11">
        <f t="shared" si="164"/>
        <v>0.30747342043138559</v>
      </c>
      <c r="I241" s="3">
        <f t="shared" si="165"/>
        <v>38.902061412867411</v>
      </c>
      <c r="J241" s="3">
        <f t="shared" si="166"/>
        <v>20.956047891506852</v>
      </c>
      <c r="K241" s="3">
        <f t="shared" si="167"/>
        <v>540.73865363885704</v>
      </c>
      <c r="L241" s="3">
        <f t="shared" si="168"/>
        <v>291.28906569194527</v>
      </c>
      <c r="M241" s="21">
        <f t="shared" ref="M241" si="215">AVERAGE(K241:K243)</f>
        <v>540.71324515495826</v>
      </c>
      <c r="N241" s="21">
        <f t="shared" ref="N241" si="216">AVERAGE(L241:L243)</f>
        <v>291.28213978625809</v>
      </c>
      <c r="O241" s="4" t="str">
        <f>Data!A238</f>
        <v>Calibrate_30C</v>
      </c>
      <c r="P241" s="18">
        <f t="shared" ref="P241" si="217">STDEV(K241:K243)/SQRT(3)</f>
        <v>1.6315507172727228E-2</v>
      </c>
      <c r="Q241" s="18">
        <f t="shared" ref="Q241" si="218">STDEV(L241:L243)/SQRT(3)</f>
        <v>3.5404980845533955E-3</v>
      </c>
    </row>
    <row r="242" spans="1:17" x14ac:dyDescent="0.3">
      <c r="B242" s="3">
        <f>Data!I239</f>
        <v>287.45000000000005</v>
      </c>
      <c r="C242" s="3">
        <f>Data!D239/Data!G239</f>
        <v>24.466823404613894</v>
      </c>
      <c r="D242" s="3">
        <f t="shared" ref="D242:D243" si="219">B$4/C242</f>
        <v>1.5883140756503635</v>
      </c>
      <c r="E242" s="3">
        <f>Data!H239/Data!G239</f>
        <v>11.366096669800539</v>
      </c>
      <c r="F242" s="3">
        <f>C$4/E242</f>
        <v>1.7930517918388988</v>
      </c>
      <c r="G242" s="3">
        <f t="shared" si="163"/>
        <v>1.0017232228895949</v>
      </c>
      <c r="H242" s="11">
        <f t="shared" si="164"/>
        <v>0.30701512806225217</v>
      </c>
      <c r="I242" s="3">
        <f t="shared" si="165"/>
        <v>38.898043867128131</v>
      </c>
      <c r="J242" s="3">
        <f t="shared" si="166"/>
        <v>20.955208662698809</v>
      </c>
      <c r="K242" s="3">
        <f t="shared" si="167"/>
        <v>540.68280975308107</v>
      </c>
      <c r="L242" s="3">
        <f t="shared" si="168"/>
        <v>291.27740041151344</v>
      </c>
    </row>
    <row r="243" spans="1:17" x14ac:dyDescent="0.3">
      <c r="B243" s="3">
        <f>Data!I240</f>
        <v>287.51666666666665</v>
      </c>
      <c r="C243" s="3">
        <f>Data!D240/Data!G240</f>
        <v>24.470402967026448</v>
      </c>
      <c r="D243" s="3">
        <f t="shared" si="219"/>
        <v>1.5880817349989982</v>
      </c>
      <c r="E243" s="3">
        <f>Data!H240/Data!G240</f>
        <v>11.366161227965485</v>
      </c>
      <c r="F243" s="3">
        <f>C$4/E243</f>
        <v>1.7930416075619904</v>
      </c>
      <c r="G243" s="3">
        <f t="shared" si="163"/>
        <v>1.0053174348875693</v>
      </c>
      <c r="H243" s="11">
        <f t="shared" si="164"/>
        <v>0.30711542130774738</v>
      </c>
      <c r="I243" s="3">
        <f t="shared" si="165"/>
        <v>38.90059511316089</v>
      </c>
      <c r="J243" s="3">
        <f t="shared" si="166"/>
        <v>20.9553923205263</v>
      </c>
      <c r="K243" s="3">
        <f t="shared" si="167"/>
        <v>540.71827207293643</v>
      </c>
      <c r="L243" s="3">
        <f t="shared" si="168"/>
        <v>291.2799532553156</v>
      </c>
    </row>
    <row r="244" spans="1:17" x14ac:dyDescent="0.3">
      <c r="A244" t="str">
        <f>Data!A241</f>
        <v>10_T2_1</v>
      </c>
      <c r="B244" s="3">
        <f>Data!I241</f>
        <v>290.88333333333321</v>
      </c>
      <c r="C244" s="3">
        <f>Data!D241/Data!G241</f>
        <v>23.927746539910839</v>
      </c>
      <c r="D244" s="3">
        <f t="shared" si="174"/>
        <v>1.624097778500825</v>
      </c>
      <c r="E244" s="3">
        <f>Data!H241/Data!G241</f>
        <v>7.1304993422368241</v>
      </c>
      <c r="F244" s="3">
        <f t="shared" si="175"/>
        <v>2.8581448537946055</v>
      </c>
      <c r="G244" s="3">
        <f t="shared" si="163"/>
        <v>0.4634008118356725</v>
      </c>
      <c r="H244" s="11">
        <f t="shared" si="164"/>
        <v>-3.9267418428531435</v>
      </c>
      <c r="I244" s="3">
        <f t="shared" si="165"/>
        <v>38.515931483017305</v>
      </c>
      <c r="J244" s="3">
        <f t="shared" si="166"/>
        <v>13.202317592368679</v>
      </c>
      <c r="K244" s="3">
        <f t="shared" si="167"/>
        <v>535.37144761394052</v>
      </c>
      <c r="L244" s="3">
        <f t="shared" si="168"/>
        <v>183.51221453392463</v>
      </c>
      <c r="M244" s="21">
        <f t="shared" ref="M244" si="220">AVERAGE(K244:K246)</f>
        <v>535.40662006387288</v>
      </c>
      <c r="N244" s="21">
        <f t="shared" ref="N244" si="221">AVERAGE(L244:L246)</f>
        <v>183.31813706661421</v>
      </c>
      <c r="O244" s="4" t="str">
        <f>Data!A241</f>
        <v>10_T2_1</v>
      </c>
      <c r="P244" s="18">
        <f t="shared" ref="P244" si="222">STDEV(K244:K246)/SQRT(3)</f>
        <v>3.7338117116236108E-2</v>
      </c>
      <c r="Q244" s="18">
        <f t="shared" ref="Q244" si="223">STDEV(L244:L246)/SQRT(3)</f>
        <v>9.9176631526420367E-2</v>
      </c>
    </row>
    <row r="245" spans="1:17" x14ac:dyDescent="0.3">
      <c r="B245" s="3">
        <f>Data!I242</f>
        <v>290.98333333333335</v>
      </c>
      <c r="C245" s="3">
        <f>Data!D242/Data!G242</f>
        <v>23.927289736586037</v>
      </c>
      <c r="D245" s="3">
        <f t="shared" si="174"/>
        <v>1.6241287846562731</v>
      </c>
      <c r="E245" s="3">
        <f>Data!H242/Data!G242</f>
        <v>7.1204023909422034</v>
      </c>
      <c r="F245" s="3">
        <f t="shared" si="175"/>
        <v>2.8621977917884536</v>
      </c>
      <c r="G245" s="3">
        <f t="shared" si="163"/>
        <v>0.46296598288899915</v>
      </c>
      <c r="H245" s="11">
        <f t="shared" si="164"/>
        <v>-3.9367851915269405</v>
      </c>
      <c r="I245" s="3">
        <f t="shared" si="165"/>
        <v>38.515622832435277</v>
      </c>
      <c r="J245" s="3">
        <f t="shared" si="166"/>
        <v>13.183926128525997</v>
      </c>
      <c r="K245" s="3">
        <f t="shared" si="167"/>
        <v>535.36715737085035</v>
      </c>
      <c r="L245" s="3">
        <f t="shared" si="168"/>
        <v>183.25657318651136</v>
      </c>
    </row>
    <row r="246" spans="1:17" x14ac:dyDescent="0.3">
      <c r="B246" s="3">
        <f>Data!I243</f>
        <v>291.0333333333333</v>
      </c>
      <c r="C246" s="3">
        <f>Data!D243/Data!G243</f>
        <v>23.938842905737719</v>
      </c>
      <c r="D246" s="3">
        <f t="shared" si="174"/>
        <v>1.6233449608663291</v>
      </c>
      <c r="E246" s="3">
        <f>Data!H243/Data!G243</f>
        <v>7.1175881976313713</v>
      </c>
      <c r="F246" s="3">
        <f t="shared" si="175"/>
        <v>2.8633294641550298</v>
      </c>
      <c r="G246" s="3">
        <f t="shared" si="163"/>
        <v>0.47453013922974563</v>
      </c>
      <c r="H246" s="11">
        <f t="shared" si="164"/>
        <v>-3.9395725835273607</v>
      </c>
      <c r="I246" s="3">
        <f t="shared" si="165"/>
        <v>38.523831309843715</v>
      </c>
      <c r="J246" s="3">
        <f t="shared" si="166"/>
        <v>13.178821833050838</v>
      </c>
      <c r="K246" s="3">
        <f t="shared" si="167"/>
        <v>535.48125520682765</v>
      </c>
      <c r="L246" s="3">
        <f t="shared" si="168"/>
        <v>183.18562347940664</v>
      </c>
    </row>
    <row r="247" spans="1:17" x14ac:dyDescent="0.3">
      <c r="A247" t="str">
        <f>Data!A244</f>
        <v>11_T2_1</v>
      </c>
      <c r="B247" s="3">
        <f>Data!I244</f>
        <v>293.0333333333333</v>
      </c>
      <c r="C247" s="3">
        <f>Data!D244/Data!G244</f>
        <v>23.985636943489961</v>
      </c>
      <c r="D247" s="3">
        <f t="shared" si="174"/>
        <v>1.6201779461415311</v>
      </c>
      <c r="E247" s="3">
        <f>Data!H244/Data!G244</f>
        <v>7.3076221421555489</v>
      </c>
      <c r="F247" s="3">
        <f t="shared" si="175"/>
        <v>2.7888688828659736</v>
      </c>
      <c r="G247" s="3">
        <f t="shared" si="163"/>
        <v>0.52176366454459</v>
      </c>
      <c r="H247" s="11">
        <f t="shared" si="164"/>
        <v>-3.7484665865866864</v>
      </c>
      <c r="I247" s="3">
        <f t="shared" si="165"/>
        <v>38.557358643273282</v>
      </c>
      <c r="J247" s="3">
        <f t="shared" si="166"/>
        <v>13.528776728276565</v>
      </c>
      <c r="K247" s="3">
        <f t="shared" si="167"/>
        <v>535.9472851414987</v>
      </c>
      <c r="L247" s="3">
        <f t="shared" si="168"/>
        <v>188.04999652304426</v>
      </c>
      <c r="M247" s="21">
        <f t="shared" ref="M247" si="224">AVERAGE(K247:K249)</f>
        <v>536.03133731634227</v>
      </c>
      <c r="N247" s="21">
        <f t="shared" ref="N247" si="225">AVERAGE(L247:L249)</f>
        <v>188.14738868435529</v>
      </c>
      <c r="O247" s="4" t="str">
        <f>Data!A244</f>
        <v>11_T2_1</v>
      </c>
      <c r="P247" s="18">
        <f t="shared" ref="P247" si="226">STDEV(K247:K249)/SQRT(3)</f>
        <v>4.6594502022200376E-2</v>
      </c>
      <c r="Q247" s="18">
        <f t="shared" ref="Q247" si="227">STDEV(L247:L249)/SQRT(3)</f>
        <v>5.2392492640183717E-2</v>
      </c>
    </row>
    <row r="248" spans="1:17" x14ac:dyDescent="0.3">
      <c r="B248" s="3">
        <f>Data!I245</f>
        <v>293.11666666666656</v>
      </c>
      <c r="C248" s="3">
        <f>Data!D245/Data!G245</f>
        <v>23.994864823876654</v>
      </c>
      <c r="D248" s="3">
        <f t="shared" si="174"/>
        <v>1.61955486247751</v>
      </c>
      <c r="E248" s="3">
        <f>Data!H245/Data!G245</f>
        <v>7.3120014491361989</v>
      </c>
      <c r="F248" s="3">
        <f t="shared" si="175"/>
        <v>2.7871985723426769</v>
      </c>
      <c r="G248" s="3">
        <f t="shared" si="163"/>
        <v>0.53100985691305524</v>
      </c>
      <c r="H248" s="11">
        <f t="shared" si="164"/>
        <v>-3.7440426107553488</v>
      </c>
      <c r="I248" s="3">
        <f t="shared" si="165"/>
        <v>38.563921781900454</v>
      </c>
      <c r="J248" s="3">
        <f t="shared" si="166"/>
        <v>13.53687794971033</v>
      </c>
      <c r="K248" s="3">
        <f t="shared" si="167"/>
        <v>536.03851276841635</v>
      </c>
      <c r="L248" s="3">
        <f t="shared" si="168"/>
        <v>188.1626035009736</v>
      </c>
    </row>
    <row r="249" spans="1:17" x14ac:dyDescent="0.3">
      <c r="B249" s="3">
        <f>Data!I246</f>
        <v>293.16666666666652</v>
      </c>
      <c r="C249" s="3">
        <f>Data!D246/Data!G246</f>
        <v>24.0019182685812</v>
      </c>
      <c r="D249" s="3">
        <f t="shared" si="174"/>
        <v>1.6190789238237477</v>
      </c>
      <c r="E249" s="3">
        <f>Data!H246/Data!G246</f>
        <v>7.3146053960374333</v>
      </c>
      <c r="F249" s="3">
        <f t="shared" si="175"/>
        <v>2.7862063497014518</v>
      </c>
      <c r="G249" s="3">
        <f t="shared" si="163"/>
        <v>0.53807428880666919</v>
      </c>
      <c r="H249" s="11">
        <f t="shared" si="164"/>
        <v>-3.7414118625437025</v>
      </c>
      <c r="I249" s="3">
        <f t="shared" si="165"/>
        <v>38.568936261806599</v>
      </c>
      <c r="J249" s="3">
        <f t="shared" si="166"/>
        <v>13.541695397773239</v>
      </c>
      <c r="K249" s="3">
        <f t="shared" si="167"/>
        <v>536.10821403911177</v>
      </c>
      <c r="L249" s="3">
        <f t="shared" si="168"/>
        <v>188.22956602904802</v>
      </c>
    </row>
    <row r="250" spans="1:17" x14ac:dyDescent="0.3">
      <c r="A250" t="str">
        <f>Data!A247</f>
        <v>12_T2_1</v>
      </c>
      <c r="B250" s="3">
        <f>Data!I247</f>
        <v>296.09999999999991</v>
      </c>
      <c r="C250" s="3">
        <f>Data!D247/Data!G247</f>
        <v>24.669202844018599</v>
      </c>
      <c r="D250" s="3">
        <f t="shared" si="174"/>
        <v>1.5752839783966672</v>
      </c>
      <c r="E250" s="3">
        <f>Data!H247/Data!G247</f>
        <v>5.3192606832747007</v>
      </c>
      <c r="F250" s="3">
        <f t="shared" si="175"/>
        <v>3.8313595090536987</v>
      </c>
      <c r="G250" s="3">
        <f t="shared" si="163"/>
        <v>1.2060034460025477</v>
      </c>
      <c r="H250" s="11">
        <f t="shared" si="164"/>
        <v>-5.7351842317622399</v>
      </c>
      <c r="I250" s="3">
        <f t="shared" si="165"/>
        <v>39.043046195616668</v>
      </c>
      <c r="J250" s="3">
        <f t="shared" si="166"/>
        <v>9.8906828092440442</v>
      </c>
      <c r="K250" s="3">
        <f t="shared" si="167"/>
        <v>542.69834211907175</v>
      </c>
      <c r="L250" s="3">
        <f t="shared" si="168"/>
        <v>137.48049104849221</v>
      </c>
      <c r="M250" s="21">
        <f t="shared" ref="M250" si="228">AVERAGE(K250:K252)</f>
        <v>542.80796320581692</v>
      </c>
      <c r="N250" s="21">
        <f t="shared" ref="N250" si="229">AVERAGE(L250:L252)</f>
        <v>137.29103854712045</v>
      </c>
      <c r="O250" s="4" t="str">
        <f>Data!A247</f>
        <v>12_T2_1</v>
      </c>
      <c r="P250" s="18">
        <f t="shared" ref="P250" si="230">STDEV(K250:K252)/SQRT(3)</f>
        <v>6.9076533000754878E-2</v>
      </c>
      <c r="Q250" s="18">
        <f t="shared" ref="Q250" si="231">STDEV(L250:L252)/SQRT(3)</f>
        <v>0.10556063742888848</v>
      </c>
    </row>
    <row r="251" spans="1:17" x14ac:dyDescent="0.3">
      <c r="B251" s="3">
        <f>Data!I248</f>
        <v>296.23333333333335</v>
      </c>
      <c r="C251" s="3">
        <f>Data!D248/Data!G248</f>
        <v>24.693219262505341</v>
      </c>
      <c r="D251" s="3">
        <f t="shared" si="174"/>
        <v>1.5737518703771154</v>
      </c>
      <c r="E251" s="3">
        <f>Data!H248/Data!G248</f>
        <v>5.3111945529317994</v>
      </c>
      <c r="F251" s="3">
        <f t="shared" si="175"/>
        <v>3.837178208572714</v>
      </c>
      <c r="G251" s="3">
        <f t="shared" si="163"/>
        <v>1.2300491636601301</v>
      </c>
      <c r="H251" s="11">
        <f t="shared" si="164"/>
        <v>-5.7431788919440416</v>
      </c>
      <c r="I251" s="3">
        <f t="shared" si="165"/>
        <v>39.060114343464733</v>
      </c>
      <c r="J251" s="3">
        <f t="shared" si="166"/>
        <v>9.8760429208518641</v>
      </c>
      <c r="K251" s="3">
        <f t="shared" si="167"/>
        <v>542.9355893741598</v>
      </c>
      <c r="L251" s="3">
        <f t="shared" si="168"/>
        <v>137.27699659984091</v>
      </c>
    </row>
    <row r="252" spans="1:17" x14ac:dyDescent="0.3">
      <c r="B252" s="3">
        <f>Data!I249</f>
        <v>296.2833333333333</v>
      </c>
      <c r="C252" s="3">
        <f>Data!D249/Data!G249</f>
        <v>24.678448113320314</v>
      </c>
      <c r="D252" s="3">
        <f t="shared" si="174"/>
        <v>1.5746938308906295</v>
      </c>
      <c r="E252" s="3">
        <f>Data!H249/Data!G249</f>
        <v>5.3048280839595474</v>
      </c>
      <c r="F252" s="3">
        <f t="shared" si="175"/>
        <v>3.8417833108718344</v>
      </c>
      <c r="G252" s="3">
        <f t="shared" si="163"/>
        <v>1.2152890016641678</v>
      </c>
      <c r="H252" s="11">
        <f t="shared" si="164"/>
        <v>-5.74951855960588</v>
      </c>
      <c r="I252" s="3">
        <f t="shared" si="165"/>
        <v>39.049637275123665</v>
      </c>
      <c r="J252" s="3">
        <f t="shared" si="166"/>
        <v>9.8644336685631817</v>
      </c>
      <c r="K252" s="3">
        <f t="shared" si="167"/>
        <v>542.78995812421897</v>
      </c>
      <c r="L252" s="3">
        <f t="shared" si="168"/>
        <v>137.11562799302823</v>
      </c>
    </row>
    <row r="253" spans="1:17" x14ac:dyDescent="0.3">
      <c r="A253" t="str">
        <f>Data!A250</f>
        <v>Calibrate_20C</v>
      </c>
      <c r="B253" s="3">
        <f>Data!I250</f>
        <v>301.11666666666656</v>
      </c>
      <c r="C253" s="3">
        <f>Data!D250/Data!G250</f>
        <v>23.419944918099841</v>
      </c>
      <c r="D253" s="3">
        <f t="shared" ref="D253:D255" si="232">B$3/C253</f>
        <v>1.6305332968775519</v>
      </c>
      <c r="E253" s="3">
        <f>Data!H250/Data!G250</f>
        <v>11.125983377104532</v>
      </c>
      <c r="F253" s="3">
        <f>C$3/E253</f>
        <v>1.8329166338649656</v>
      </c>
      <c r="G253" s="3">
        <f t="shared" si="163"/>
        <v>-4.2152098613357225E-2</v>
      </c>
      <c r="H253" s="11">
        <f t="shared" si="164"/>
        <v>7.4227526878971162E-2</v>
      </c>
      <c r="I253" s="3">
        <f t="shared" si="165"/>
        <v>38.157079568367045</v>
      </c>
      <c r="J253" s="3">
        <f t="shared" si="166"/>
        <v>20.5289260662022</v>
      </c>
      <c r="K253" s="3">
        <f t="shared" si="167"/>
        <v>530.38340600030199</v>
      </c>
      <c r="L253" s="3">
        <f t="shared" si="168"/>
        <v>285.3520723202106</v>
      </c>
      <c r="M253" s="21">
        <f t="shared" ref="M253" si="233">AVERAGE(K253:K255)</f>
        <v>530.37700752831859</v>
      </c>
      <c r="N253" s="21">
        <f t="shared" ref="N253" si="234">AVERAGE(L253:L255)</f>
        <v>285.46368933565213</v>
      </c>
      <c r="O253" s="4" t="str">
        <f>Data!A250</f>
        <v>Calibrate_20C</v>
      </c>
      <c r="P253" s="18">
        <f t="shared" ref="P253" si="235">STDEV(K253:K255)/SQRT(3)</f>
        <v>4.5157155866009822E-3</v>
      </c>
      <c r="Q253" s="18">
        <f t="shared" ref="Q253" si="236">STDEV(L253:L255)/SQRT(3)</f>
        <v>6.3370909053456215E-2</v>
      </c>
    </row>
    <row r="254" spans="1:17" x14ac:dyDescent="0.3">
      <c r="B254" s="3">
        <f>Data!I251</f>
        <v>301.25</v>
      </c>
      <c r="C254" s="3">
        <f>Data!D251/Data!G251</f>
        <v>23.419502324890541</v>
      </c>
      <c r="D254" s="3">
        <f t="shared" si="232"/>
        <v>1.6305641114932821</v>
      </c>
      <c r="E254" s="3">
        <f>Data!H251/Data!G251</f>
        <v>11.130446672116166</v>
      </c>
      <c r="F254" s="3">
        <f>C$3/E254</f>
        <v>1.832181636617356</v>
      </c>
      <c r="G254" s="3">
        <f t="shared" si="163"/>
        <v>-4.256539265181658E-2</v>
      </c>
      <c r="H254" s="11">
        <f t="shared" si="164"/>
        <v>7.8762292051704819E-2</v>
      </c>
      <c r="I254" s="3">
        <f t="shared" si="165"/>
        <v>38.156786203708371</v>
      </c>
      <c r="J254" s="3">
        <f t="shared" si="166"/>
        <v>20.537230166001798</v>
      </c>
      <c r="K254" s="3">
        <f t="shared" si="167"/>
        <v>530.37932823154642</v>
      </c>
      <c r="L254" s="3">
        <f t="shared" si="168"/>
        <v>285.46749930742499</v>
      </c>
    </row>
    <row r="255" spans="1:17" x14ac:dyDescent="0.3">
      <c r="B255" s="3">
        <f>Data!I252</f>
        <v>301.36666666666656</v>
      </c>
      <c r="C255" s="3">
        <f>Data!D252/Data!G252</f>
        <v>23.418357763474273</v>
      </c>
      <c r="D255" s="3">
        <f t="shared" si="232"/>
        <v>1.6306438045609009</v>
      </c>
      <c r="E255" s="3">
        <f>Data!H252/Data!G252</f>
        <v>11.134469855287678</v>
      </c>
      <c r="F255" s="3">
        <f>C$3/E255</f>
        <v>1.8315196201564563</v>
      </c>
      <c r="G255" s="3">
        <f t="shared" si="163"/>
        <v>-4.3684317293600117E-2</v>
      </c>
      <c r="H255" s="11">
        <f t="shared" si="164"/>
        <v>8.2848011614178318E-2</v>
      </c>
      <c r="I255" s="3">
        <f t="shared" si="165"/>
        <v>38.155991967849467</v>
      </c>
      <c r="J255" s="3">
        <f t="shared" si="166"/>
        <v>20.54471196973531</v>
      </c>
      <c r="K255" s="3">
        <f t="shared" si="167"/>
        <v>530.36828835310757</v>
      </c>
      <c r="L255" s="3">
        <f t="shared" si="168"/>
        <v>285.57149637932082</v>
      </c>
    </row>
    <row r="256" spans="1:17" x14ac:dyDescent="0.3">
      <c r="A256" t="str">
        <f>Data!A253</f>
        <v>Calibrate_30C</v>
      </c>
      <c r="B256" s="3">
        <f>Data!I253</f>
        <v>304.76666666666665</v>
      </c>
      <c r="C256" s="3">
        <f>Data!D253/Data!G253</f>
        <v>24.48107535109288</v>
      </c>
      <c r="D256" s="3">
        <f>B$4/C256</f>
        <v>1.5873894198959349</v>
      </c>
      <c r="E256" s="3">
        <f>Data!H253/Data!G253</f>
        <v>11.392989068097018</v>
      </c>
      <c r="F256" s="3">
        <f>C$4/E256</f>
        <v>1.7888194114983111</v>
      </c>
      <c r="G256" s="3">
        <f t="shared" si="163"/>
        <v>1.0197803991814283</v>
      </c>
      <c r="H256" s="11">
        <f t="shared" si="164"/>
        <v>0.34318971353156158</v>
      </c>
      <c r="I256" s="3">
        <f t="shared" si="165"/>
        <v>38.910861224424615</v>
      </c>
      <c r="J256" s="3">
        <f t="shared" si="166"/>
        <v>21.021451865269139</v>
      </c>
      <c r="K256" s="3">
        <f t="shared" si="167"/>
        <v>540.86097101950213</v>
      </c>
      <c r="L256" s="3">
        <f t="shared" si="168"/>
        <v>292.19818092724103</v>
      </c>
      <c r="M256" s="21">
        <f t="shared" ref="M256" si="237">AVERAGE(K256:K258)</f>
        <v>540.85831595600678</v>
      </c>
      <c r="N256" s="21">
        <f t="shared" ref="N256" si="238">AVERAGE(L256:L258)</f>
        <v>292.28568036748135</v>
      </c>
      <c r="O256" s="4" t="str">
        <f>Data!A253</f>
        <v>Calibrate_30C</v>
      </c>
      <c r="P256" s="18">
        <f t="shared" ref="P256" si="239">STDEV(K256:K258)/SQRT(3)</f>
        <v>1.8302224541589741E-2</v>
      </c>
      <c r="Q256" s="18">
        <f t="shared" ref="Q256" si="240">STDEV(L256:L258)/SQRT(3)</f>
        <v>4.4123313553814124E-2</v>
      </c>
    </row>
    <row r="257" spans="2:12" x14ac:dyDescent="0.3">
      <c r="B257" s="3">
        <f>Data!I254</f>
        <v>304.86666666666656</v>
      </c>
      <c r="C257" s="3">
        <f>Data!D254/Data!G254</f>
        <v>24.483854194218697</v>
      </c>
      <c r="D257" s="3">
        <f t="shared" ref="D257:D258" si="241">B$4/C257</f>
        <v>1.5872092560155882</v>
      </c>
      <c r="E257" s="3">
        <f>Data!H254/Data!G254</f>
        <v>11.397701950251177</v>
      </c>
      <c r="F257" s="3">
        <f>C$4/E257</f>
        <v>1.7880797452815367</v>
      </c>
      <c r="G257" s="3">
        <f t="shared" si="163"/>
        <v>1.0225812166853778</v>
      </c>
      <c r="H257" s="11">
        <f t="shared" si="164"/>
        <v>0.34795619830654623</v>
      </c>
      <c r="I257" s="3">
        <f t="shared" si="165"/>
        <v>38.912849302631869</v>
      </c>
      <c r="J257" s="3">
        <f t="shared" si="166"/>
        <v>21.030180291936684</v>
      </c>
      <c r="K257" s="3">
        <f t="shared" si="167"/>
        <v>540.88860530658303</v>
      </c>
      <c r="L257" s="3">
        <f t="shared" si="168"/>
        <v>292.31950605791991</v>
      </c>
    </row>
    <row r="258" spans="2:12" x14ac:dyDescent="0.3">
      <c r="B258" s="3">
        <f>Data!I255</f>
        <v>304.9666666666667</v>
      </c>
      <c r="C258" s="3">
        <f>Data!D255/Data!G255</f>
        <v>24.477423288995045</v>
      </c>
      <c r="D258" s="3">
        <f t="shared" si="241"/>
        <v>1.5876262603781401</v>
      </c>
      <c r="E258" s="3">
        <f>Data!H255/Data!G255</f>
        <v>11.398428115780932</v>
      </c>
      <c r="F258" s="3">
        <f>C$4/E258</f>
        <v>1.7879658311644069</v>
      </c>
      <c r="G258" s="3">
        <f t="shared" si="163"/>
        <v>1.0161722858398541</v>
      </c>
      <c r="H258" s="11">
        <f t="shared" si="164"/>
        <v>0.34873596645712546</v>
      </c>
      <c r="I258" s="3">
        <f t="shared" si="165"/>
        <v>38.908300110930583</v>
      </c>
      <c r="J258" s="3">
        <f t="shared" si="166"/>
        <v>21.031608209876492</v>
      </c>
      <c r="K258" s="3">
        <f t="shared" si="167"/>
        <v>540.82537154193506</v>
      </c>
      <c r="L258" s="3">
        <f t="shared" si="168"/>
        <v>292.33935411728322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5"/>
  <sheetViews>
    <sheetView zoomScale="130" zoomScaleNormal="130" zoomScalePageLayoutView="130" workbookViewId="0">
      <selection activeCell="H5" sqref="H5:P25"/>
    </sheetView>
  </sheetViews>
  <sheetFormatPr defaultColWidth="8.81640625" defaultRowHeight="13" x14ac:dyDescent="0.3"/>
  <cols>
    <col min="1" max="1" width="26.453125" style="25" customWidth="1"/>
    <col min="2" max="2" width="10.6328125" style="25" customWidth="1"/>
    <col min="3" max="3" width="13.36328125" style="25" customWidth="1"/>
    <col min="4" max="4" width="10.81640625" style="25" customWidth="1"/>
    <col min="5" max="5" width="16.1796875" style="25" customWidth="1"/>
    <col min="6" max="6" width="9.36328125" style="25" customWidth="1"/>
    <col min="7" max="7" width="8.81640625" style="26"/>
    <col min="8" max="8" width="8.81640625" style="25"/>
    <col min="9" max="9" width="20.36328125" style="25" bestFit="1" customWidth="1"/>
    <col min="10" max="16384" width="8.81640625" style="25"/>
  </cols>
  <sheetData>
    <row r="1" spans="1:16" x14ac:dyDescent="0.3">
      <c r="A1" s="12">
        <v>531.20000000000005</v>
      </c>
      <c r="B1" s="15" t="s">
        <v>68</v>
      </c>
      <c r="C1" s="12"/>
      <c r="D1" s="12"/>
      <c r="E1" s="12"/>
      <c r="F1" s="12"/>
      <c r="G1" s="2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27">
        <f>AVERAGE(Data!D10:D12,Data!D16:D18,Data!D76:D78,Data!D136:D138,Data!D196:D198,Data!D202:D204)</f>
        <v>2.4164916666666672E-10</v>
      </c>
      <c r="B2" s="15" t="s">
        <v>69</v>
      </c>
      <c r="C2" s="12"/>
      <c r="D2" s="12"/>
      <c r="E2" s="12"/>
      <c r="F2" s="12"/>
      <c r="G2" s="22"/>
      <c r="H2" s="12"/>
      <c r="I2" s="12"/>
      <c r="J2" s="12"/>
      <c r="K2" s="12"/>
      <c r="L2" s="12"/>
      <c r="M2" s="12"/>
      <c r="N2" s="12"/>
      <c r="O2" s="12"/>
      <c r="P2" s="12"/>
    </row>
    <row r="4" spans="1:16" x14ac:dyDescent="0.3">
      <c r="A4" s="12"/>
      <c r="B4" s="12"/>
      <c r="C4" s="28" t="s">
        <v>70</v>
      </c>
      <c r="D4" s="28" t="s">
        <v>71</v>
      </c>
      <c r="E4" s="12"/>
      <c r="F4" s="12" t="s">
        <v>72</v>
      </c>
      <c r="G4" s="2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3">
      <c r="A5" s="12"/>
      <c r="B5" s="28" t="s">
        <v>73</v>
      </c>
      <c r="C5" s="28" t="s">
        <v>74</v>
      </c>
      <c r="D5" s="28" t="s">
        <v>11</v>
      </c>
      <c r="E5" s="28" t="s">
        <v>75</v>
      </c>
      <c r="F5" s="28" t="s">
        <v>76</v>
      </c>
      <c r="G5" s="22"/>
      <c r="H5" t="s">
        <v>16</v>
      </c>
      <c r="I5"/>
      <c r="J5"/>
      <c r="K5"/>
      <c r="L5"/>
      <c r="M5"/>
      <c r="N5"/>
      <c r="O5"/>
      <c r="P5"/>
    </row>
    <row r="6" spans="1:16" ht="13.5" thickBot="1" x14ac:dyDescent="0.35">
      <c r="A6" s="12"/>
      <c r="B6" s="12"/>
      <c r="C6" s="12"/>
      <c r="D6" s="12"/>
      <c r="E6" s="12"/>
      <c r="F6" s="12"/>
      <c r="G6" s="22"/>
      <c r="H6"/>
      <c r="I6"/>
      <c r="J6"/>
      <c r="K6"/>
      <c r="L6"/>
      <c r="M6"/>
      <c r="N6"/>
      <c r="O6"/>
      <c r="P6"/>
    </row>
    <row r="7" spans="1:16" x14ac:dyDescent="0.3">
      <c r="A7" s="12" t="str">
        <f>Data!A10</f>
        <v>Calibrate_20C</v>
      </c>
      <c r="B7" s="27">
        <f>Data!D10*Data!H10</f>
        <v>3.8327904160750003E-20</v>
      </c>
      <c r="C7" s="29">
        <f>SQRT(B7)</f>
        <v>1.9577513672770096E-10</v>
      </c>
      <c r="D7" s="27">
        <f>Data!F10</f>
        <v>0</v>
      </c>
      <c r="E7" s="29">
        <f>D7-(C7*I$22+I$21)</f>
        <v>-1.4461058879202604E-13</v>
      </c>
      <c r="F7" s="30">
        <f>A$1*E7/A$2</f>
        <v>-0.31788706671720734</v>
      </c>
      <c r="G7" s="21"/>
      <c r="H7" s="14" t="s">
        <v>19</v>
      </c>
      <c r="I7" s="14"/>
      <c r="J7"/>
      <c r="K7"/>
      <c r="L7"/>
      <c r="M7"/>
      <c r="N7"/>
      <c r="O7"/>
      <c r="P7"/>
    </row>
    <row r="8" spans="1:16" x14ac:dyDescent="0.3">
      <c r="A8" s="12"/>
      <c r="B8" s="27">
        <f>Data!D11*Data!H11</f>
        <v>3.8284296599999996E-20</v>
      </c>
      <c r="C8" s="29">
        <f t="shared" ref="C8:C18" si="0">SQRT(B8)</f>
        <v>1.9566373348170579E-10</v>
      </c>
      <c r="D8" s="27">
        <f>Data!F11</f>
        <v>0</v>
      </c>
      <c r="E8" s="29">
        <f t="shared" ref="E8:E18" si="1">D8-(C8*I$22+I$21)</f>
        <v>-1.4456177530846383E-13</v>
      </c>
      <c r="F8" s="30">
        <f t="shared" ref="F8:F18" si="2">A$1*E8/A$2</f>
        <v>-0.31777976354366066</v>
      </c>
      <c r="G8" s="22"/>
      <c r="H8" t="s">
        <v>20</v>
      </c>
      <c r="I8">
        <v>0.92093908299579075</v>
      </c>
      <c r="J8"/>
      <c r="K8"/>
      <c r="L8"/>
      <c r="M8"/>
      <c r="N8"/>
      <c r="O8"/>
      <c r="P8"/>
    </row>
    <row r="9" spans="1:16" x14ac:dyDescent="0.3">
      <c r="A9" s="12"/>
      <c r="B9" s="27">
        <f>Data!D12*Data!H12</f>
        <v>3.827534947206E-20</v>
      </c>
      <c r="C9" s="29">
        <f t="shared" si="0"/>
        <v>1.9564086861405008E-10</v>
      </c>
      <c r="D9" s="27">
        <f>Data!F12</f>
        <v>0</v>
      </c>
      <c r="E9" s="29">
        <f t="shared" si="1"/>
        <v>-1.4455175662515264E-13</v>
      </c>
      <c r="F9" s="30">
        <f t="shared" si="2"/>
        <v>-0.31775774019200453</v>
      </c>
      <c r="G9" s="22"/>
      <c r="H9" t="s">
        <v>21</v>
      </c>
      <c r="I9">
        <v>0.84812879458912804</v>
      </c>
      <c r="J9"/>
      <c r="K9"/>
      <c r="L9"/>
      <c r="M9"/>
      <c r="N9"/>
      <c r="O9"/>
      <c r="P9"/>
    </row>
    <row r="10" spans="1:16" x14ac:dyDescent="0.3">
      <c r="A10" s="12" t="str">
        <f>Data!A13</f>
        <v>Calibrate_30C</v>
      </c>
      <c r="B10" s="27">
        <f>Data!D13*Data!H13</f>
        <v>2.8859365533200003E-20</v>
      </c>
      <c r="C10" s="29">
        <f t="shared" si="0"/>
        <v>1.6988044482282239E-10</v>
      </c>
      <c r="D10" s="27">
        <f>Data!F13</f>
        <v>0</v>
      </c>
      <c r="E10" s="29">
        <f t="shared" si="1"/>
        <v>-1.3326432947655092E-13</v>
      </c>
      <c r="F10" s="30">
        <f t="shared" si="2"/>
        <v>-0.29294540012046599</v>
      </c>
      <c r="G10" s="21"/>
      <c r="H10" t="s">
        <v>22</v>
      </c>
      <c r="I10">
        <v>0.8436619944299848</v>
      </c>
      <c r="J10"/>
      <c r="K10"/>
      <c r="L10"/>
      <c r="M10"/>
      <c r="N10"/>
      <c r="O10"/>
      <c r="P10"/>
    </row>
    <row r="11" spans="1:16" x14ac:dyDescent="0.3">
      <c r="A11" s="12"/>
      <c r="B11" s="27">
        <f>Data!D14*Data!H14</f>
        <v>2.891215097719E-20</v>
      </c>
      <c r="C11" s="29">
        <f t="shared" si="0"/>
        <v>1.7003573441247578E-10</v>
      </c>
      <c r="D11" s="27">
        <f>Data!F14</f>
        <v>0</v>
      </c>
      <c r="E11" s="29">
        <f t="shared" si="1"/>
        <v>-1.3333237260908458E-13</v>
      </c>
      <c r="F11" s="30">
        <f t="shared" si="2"/>
        <v>-0.29309497444964933</v>
      </c>
      <c r="G11" s="22"/>
      <c r="H11" t="s">
        <v>23</v>
      </c>
      <c r="I11">
        <v>6.5089012149427345E-15</v>
      </c>
      <c r="J11"/>
      <c r="K11"/>
      <c r="L11"/>
      <c r="M11"/>
      <c r="N11"/>
      <c r="O11"/>
      <c r="P11"/>
    </row>
    <row r="12" spans="1:16" ht="13.5" thickBot="1" x14ac:dyDescent="0.35">
      <c r="A12" s="12"/>
      <c r="B12" s="27">
        <f>Data!D15*Data!H15</f>
        <v>2.8866720519779998E-20</v>
      </c>
      <c r="C12" s="29">
        <f t="shared" si="0"/>
        <v>1.6990209098118834E-10</v>
      </c>
      <c r="D12" s="27">
        <f>Data!F15</f>
        <v>0</v>
      </c>
      <c r="E12" s="29">
        <f t="shared" si="1"/>
        <v>-1.3327381415885208E-13</v>
      </c>
      <c r="F12" s="30">
        <f t="shared" si="2"/>
        <v>-0.29296624961607104</v>
      </c>
      <c r="G12" s="22"/>
      <c r="H12" s="6" t="s">
        <v>24</v>
      </c>
      <c r="I12" s="6">
        <v>36</v>
      </c>
      <c r="J12"/>
      <c r="K12"/>
      <c r="L12"/>
      <c r="M12"/>
      <c r="N12"/>
      <c r="O12"/>
      <c r="P12"/>
    </row>
    <row r="13" spans="1:16" x14ac:dyDescent="0.3">
      <c r="A13" s="12" t="str">
        <f>Data!A16</f>
        <v>grassesIN_T0_1</v>
      </c>
      <c r="B13" s="27">
        <f>Data!D16*Data!H16</f>
        <v>2.4492426259434E-20</v>
      </c>
      <c r="C13" s="29">
        <f t="shared" si="0"/>
        <v>1.5650056312816897E-10</v>
      </c>
      <c r="D13" s="27">
        <f>Data!F16</f>
        <v>0</v>
      </c>
      <c r="E13" s="29">
        <f t="shared" si="1"/>
        <v>-1.2740167593058175E-13</v>
      </c>
      <c r="F13" s="30">
        <f t="shared" si="2"/>
        <v>-0.28005795007635043</v>
      </c>
      <c r="G13" s="21"/>
      <c r="H13"/>
      <c r="I13"/>
      <c r="J13"/>
      <c r="K13"/>
      <c r="L13"/>
      <c r="M13"/>
      <c r="N13"/>
      <c r="O13"/>
      <c r="P13"/>
    </row>
    <row r="14" spans="1:16" ht="13.5" thickBot="1" x14ac:dyDescent="0.35">
      <c r="A14" s="12"/>
      <c r="B14" s="27">
        <f>Data!D17*Data!H17</f>
        <v>2.4481510098045004E-20</v>
      </c>
      <c r="C14" s="29">
        <f t="shared" si="0"/>
        <v>1.5646568345181957E-10</v>
      </c>
      <c r="D14" s="27">
        <f>Data!F17</f>
        <v>0</v>
      </c>
      <c r="E14" s="29">
        <f t="shared" si="1"/>
        <v>-1.2738639272682117E-13</v>
      </c>
      <c r="F14" s="30">
        <f t="shared" si="2"/>
        <v>-0.28002435410765908</v>
      </c>
      <c r="G14" s="22"/>
      <c r="H14" t="s">
        <v>25</v>
      </c>
      <c r="I14"/>
      <c r="J14"/>
      <c r="K14"/>
      <c r="L14"/>
      <c r="M14"/>
      <c r="N14"/>
      <c r="O14"/>
      <c r="P14"/>
    </row>
    <row r="15" spans="1:16" x14ac:dyDescent="0.3">
      <c r="A15" s="12"/>
      <c r="B15" s="27">
        <f>Data!D18*Data!H18</f>
        <v>2.4502944499964997E-20</v>
      </c>
      <c r="C15" s="29">
        <f t="shared" si="0"/>
        <v>1.5653416400251096E-10</v>
      </c>
      <c r="D15" s="27">
        <f>Data!F18</f>
        <v>0</v>
      </c>
      <c r="E15" s="29">
        <f t="shared" si="1"/>
        <v>-1.2741639880254761E-13</v>
      </c>
      <c r="F15" s="30">
        <f t="shared" si="2"/>
        <v>-0.28009031430791864</v>
      </c>
      <c r="G15" s="22"/>
      <c r="H15" s="13"/>
      <c r="I15" s="13" t="s">
        <v>26</v>
      </c>
      <c r="J15" s="13" t="s">
        <v>27</v>
      </c>
      <c r="K15" s="13" t="s">
        <v>28</v>
      </c>
      <c r="L15" s="13" t="s">
        <v>29</v>
      </c>
      <c r="M15" s="13" t="s">
        <v>30</v>
      </c>
      <c r="N15"/>
      <c r="O15"/>
      <c r="P15"/>
    </row>
    <row r="16" spans="1:16" x14ac:dyDescent="0.3">
      <c r="A16" s="12" t="str">
        <f>Data!A19</f>
        <v>1_T0_1</v>
      </c>
      <c r="B16" s="27">
        <f>Data!D19*Data!H19</f>
        <v>1.7598901533856E-20</v>
      </c>
      <c r="C16" s="29">
        <f t="shared" si="0"/>
        <v>1.3266085154956605E-10</v>
      </c>
      <c r="D16" s="27">
        <f>Data!F19</f>
        <v>0</v>
      </c>
      <c r="E16" s="29">
        <f t="shared" si="1"/>
        <v>-1.169558459291828E-13</v>
      </c>
      <c r="F16" s="30">
        <f t="shared" si="2"/>
        <v>-0.25709563254269541</v>
      </c>
      <c r="G16" s="21"/>
      <c r="H16" t="s">
        <v>31</v>
      </c>
      <c r="I16">
        <v>1</v>
      </c>
      <c r="J16">
        <v>8.0441589923296962E-27</v>
      </c>
      <c r="K16">
        <v>8.0441589923296962E-27</v>
      </c>
      <c r="L16">
        <v>189.87390623532943</v>
      </c>
      <c r="M16">
        <v>1.7853514552401208E-15</v>
      </c>
      <c r="N16"/>
      <c r="O16"/>
      <c r="P16"/>
    </row>
    <row r="17" spans="1:16" x14ac:dyDescent="0.3">
      <c r="A17" s="12"/>
      <c r="B17" s="27">
        <f>Data!D20*Data!H20</f>
        <v>1.7549690760918003E-20</v>
      </c>
      <c r="C17" s="29">
        <f t="shared" si="0"/>
        <v>1.3247524584207421E-10</v>
      </c>
      <c r="D17" s="27">
        <f>Data!F20</f>
        <v>0</v>
      </c>
      <c r="E17" s="29">
        <f t="shared" si="1"/>
        <v>-1.1687451920417791E-13</v>
      </c>
      <c r="F17" s="30">
        <f t="shared" si="2"/>
        <v>-0.25691685784664114</v>
      </c>
      <c r="G17" s="22"/>
      <c r="H17" t="s">
        <v>32</v>
      </c>
      <c r="I17">
        <v>34</v>
      </c>
      <c r="J17">
        <v>1.4404370308800221E-27</v>
      </c>
      <c r="K17">
        <v>4.2365795025883006E-29</v>
      </c>
      <c r="L17"/>
      <c r="M17"/>
      <c r="N17"/>
      <c r="O17"/>
      <c r="P17"/>
    </row>
    <row r="18" spans="1:16" ht="13.5" thickBot="1" x14ac:dyDescent="0.35">
      <c r="A18" s="12"/>
      <c r="B18" s="27">
        <f>Data!D21*Data!H21</f>
        <v>1.7527647022850998E-20</v>
      </c>
      <c r="C18" s="29">
        <f t="shared" si="0"/>
        <v>1.3239202023857403E-10</v>
      </c>
      <c r="D18" s="27">
        <f>Data!F21</f>
        <v>0</v>
      </c>
      <c r="E18" s="29">
        <f t="shared" si="1"/>
        <v>-1.1683805229881875E-13</v>
      </c>
      <c r="F18" s="30">
        <f t="shared" si="2"/>
        <v>-0.25683669526882641</v>
      </c>
      <c r="G18" s="22"/>
      <c r="H18" s="6" t="s">
        <v>33</v>
      </c>
      <c r="I18" s="6">
        <v>35</v>
      </c>
      <c r="J18" s="6">
        <v>9.4845960232097183E-27</v>
      </c>
      <c r="K18" s="6"/>
      <c r="L18" s="6"/>
      <c r="M18" s="6"/>
      <c r="N18"/>
      <c r="O18"/>
      <c r="P18"/>
    </row>
    <row r="19" spans="1:16" ht="13.5" thickBot="1" x14ac:dyDescent="0.35">
      <c r="A19" s="12" t="str">
        <f>Data!A76</f>
        <v>typhaIN_T0_1</v>
      </c>
      <c r="B19" s="27">
        <f>Data!D76*Data!H76</f>
        <v>2.04589485306E-20</v>
      </c>
      <c r="C19" s="29">
        <f t="shared" ref="C19" si="3">SQRT(B19)</f>
        <v>1.4303478084228327E-10</v>
      </c>
      <c r="D19" s="27">
        <f>Data!F76</f>
        <v>0</v>
      </c>
      <c r="E19" s="29">
        <f t="shared" ref="E19" si="4">D19-(C19*I$22+I$21)</f>
        <v>-1.2150138338172136E-13</v>
      </c>
      <c r="F19" s="30">
        <f t="shared" ref="F19" si="5">A$1*E19/A$2</f>
        <v>-0.26708776091663344</v>
      </c>
      <c r="G19" s="21"/>
      <c r="H19"/>
      <c r="I19"/>
      <c r="J19"/>
      <c r="K19"/>
      <c r="L19"/>
      <c r="M19"/>
      <c r="N19"/>
      <c r="O19"/>
      <c r="P19"/>
    </row>
    <row r="20" spans="1:16" x14ac:dyDescent="0.3">
      <c r="A20" s="12"/>
      <c r="B20" s="27">
        <f>Data!D77*Data!H77</f>
        <v>2.04445548804E-20</v>
      </c>
      <c r="C20" s="29">
        <f t="shared" ref="C20:C24" si="6">SQRT(B20)</f>
        <v>1.4298445677904994E-10</v>
      </c>
      <c r="D20" s="27">
        <f>Data!F77</f>
        <v>0</v>
      </c>
      <c r="E20" s="29">
        <f t="shared" ref="E20:E24" si="7">D20-(C20*I$22+I$21)</f>
        <v>-1.2147933292159807E-13</v>
      </c>
      <c r="F20" s="30">
        <f t="shared" ref="F20:F24" si="8">A$1*E20/A$2</f>
        <v>-0.26703928897452389</v>
      </c>
      <c r="G20" s="22"/>
      <c r="H20" s="13"/>
      <c r="I20" s="13" t="s">
        <v>34</v>
      </c>
      <c r="J20" s="13" t="s">
        <v>23</v>
      </c>
      <c r="K20" s="13" t="s">
        <v>35</v>
      </c>
      <c r="L20" s="13" t="s">
        <v>36</v>
      </c>
      <c r="M20" s="13" t="s">
        <v>37</v>
      </c>
      <c r="N20" s="13" t="s">
        <v>38</v>
      </c>
      <c r="O20" s="13" t="s">
        <v>39</v>
      </c>
      <c r="P20" s="13" t="s">
        <v>40</v>
      </c>
    </row>
    <row r="21" spans="1:16" x14ac:dyDescent="0.3">
      <c r="A21" s="12"/>
      <c r="B21" s="27">
        <f>Data!D78*Data!H78</f>
        <v>2.0462075057645E-20</v>
      </c>
      <c r="C21" s="29">
        <f t="shared" si="6"/>
        <v>1.4304570967926651E-10</v>
      </c>
      <c r="D21" s="27">
        <f>Data!F78</f>
        <v>0</v>
      </c>
      <c r="E21" s="29">
        <f t="shared" si="7"/>
        <v>-1.2150617206269444E-13</v>
      </c>
      <c r="F21" s="30">
        <f t="shared" si="8"/>
        <v>-0.26709828752993814</v>
      </c>
      <c r="G21" s="22"/>
      <c r="H21" t="s">
        <v>41</v>
      </c>
      <c r="I21">
        <v>5.8827931983640142E-14</v>
      </c>
      <c r="J21">
        <v>1.1759239909567573E-14</v>
      </c>
      <c r="K21">
        <v>5.0026985107920501</v>
      </c>
      <c r="L21">
        <v>1.7040094044627544E-5</v>
      </c>
      <c r="M21">
        <v>3.4930281243671651E-14</v>
      </c>
      <c r="N21">
        <v>8.2725582723608633E-14</v>
      </c>
      <c r="O21">
        <v>3.4930281243671651E-14</v>
      </c>
      <c r="P21">
        <v>8.2725582723608633E-14</v>
      </c>
    </row>
    <row r="22" spans="1:16" ht="13.5" thickBot="1" x14ac:dyDescent="0.35">
      <c r="A22" s="12" t="str">
        <f>Data!A79</f>
        <v>10_T0_1</v>
      </c>
      <c r="B22" s="27">
        <f>Data!D79*Data!H79</f>
        <v>1.731683228031E-20</v>
      </c>
      <c r="C22" s="29">
        <f>SQRT(B22)</f>
        <v>1.315934355517402E-10</v>
      </c>
      <c r="D22" s="27">
        <f>Data!F79</f>
        <v>0</v>
      </c>
      <c r="E22" s="29">
        <f t="shared" si="7"/>
        <v>-1.1648813699666073E-13</v>
      </c>
      <c r="F22" s="30">
        <f t="shared" si="8"/>
        <v>-0.25606750160236225</v>
      </c>
      <c r="G22" s="21"/>
      <c r="H22" s="6" t="s">
        <v>42</v>
      </c>
      <c r="I22" s="6">
        <v>4.3816931119143576E-4</v>
      </c>
      <c r="J22" s="6">
        <v>3.1798696255408982E-5</v>
      </c>
      <c r="K22" s="6">
        <v>13.779474091391494</v>
      </c>
      <c r="L22" s="6">
        <v>1.7853514552401208E-15</v>
      </c>
      <c r="M22" s="6">
        <v>3.7354658532291892E-4</v>
      </c>
      <c r="N22" s="6">
        <v>5.0279203705995261E-4</v>
      </c>
      <c r="O22" s="6">
        <v>3.7354658532291892E-4</v>
      </c>
      <c r="P22" s="6">
        <v>5.0279203705995261E-4</v>
      </c>
    </row>
    <row r="23" spans="1:16" x14ac:dyDescent="0.3">
      <c r="A23" s="12"/>
      <c r="B23" s="27">
        <f>Data!D80*Data!H80</f>
        <v>1.7312233792538001E-20</v>
      </c>
      <c r="C23" s="29">
        <f t="shared" si="6"/>
        <v>1.3157596206198913E-10</v>
      </c>
      <c r="D23" s="27">
        <f>Data!F80</f>
        <v>0</v>
      </c>
      <c r="E23" s="29">
        <f t="shared" si="7"/>
        <v>-1.164804806496924E-13</v>
      </c>
      <c r="F23" s="30">
        <f t="shared" si="8"/>
        <v>-0.25605067120494907</v>
      </c>
      <c r="G23" s="22"/>
      <c r="H23"/>
      <c r="I23"/>
      <c r="J23"/>
      <c r="K23"/>
      <c r="L23"/>
      <c r="M23"/>
      <c r="N23"/>
      <c r="O23"/>
      <c r="P23"/>
    </row>
    <row r="24" spans="1:16" x14ac:dyDescent="0.3">
      <c r="A24" s="12"/>
      <c r="B24" s="27">
        <f>Data!D81*Data!H81</f>
        <v>1.7276770870139996E-20</v>
      </c>
      <c r="C24" s="29">
        <f t="shared" si="6"/>
        <v>1.3144113081581425E-10</v>
      </c>
      <c r="D24" s="27">
        <f>Data!F81</f>
        <v>0</v>
      </c>
      <c r="E24" s="29">
        <f t="shared" si="7"/>
        <v>-1.1642140173542889E-13</v>
      </c>
      <c r="F24" s="30">
        <f t="shared" si="8"/>
        <v>-0.25592080227268793</v>
      </c>
      <c r="G24" s="22"/>
      <c r="H24"/>
      <c r="I24"/>
      <c r="J24"/>
      <c r="K24"/>
      <c r="L24"/>
      <c r="M24"/>
      <c r="N24"/>
      <c r="O24"/>
      <c r="P24"/>
    </row>
    <row r="25" spans="1:16" x14ac:dyDescent="0.3">
      <c r="A25" s="12" t="str">
        <f>Data!A136</f>
        <v>hardwoodsIN_T1_1</v>
      </c>
      <c r="B25" s="27">
        <f>Data!D136*Data!H136</f>
        <v>2.3860724836740001E-20</v>
      </c>
      <c r="C25" s="29">
        <f t="shared" ref="C25:C43" si="9">SQRT(B25)</f>
        <v>1.5446917115314629E-10</v>
      </c>
      <c r="D25" s="27">
        <f>Data!F136</f>
        <v>0</v>
      </c>
      <c r="E25" s="29">
        <f t="shared" ref="E25:E43" si="10">D25-(C25*I$22+I$21)</f>
        <v>-1.2651158230812626E-13</v>
      </c>
      <c r="F25" s="30">
        <f t="shared" ref="F25:F43" si="11">A$1*E25/A$2</f>
        <v>-0.2781013212215091</v>
      </c>
      <c r="G25" s="21"/>
      <c r="H25"/>
      <c r="I25"/>
      <c r="J25"/>
      <c r="K25"/>
      <c r="L25"/>
      <c r="M25"/>
      <c r="N25"/>
      <c r="O25"/>
      <c r="P25"/>
    </row>
    <row r="26" spans="1:16" x14ac:dyDescent="0.3">
      <c r="A26" s="12"/>
      <c r="B26" s="27">
        <f>Data!D137*Data!H137</f>
        <v>2.3850371091199999E-20</v>
      </c>
      <c r="C26" s="29">
        <f t="shared" ref="C26:C30" si="12">SQRT(B26)</f>
        <v>1.5443565356225227E-10</v>
      </c>
      <c r="D26" s="27">
        <f>Data!F137</f>
        <v>0</v>
      </c>
      <c r="E26" s="29">
        <f t="shared" ref="E26:E27" si="13">D26-(C26*I$22+I$21)</f>
        <v>-1.2649689592841144E-13</v>
      </c>
      <c r="F26" s="30">
        <f t="shared" ref="F26:F27" si="14">A$1*E26/A$2</f>
        <v>-0.27806903720823428</v>
      </c>
      <c r="G26" s="2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3">
      <c r="A27" s="12"/>
      <c r="B27" s="27">
        <f>Data!D138*Data!H138</f>
        <v>2.3853207215910001E-20</v>
      </c>
      <c r="C27" s="29">
        <f t="shared" si="12"/>
        <v>1.5444483551064438E-10</v>
      </c>
      <c r="D27" s="27">
        <f>Data!F138</f>
        <v>0</v>
      </c>
      <c r="E27" s="29">
        <f t="shared" si="13"/>
        <v>-1.2650091917641379E-13</v>
      </c>
      <c r="F27" s="30">
        <f t="shared" si="14"/>
        <v>-0.27807788122523769</v>
      </c>
      <c r="G27" s="2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3">
      <c r="A28" s="12" t="str">
        <f>Data!A139</f>
        <v>7_T1_1</v>
      </c>
      <c r="B28" s="27">
        <f>Data!D139*Data!H139</f>
        <v>1.9112782525292999E-20</v>
      </c>
      <c r="C28" s="29">
        <f t="shared" si="12"/>
        <v>1.3824898742953959E-10</v>
      </c>
      <c r="D28" s="27">
        <f>Data!F139</f>
        <v>0</v>
      </c>
      <c r="E28" s="29">
        <f t="shared" ref="E28:E30" si="15">D28-(C28*I$22+I$21)</f>
        <v>-1.1940439557855498E-13</v>
      </c>
      <c r="F28" s="30">
        <f t="shared" ref="F28:F30" si="16">A$1*E28/A$2</f>
        <v>-0.26247810330263255</v>
      </c>
      <c r="G28" s="21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">
      <c r="A29" s="12"/>
      <c r="B29" s="27">
        <f>Data!D140*Data!H140</f>
        <v>1.9096266099911001E-20</v>
      </c>
      <c r="C29" s="29">
        <f t="shared" si="12"/>
        <v>1.3818924017415757E-10</v>
      </c>
      <c r="D29" s="27">
        <f>Data!F140</f>
        <v>0</v>
      </c>
      <c r="E29" s="29">
        <f t="shared" si="15"/>
        <v>-1.1937821616481865E-13</v>
      </c>
      <c r="F29" s="30">
        <f t="shared" si="16"/>
        <v>-0.26242055497847078</v>
      </c>
      <c r="G29" s="2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3">
      <c r="A30" s="12"/>
      <c r="B30" s="27">
        <f>Data!D141*Data!H141</f>
        <v>1.9096997892648001E-20</v>
      </c>
      <c r="C30" s="29">
        <f t="shared" si="12"/>
        <v>1.3819188794081946E-10</v>
      </c>
      <c r="D30" s="27">
        <f>Data!F141</f>
        <v>0</v>
      </c>
      <c r="E30" s="29">
        <f t="shared" si="15"/>
        <v>-1.1937937633491308E-13</v>
      </c>
      <c r="F30" s="30">
        <f t="shared" si="16"/>
        <v>-0.26242310529702834</v>
      </c>
      <c r="G30" s="2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3">
      <c r="A31" s="12" t="str">
        <f>Data!A196</f>
        <v>openwaterIN_T2_1</v>
      </c>
      <c r="B31" s="27">
        <f>Data!D196*Data!H196</f>
        <v>1.7719102343752E-20</v>
      </c>
      <c r="C31" s="29">
        <f t="shared" ref="C31" si="17">SQRT(B31)</f>
        <v>1.3311311860125582E-10</v>
      </c>
      <c r="D31" s="27">
        <f>Data!F196</f>
        <v>0</v>
      </c>
      <c r="E31" s="29">
        <f t="shared" ref="E31" si="18">D31-(C31*I$22+I$21)</f>
        <v>-1.1715401547169629E-13</v>
      </c>
      <c r="F31" s="30">
        <f t="shared" ref="F31" si="19">A$1*E31/A$2</f>
        <v>-0.25753125440903679</v>
      </c>
      <c r="G31" s="21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3">
      <c r="A32" s="12"/>
      <c r="B32" s="27">
        <f>Data!D197*Data!H197</f>
        <v>1.7713077793349999E-20</v>
      </c>
      <c r="C32" s="29">
        <f t="shared" ref="C32:C42" si="20">SQRT(B32)</f>
        <v>1.3309048723838229E-10</v>
      </c>
      <c r="D32" s="27">
        <f>Data!F197</f>
        <v>0</v>
      </c>
      <c r="E32" s="29">
        <f t="shared" ref="E32:E42" si="21">D32-(C32*I$22+I$21)</f>
        <v>-1.1714409910301468E-13</v>
      </c>
      <c r="F32" s="30">
        <f t="shared" ref="F32:F42" si="22">A$1*E32/A$2</f>
        <v>-0.25750945596827929</v>
      </c>
      <c r="G32" s="22"/>
      <c r="H32" s="12"/>
      <c r="I32" s="12"/>
      <c r="J32" s="12"/>
      <c r="K32" s="12"/>
      <c r="L32" s="12"/>
      <c r="M32" s="12"/>
      <c r="N32" s="12"/>
      <c r="O32" s="12"/>
      <c r="P32" s="12"/>
    </row>
    <row r="33" spans="1:12" x14ac:dyDescent="0.3">
      <c r="A33" s="12"/>
      <c r="B33" s="27">
        <f>Data!D198*Data!H198</f>
        <v>1.7706991735536001E-20</v>
      </c>
      <c r="C33" s="29">
        <f t="shared" si="20"/>
        <v>1.3306762091333864E-10</v>
      </c>
      <c r="D33" s="27">
        <f>Data!F198</f>
        <v>0</v>
      </c>
      <c r="E33" s="29">
        <f t="shared" si="21"/>
        <v>-1.1713407978112081E-13</v>
      </c>
      <c r="F33" s="30">
        <f t="shared" si="22"/>
        <v>-0.25748743121287276</v>
      </c>
      <c r="G33" s="22"/>
      <c r="H33" s="12"/>
      <c r="I33" s="12"/>
      <c r="J33" s="12"/>
      <c r="K33" s="12"/>
      <c r="L33" s="12"/>
    </row>
    <row r="34" spans="1:12" x14ac:dyDescent="0.3">
      <c r="A34" s="12" t="str">
        <f>Data!A199</f>
        <v>4_T2_1</v>
      </c>
      <c r="B34" s="27">
        <f>Data!D199*Data!H199</f>
        <v>1.0325922070904E-20</v>
      </c>
      <c r="C34" s="29">
        <f t="shared" si="20"/>
        <v>1.0161654427751419E-10</v>
      </c>
      <c r="D34" s="27">
        <f>Data!F199</f>
        <v>0</v>
      </c>
      <c r="E34" s="29">
        <f t="shared" si="21"/>
        <v>-1.0335318319537257E-13</v>
      </c>
      <c r="F34" s="30">
        <f t="shared" si="22"/>
        <v>-0.22719387643952935</v>
      </c>
      <c r="G34" s="21"/>
      <c r="H34" s="12"/>
      <c r="I34" s="12"/>
      <c r="J34" s="12"/>
      <c r="K34" s="12"/>
      <c r="L34" s="12"/>
    </row>
    <row r="35" spans="1:12" x14ac:dyDescent="0.3">
      <c r="A35" s="12"/>
      <c r="B35" s="27">
        <f>Data!D200*Data!H200</f>
        <v>1.02847141246E-20</v>
      </c>
      <c r="C35" s="29">
        <f t="shared" si="20"/>
        <v>1.0141357958675949E-10</v>
      </c>
      <c r="D35" s="27">
        <f>Data!F200</f>
        <v>0</v>
      </c>
      <c r="E35" s="29">
        <f t="shared" si="21"/>
        <v>-1.032642502966284E-13</v>
      </c>
      <c r="F35" s="30">
        <f t="shared" si="22"/>
        <v>-0.22699838163826622</v>
      </c>
      <c r="G35" s="22"/>
      <c r="H35" s="12"/>
      <c r="I35" s="12"/>
      <c r="J35" s="12"/>
      <c r="K35" s="12"/>
      <c r="L35" s="12"/>
    </row>
    <row r="36" spans="1:12" x14ac:dyDescent="0.3">
      <c r="A36" s="12"/>
      <c r="B36" s="27">
        <f>Data!D201*Data!H201</f>
        <v>1.0250936578008E-20</v>
      </c>
      <c r="C36" s="29">
        <f t="shared" si="20"/>
        <v>1.0124690898001775E-10</v>
      </c>
      <c r="D36" s="27">
        <f>Data!F201</f>
        <v>0</v>
      </c>
      <c r="E36" s="29">
        <f t="shared" si="21"/>
        <v>-1.0319122035167651E-13</v>
      </c>
      <c r="F36" s="30">
        <f t="shared" si="22"/>
        <v>-0.22683784515765856</v>
      </c>
      <c r="G36" s="22"/>
      <c r="H36" s="12"/>
      <c r="I36" s="12"/>
      <c r="J36" s="12"/>
      <c r="K36" s="12"/>
      <c r="L36" s="12"/>
    </row>
    <row r="37" spans="1:12" x14ac:dyDescent="0.3">
      <c r="A37" s="12" t="str">
        <f>Data!A202</f>
        <v>5_T2_1</v>
      </c>
      <c r="B37" s="27">
        <f>Data!D202*Data!H202</f>
        <v>1.0971582718516E-20</v>
      </c>
      <c r="C37" s="29">
        <f t="shared" si="20"/>
        <v>1.0474532313433379E-10</v>
      </c>
      <c r="D37" s="27">
        <f>Data!F202</f>
        <v>0</v>
      </c>
      <c r="E37" s="29">
        <f t="shared" si="21"/>
        <v>-1.0472411807193554E-13</v>
      </c>
      <c r="F37" s="30">
        <f t="shared" si="22"/>
        <v>-0.23020750407365564</v>
      </c>
      <c r="G37" s="21"/>
      <c r="H37" s="12"/>
      <c r="I37" s="30"/>
      <c r="J37" s="30"/>
      <c r="K37" s="30"/>
      <c r="L37" s="30"/>
    </row>
    <row r="38" spans="1:12" x14ac:dyDescent="0.3">
      <c r="A38" s="12"/>
      <c r="B38" s="27">
        <f>Data!D203*Data!H203</f>
        <v>1.0979969966734001E-20</v>
      </c>
      <c r="C38" s="29">
        <f t="shared" si="20"/>
        <v>1.0478535187102251E-10</v>
      </c>
      <c r="D38" s="27">
        <f>Data!F203</f>
        <v>0</v>
      </c>
      <c r="E38" s="29">
        <f t="shared" si="21"/>
        <v>-1.0474165743591829E-13</v>
      </c>
      <c r="F38" s="30">
        <f t="shared" si="22"/>
        <v>-0.23024605959725272</v>
      </c>
      <c r="G38" s="22"/>
      <c r="H38" s="12"/>
      <c r="I38" s="30"/>
      <c r="J38" s="30"/>
      <c r="K38" s="12"/>
      <c r="L38" s="12"/>
    </row>
    <row r="39" spans="1:12" x14ac:dyDescent="0.3">
      <c r="A39" s="12"/>
      <c r="B39" s="27">
        <f>Data!D204*Data!H204</f>
        <v>1.0980416662712999E-20</v>
      </c>
      <c r="C39" s="29">
        <f t="shared" si="20"/>
        <v>1.0478748333037204E-10</v>
      </c>
      <c r="D39" s="27">
        <f>Data!F204</f>
        <v>0</v>
      </c>
      <c r="E39" s="29">
        <f t="shared" si="21"/>
        <v>-1.0474259137599332E-13</v>
      </c>
      <c r="F39" s="30">
        <f t="shared" si="22"/>
        <v>-0.23024811261061379</v>
      </c>
      <c r="G39" s="22"/>
      <c r="H39" s="12"/>
      <c r="I39" s="30"/>
      <c r="J39" s="30"/>
      <c r="K39" s="12"/>
      <c r="L39" s="12"/>
    </row>
    <row r="40" spans="1:12" x14ac:dyDescent="0.3">
      <c r="A40" s="12" t="str">
        <f>Data!A205</f>
        <v>Calibrate_20C</v>
      </c>
      <c r="B40" s="27">
        <f>Data!D205*Data!H205</f>
        <v>2.7770140170300003E-20</v>
      </c>
      <c r="C40" s="29">
        <f t="shared" si="20"/>
        <v>1.6664375226902449E-10</v>
      </c>
      <c r="D40" s="27">
        <f>Data!F205</f>
        <v>0</v>
      </c>
      <c r="E40" s="29">
        <f t="shared" si="21"/>
        <v>-1.3184611012971488E-13</v>
      </c>
      <c r="F40" s="30">
        <f t="shared" si="22"/>
        <v>-0.28982783043284321</v>
      </c>
      <c r="G40" s="21"/>
      <c r="H40" s="12"/>
      <c r="I40" s="12"/>
      <c r="J40" s="12"/>
      <c r="K40" s="12"/>
      <c r="L40" s="12"/>
    </row>
    <row r="41" spans="1:12" x14ac:dyDescent="0.3">
      <c r="A41" s="12"/>
      <c r="B41" s="27">
        <f>Data!D206*Data!H206</f>
        <v>2.7772878092159998E-20</v>
      </c>
      <c r="C41" s="29">
        <f t="shared" si="20"/>
        <v>1.6665196696156934E-10</v>
      </c>
      <c r="D41" s="27">
        <f>Data!F206</f>
        <v>0</v>
      </c>
      <c r="E41" s="29">
        <f t="shared" si="21"/>
        <v>-1.3184970955588888E-13</v>
      </c>
      <c r="F41" s="30">
        <f t="shared" si="22"/>
        <v>-0.28983574279277396</v>
      </c>
      <c r="G41" s="22"/>
      <c r="H41" s="12"/>
      <c r="I41" s="12"/>
      <c r="J41" s="12"/>
      <c r="K41" s="12"/>
      <c r="L41" s="12"/>
    </row>
    <row r="42" spans="1:12" x14ac:dyDescent="0.3">
      <c r="A42" s="12"/>
      <c r="B42" s="27">
        <f>Data!D207*Data!H207</f>
        <v>2.7782310341620001E-20</v>
      </c>
      <c r="C42" s="29">
        <f t="shared" si="20"/>
        <v>1.6668026380354694E-10</v>
      </c>
      <c r="D42" s="27">
        <f>Data!F207</f>
        <v>0</v>
      </c>
      <c r="E42" s="29">
        <f t="shared" si="21"/>
        <v>-1.3186210836364711E-13</v>
      </c>
      <c r="F42" s="30">
        <f t="shared" si="22"/>
        <v>-0.28986299820098421</v>
      </c>
      <c r="G42" s="22"/>
      <c r="H42" s="12"/>
      <c r="I42" s="12"/>
      <c r="J42" s="12"/>
      <c r="K42" s="12"/>
      <c r="L42" s="12"/>
    </row>
    <row r="43" spans="1:12" x14ac:dyDescent="0.3">
      <c r="A43" s="12" t="str">
        <f>Data!A22</f>
        <v>2_T0_1</v>
      </c>
      <c r="B43" s="27">
        <f>Data!D22*Data!H22</f>
        <v>2.2353080886920002E-20</v>
      </c>
      <c r="C43" s="29">
        <f t="shared" si="9"/>
        <v>1.4950946754944985E-10</v>
      </c>
      <c r="D43" s="27">
        <f>Data!F22</f>
        <v>0</v>
      </c>
      <c r="E43" s="29">
        <f t="shared" si="10"/>
        <v>-1.2433839239638091E-13</v>
      </c>
      <c r="F43" s="30">
        <f t="shared" si="11"/>
        <v>-0.27332415398752685</v>
      </c>
      <c r="G43" s="21">
        <f>AVERAGE(F43:F45)</f>
        <v>-0.27334085357180316</v>
      </c>
      <c r="H43" s="12">
        <f>STDEV(F43:F45)</f>
        <v>1.8303788086249702E-5</v>
      </c>
      <c r="I43" s="12" t="str">
        <f>Data!A22</f>
        <v>2_T0_1</v>
      </c>
      <c r="J43" s="30"/>
      <c r="K43" s="12"/>
      <c r="L43" s="12"/>
    </row>
    <row r="44" spans="1:12" x14ac:dyDescent="0.3">
      <c r="A44" s="12"/>
      <c r="B44" s="27">
        <f>Data!D23*Data!H23</f>
        <v>2.2364341700365997E-20</v>
      </c>
      <c r="C44" s="29">
        <f t="shared" ref="C44:C67" si="23">SQRT(B44)</f>
        <v>1.4954712200629606E-10</v>
      </c>
      <c r="D44" s="27">
        <f>Data!F23</f>
        <v>0</v>
      </c>
      <c r="E44" s="29">
        <f t="shared" ref="E44:E67" si="24">D44-(C44*I$22+I$21)</f>
        <v>-1.2435489142380049E-13</v>
      </c>
      <c r="F44" s="30">
        <f t="shared" ref="F44:F67" si="25">A$1*E44/A$2</f>
        <v>-0.27336042261400784</v>
      </c>
      <c r="G44" s="22"/>
      <c r="H44" s="12"/>
      <c r="I44" s="12"/>
      <c r="J44" s="30"/>
      <c r="K44" s="12"/>
      <c r="L44" s="12"/>
    </row>
    <row r="45" spans="1:12" x14ac:dyDescent="0.3">
      <c r="A45" s="12"/>
      <c r="B45" s="27">
        <f>Data!D24*Data!H24</f>
        <v>2.2357374579738003E-20</v>
      </c>
      <c r="C45" s="29">
        <f t="shared" si="23"/>
        <v>1.4952382612726977E-10</v>
      </c>
      <c r="D45" s="27">
        <f>Data!F24</f>
        <v>0</v>
      </c>
      <c r="E45" s="29">
        <f t="shared" si="24"/>
        <v>-1.2434468388453393E-13</v>
      </c>
      <c r="F45" s="30">
        <f t="shared" si="25"/>
        <v>-0.27333798411387478</v>
      </c>
      <c r="G45" s="22"/>
      <c r="H45" s="12"/>
      <c r="I45" s="12"/>
      <c r="J45" s="30"/>
      <c r="K45" s="30"/>
      <c r="L45" s="30"/>
    </row>
    <row r="46" spans="1:12" x14ac:dyDescent="0.3">
      <c r="A46" s="12" t="str">
        <f>Data!A25</f>
        <v>Calibrate_20C</v>
      </c>
      <c r="B46" s="27">
        <f>Data!D25*Data!H25</f>
        <v>3.7730274285129997E-20</v>
      </c>
      <c r="C46" s="29">
        <f t="shared" si="23"/>
        <v>1.9424282299516242E-10</v>
      </c>
      <c r="D46" s="27">
        <f>Data!F25</f>
        <v>0</v>
      </c>
      <c r="E46" s="29">
        <f t="shared" si="24"/>
        <v>-1.4393917593931043E-13</v>
      </c>
      <c r="F46" s="30">
        <f t="shared" si="25"/>
        <v>-0.31641114808573734</v>
      </c>
      <c r="G46" s="21">
        <f>AVERAGE(F46:F48)</f>
        <v>-0.31647147775594203</v>
      </c>
      <c r="H46" s="12">
        <f>STDEV(F46:F48)</f>
        <v>5.8376907574007441E-5</v>
      </c>
      <c r="I46" s="12" t="str">
        <f>Data!A25</f>
        <v>Calibrate_20C</v>
      </c>
      <c r="J46" s="30"/>
      <c r="K46" s="12"/>
      <c r="L46" s="12"/>
    </row>
    <row r="47" spans="1:12" x14ac:dyDescent="0.3">
      <c r="A47" s="12"/>
      <c r="B47" s="27">
        <f>Data!D26*Data!H26</f>
        <v>3.7777290987520001E-20</v>
      </c>
      <c r="C47" s="29">
        <f t="shared" si="23"/>
        <v>1.9436381089986891E-10</v>
      </c>
      <c r="D47" s="27">
        <f>Data!F26</f>
        <v>0</v>
      </c>
      <c r="E47" s="29">
        <f t="shared" si="24"/>
        <v>-1.4399218912617819E-13</v>
      </c>
      <c r="F47" s="30">
        <f t="shared" si="25"/>
        <v>-0.31652768316530167</v>
      </c>
      <c r="G47" s="22"/>
      <c r="H47" s="12"/>
      <c r="I47" s="12"/>
      <c r="J47" s="30"/>
      <c r="K47" s="12"/>
      <c r="L47" s="12"/>
    </row>
    <row r="48" spans="1:12" x14ac:dyDescent="0.3">
      <c r="A48" s="12"/>
      <c r="B48" s="27">
        <f>Data!D27*Data!H27</f>
        <v>3.7756274950770001E-20</v>
      </c>
      <c r="C48" s="29">
        <f t="shared" si="23"/>
        <v>1.9430973972184204E-10</v>
      </c>
      <c r="D48" s="27">
        <f>Data!F27</f>
        <v>0</v>
      </c>
      <c r="E48" s="29">
        <f t="shared" si="24"/>
        <v>-1.4396849679534684E-13</v>
      </c>
      <c r="F48" s="30">
        <f t="shared" si="25"/>
        <v>-0.31647560201678698</v>
      </c>
      <c r="G48" s="22"/>
      <c r="H48" s="12"/>
      <c r="I48" s="12"/>
      <c r="J48" s="30"/>
      <c r="K48" s="30"/>
      <c r="L48" s="30"/>
    </row>
    <row r="49" spans="1:9" x14ac:dyDescent="0.3">
      <c r="A49" s="12" t="str">
        <f>Data!A28</f>
        <v>Calibrate_30C</v>
      </c>
      <c r="B49" s="27">
        <f>Data!D28*Data!H28</f>
        <v>2.7155188888930006E-20</v>
      </c>
      <c r="C49" s="29">
        <f t="shared" si="23"/>
        <v>1.6478831538956275E-10</v>
      </c>
      <c r="D49" s="27">
        <f>Data!F28</f>
        <v>0</v>
      </c>
      <c r="E49" s="29">
        <f t="shared" si="24"/>
        <v>-1.3103311463028192E-13</v>
      </c>
      <c r="F49" s="30">
        <f t="shared" si="25"/>
        <v>-0.28804068084215373</v>
      </c>
      <c r="G49" s="21">
        <f>AVERAGE(F49:F51)</f>
        <v>-0.28798240156048566</v>
      </c>
      <c r="H49" s="12">
        <f>STDEV(F49:F51)</f>
        <v>5.0501815103787211E-5</v>
      </c>
      <c r="I49" s="12" t="str">
        <f>Data!A28</f>
        <v>Calibrate_30C</v>
      </c>
    </row>
    <row r="50" spans="1:9" x14ac:dyDescent="0.3">
      <c r="A50" s="12"/>
      <c r="B50" s="27">
        <f>Data!D29*Data!H29</f>
        <v>2.7125884927559996E-20</v>
      </c>
      <c r="C50" s="29">
        <f t="shared" si="23"/>
        <v>1.6469937743525322E-10</v>
      </c>
      <c r="D50" s="27">
        <f>Data!F29</f>
        <v>0</v>
      </c>
      <c r="E50" s="29">
        <f t="shared" si="24"/>
        <v>-1.3099414474810334E-13</v>
      </c>
      <c r="F50" s="30">
        <f t="shared" si="25"/>
        <v>-0.28795501615024188</v>
      </c>
      <c r="G50" s="22"/>
      <c r="H50" s="12"/>
      <c r="I50" s="12"/>
    </row>
    <row r="51" spans="1:9" x14ac:dyDescent="0.3">
      <c r="A51" s="12"/>
      <c r="B51" s="27">
        <f>Data!D30*Data!H30</f>
        <v>2.7124685099249999E-20</v>
      </c>
      <c r="C51" s="29">
        <f t="shared" si="23"/>
        <v>1.6469573491517623E-10</v>
      </c>
      <c r="D51" s="27">
        <f>Data!F30</f>
        <v>0</v>
      </c>
      <c r="E51" s="29">
        <f t="shared" si="24"/>
        <v>-1.3099254870759021E-13</v>
      </c>
      <c r="F51" s="30">
        <f t="shared" si="25"/>
        <v>-0.28795150768906125</v>
      </c>
      <c r="G51" s="22"/>
      <c r="H51" s="12"/>
      <c r="I51" s="12"/>
    </row>
    <row r="52" spans="1:9" x14ac:dyDescent="0.3">
      <c r="A52" s="12" t="str">
        <f>Data!A31</f>
        <v>3_T0_1</v>
      </c>
      <c r="B52" s="27">
        <f>Data!D31*Data!H31</f>
        <v>2.4142992227499998E-20</v>
      </c>
      <c r="C52" s="29">
        <f t="shared" si="23"/>
        <v>1.5538015390486648E-10</v>
      </c>
      <c r="D52" s="27">
        <f>Data!F31</f>
        <v>0</v>
      </c>
      <c r="E52" s="29">
        <f t="shared" si="24"/>
        <v>-1.2691074699295476E-13</v>
      </c>
      <c r="F52" s="30">
        <f t="shared" si="25"/>
        <v>-0.27897877626720924</v>
      </c>
      <c r="G52" s="21">
        <f>AVERAGE(F52:F54)</f>
        <v>-0.27896213649147472</v>
      </c>
      <c r="H52" s="12">
        <f>STDEV(F52:F54)</f>
        <v>1.4410802376089184E-5</v>
      </c>
      <c r="I52" s="12" t="str">
        <f>Data!A31</f>
        <v>3_T0_1</v>
      </c>
    </row>
    <row r="53" spans="1:9" x14ac:dyDescent="0.3">
      <c r="A53" s="12"/>
      <c r="B53" s="27">
        <f>Data!D32*Data!H32</f>
        <v>2.4134971693886999E-20</v>
      </c>
      <c r="C53" s="29">
        <f t="shared" si="23"/>
        <v>1.5535434237216223E-10</v>
      </c>
      <c r="D53" s="27">
        <f>Data!F32</f>
        <v>0</v>
      </c>
      <c r="E53" s="29">
        <f t="shared" si="24"/>
        <v>-1.2689943717144895E-13</v>
      </c>
      <c r="F53" s="30">
        <f t="shared" si="25"/>
        <v>-0.27895391469923136</v>
      </c>
      <c r="G53" s="22"/>
      <c r="H53" s="12"/>
      <c r="I53" s="12"/>
    </row>
    <row r="54" spans="1:9" x14ac:dyDescent="0.3">
      <c r="A54" s="12"/>
      <c r="B54" s="27">
        <f>Data!D33*Data!H33</f>
        <v>2.4134908406375997E-20</v>
      </c>
      <c r="C54" s="29">
        <f t="shared" si="23"/>
        <v>1.5535413868441354E-10</v>
      </c>
      <c r="D54" s="27">
        <f>Data!F33</f>
        <v>0</v>
      </c>
      <c r="E54" s="29">
        <f t="shared" si="24"/>
        <v>-1.2689934792172842E-13</v>
      </c>
      <c r="F54" s="30">
        <f t="shared" si="25"/>
        <v>-0.27895371850798356</v>
      </c>
      <c r="G54" s="22"/>
      <c r="H54" s="12"/>
      <c r="I54" s="12"/>
    </row>
    <row r="55" spans="1:9" x14ac:dyDescent="0.3">
      <c r="A55" s="12" t="str">
        <f>Data!A34</f>
        <v>openwaterIN_T0_1</v>
      </c>
      <c r="B55" s="27">
        <f>Data!D34*Data!H34</f>
        <v>2.3796269589848004E-20</v>
      </c>
      <c r="C55" s="29">
        <f t="shared" si="23"/>
        <v>1.542603954028642E-10</v>
      </c>
      <c r="D55" s="27">
        <f>Data!F34</f>
        <v>0</v>
      </c>
      <c r="E55" s="29">
        <f t="shared" si="24"/>
        <v>-1.2642010318143169E-13</v>
      </c>
      <c r="F55" s="30">
        <f t="shared" si="25"/>
        <v>-0.27790022923029528</v>
      </c>
      <c r="G55" s="21">
        <f>AVERAGE(F55:F57)</f>
        <v>-0.27781936242569993</v>
      </c>
      <c r="H55" s="12">
        <f>STDEV(F55:F57)</f>
        <v>8.3390623842843662E-5</v>
      </c>
      <c r="I55" s="12" t="str">
        <f>Data!A34</f>
        <v>openwaterIN_T0_1</v>
      </c>
    </row>
    <row r="56" spans="1:9" x14ac:dyDescent="0.3">
      <c r="A56" s="12"/>
      <c r="B56" s="27">
        <f>Data!D35*Data!H35</f>
        <v>2.3771922781656001E-20</v>
      </c>
      <c r="C56" s="29">
        <f t="shared" si="23"/>
        <v>1.5418146056402501E-10</v>
      </c>
      <c r="D56" s="27">
        <f>Data!F35</f>
        <v>0</v>
      </c>
      <c r="E56" s="29">
        <f t="shared" si="24"/>
        <v>-1.263855163574685E-13</v>
      </c>
      <c r="F56" s="30">
        <f t="shared" si="25"/>
        <v>-0.27782419950032489</v>
      </c>
      <c r="G56" s="22"/>
      <c r="H56" s="12"/>
      <c r="I56" s="12"/>
    </row>
    <row r="57" spans="1:9" x14ac:dyDescent="0.3">
      <c r="A57" s="12"/>
      <c r="B57" s="27">
        <f>Data!D36*Data!H36</f>
        <v>2.3742945336951999E-20</v>
      </c>
      <c r="C57" s="29">
        <f t="shared" si="23"/>
        <v>1.540874600249871E-10</v>
      </c>
      <c r="D57" s="27">
        <f>Data!F36</f>
        <v>0</v>
      </c>
      <c r="E57" s="29">
        <f t="shared" si="24"/>
        <v>-1.2634432820602664E-13</v>
      </c>
      <c r="F57" s="30">
        <f t="shared" si="25"/>
        <v>-0.27773365854647963</v>
      </c>
      <c r="G57" s="22"/>
      <c r="H57" s="12"/>
      <c r="I57" s="12"/>
    </row>
    <row r="58" spans="1:9" x14ac:dyDescent="0.3">
      <c r="A58" s="12" t="str">
        <f>Data!A37</f>
        <v>4_T0_1</v>
      </c>
      <c r="B58" s="27">
        <f>Data!D37*Data!H37</f>
        <v>1.9804433000166999E-20</v>
      </c>
      <c r="C58" s="29">
        <f t="shared" si="23"/>
        <v>1.4072822389331502E-10</v>
      </c>
      <c r="D58" s="27">
        <f>Data!F37</f>
        <v>0</v>
      </c>
      <c r="E58" s="29">
        <f t="shared" si="24"/>
        <v>-1.2049072091216814E-13</v>
      </c>
      <c r="F58" s="30">
        <f t="shared" si="25"/>
        <v>-0.26486609422838359</v>
      </c>
      <c r="G58" s="21">
        <f>AVERAGE(F58:F60)</f>
        <v>-0.26475469550141956</v>
      </c>
      <c r="H58" s="12">
        <f>STDEV(F58:F60)</f>
        <v>1.067719593507175E-4</v>
      </c>
      <c r="I58" s="12" t="str">
        <f>Data!A37</f>
        <v>4_T0_1</v>
      </c>
    </row>
    <row r="59" spans="1:9" x14ac:dyDescent="0.3">
      <c r="A59" s="12"/>
      <c r="B59" s="27">
        <f>Data!D38*Data!H38</f>
        <v>1.9768989413513999E-20</v>
      </c>
      <c r="C59" s="29">
        <f t="shared" si="23"/>
        <v>1.4060223829482232E-10</v>
      </c>
      <c r="D59" s="27">
        <f>Data!F38</f>
        <v>0</v>
      </c>
      <c r="E59" s="29">
        <f t="shared" si="24"/>
        <v>-1.2043551788925655E-13</v>
      </c>
      <c r="F59" s="30">
        <f t="shared" si="25"/>
        <v>-0.2647447453895892</v>
      </c>
      <c r="G59" s="22"/>
      <c r="H59" s="12"/>
      <c r="I59" s="12"/>
    </row>
    <row r="60" spans="1:9" x14ac:dyDescent="0.3">
      <c r="A60" s="12"/>
      <c r="B60" s="27">
        <f>Data!D39*Data!H39</f>
        <v>1.9742285509184003E-20</v>
      </c>
      <c r="C60" s="29">
        <f t="shared" si="23"/>
        <v>1.4050724361819928E-10</v>
      </c>
      <c r="D60" s="27">
        <f>Data!F39</f>
        <v>0</v>
      </c>
      <c r="E60" s="29">
        <f t="shared" si="24"/>
        <v>-1.2039389413723378E-13</v>
      </c>
      <c r="F60" s="30">
        <f t="shared" si="25"/>
        <v>-0.26465324688628589</v>
      </c>
      <c r="G60" s="22"/>
      <c r="H60" s="12"/>
      <c r="I60" s="12"/>
    </row>
    <row r="61" spans="1:9" x14ac:dyDescent="0.3">
      <c r="A61" s="12" t="str">
        <f>Data!A40</f>
        <v>Calibrate_20C</v>
      </c>
      <c r="B61" s="27">
        <f>Data!D40*Data!H40</f>
        <v>3.6574194294690002E-20</v>
      </c>
      <c r="C61" s="29">
        <f t="shared" si="23"/>
        <v>1.912438085133477E-10</v>
      </c>
      <c r="D61" s="27">
        <f>Data!F40</f>
        <v>0</v>
      </c>
      <c r="E61" s="29">
        <f t="shared" si="24"/>
        <v>-1.4262509982956052E-13</v>
      </c>
      <c r="F61" s="30">
        <f t="shared" si="25"/>
        <v>-0.31352250899325484</v>
      </c>
      <c r="G61" s="21">
        <f>AVERAGE(F61:F63)</f>
        <v>-0.31363823038144273</v>
      </c>
      <c r="H61" s="12">
        <f>STDEV(F61:F63)</f>
        <v>1.0511722779037069E-4</v>
      </c>
      <c r="I61" s="12" t="str">
        <f>Data!A40</f>
        <v>Calibrate_20C</v>
      </c>
    </row>
    <row r="62" spans="1:9" x14ac:dyDescent="0.3">
      <c r="A62" s="12"/>
      <c r="B62" s="27">
        <f>Data!D41*Data!H41</f>
        <v>3.6630550446879996E-20</v>
      </c>
      <c r="C62" s="29">
        <f t="shared" si="23"/>
        <v>1.9139109291416879E-10</v>
      </c>
      <c r="D62" s="27">
        <f>Data!F41</f>
        <v>0</v>
      </c>
      <c r="E62" s="29">
        <f t="shared" si="24"/>
        <v>-1.4268963533401758E-13</v>
      </c>
      <c r="F62" s="30">
        <f t="shared" si="25"/>
        <v>-0.31366437275566905</v>
      </c>
      <c r="G62" s="22"/>
      <c r="H62" s="12"/>
      <c r="I62" s="12"/>
    </row>
    <row r="63" spans="1:9" x14ac:dyDescent="0.3">
      <c r="A63" s="12"/>
      <c r="B63" s="27">
        <f>Data!D42*Data!H42</f>
        <v>3.6655765035330003E-20</v>
      </c>
      <c r="C63" s="29">
        <f t="shared" si="23"/>
        <v>1.9145695347866059E-10</v>
      </c>
      <c r="D63" s="27">
        <f>Data!F42</f>
        <v>0</v>
      </c>
      <c r="E63" s="29">
        <f t="shared" si="24"/>
        <v>-1.4271849341219563E-13</v>
      </c>
      <c r="F63" s="30">
        <f t="shared" si="25"/>
        <v>-0.3137278093954044</v>
      </c>
      <c r="G63" s="22"/>
      <c r="H63" s="12"/>
      <c r="I63" s="12"/>
    </row>
    <row r="64" spans="1:9" x14ac:dyDescent="0.3">
      <c r="A64" s="12" t="str">
        <f>Data!A43</f>
        <v>Calibrate_30C</v>
      </c>
      <c r="B64" s="27">
        <f>Data!D43*Data!H43</f>
        <v>2.591746969196E-20</v>
      </c>
      <c r="C64" s="29">
        <f t="shared" si="23"/>
        <v>1.6098903593710971E-10</v>
      </c>
      <c r="D64" s="27">
        <f>Data!F43</f>
        <v>0</v>
      </c>
      <c r="E64" s="29">
        <f t="shared" si="24"/>
        <v>-1.293683869695768E-13</v>
      </c>
      <c r="F64" s="30">
        <f t="shared" si="25"/>
        <v>-0.28438122964037749</v>
      </c>
      <c r="G64" s="21">
        <f>AVERAGE(F64:F66)</f>
        <v>-0.2843635167034082</v>
      </c>
      <c r="H64" s="12">
        <f>STDEV(F64:F66)</f>
        <v>3.1260217689047407E-5</v>
      </c>
      <c r="I64" s="12" t="str">
        <f>Data!A43</f>
        <v>Calibrate_30C</v>
      </c>
    </row>
    <row r="65" spans="1:9" x14ac:dyDescent="0.3">
      <c r="A65" s="12"/>
      <c r="B65" s="27">
        <f>Data!D44*Data!H44</f>
        <v>2.5917693077089999E-20</v>
      </c>
      <c r="C65" s="29">
        <f t="shared" si="23"/>
        <v>1.6098972972550142E-10</v>
      </c>
      <c r="D65" s="27">
        <f>Data!F44</f>
        <v>0</v>
      </c>
      <c r="E65" s="29">
        <f t="shared" si="24"/>
        <v>-1.293686909663585E-13</v>
      </c>
      <c r="F65" s="30">
        <f t="shared" si="25"/>
        <v>-0.28438189789465979</v>
      </c>
      <c r="G65" s="22"/>
      <c r="H65" s="12"/>
      <c r="I65" s="12"/>
    </row>
    <row r="66" spans="1:9" x14ac:dyDescent="0.3">
      <c r="A66" s="12"/>
      <c r="B66" s="27">
        <f>Data!D45*Data!H45</f>
        <v>2.5899486137999998E-20</v>
      </c>
      <c r="C66" s="29">
        <f t="shared" si="23"/>
        <v>1.6093317289483856E-10</v>
      </c>
      <c r="D66" s="27">
        <f>Data!F45</f>
        <v>0</v>
      </c>
      <c r="E66" s="29">
        <f t="shared" si="24"/>
        <v>-1.2934390949882379E-13</v>
      </c>
      <c r="F66" s="30">
        <f t="shared" si="25"/>
        <v>-0.28432742257518728</v>
      </c>
      <c r="G66" s="22"/>
      <c r="H66" s="12"/>
      <c r="I66" s="12"/>
    </row>
    <row r="67" spans="1:9" x14ac:dyDescent="0.3">
      <c r="A67" s="12" t="str">
        <f>Data!A46</f>
        <v>5_T0_1</v>
      </c>
      <c r="B67" s="27">
        <f>Data!D46*Data!H46</f>
        <v>1.9585338270018002E-20</v>
      </c>
      <c r="C67" s="29">
        <f t="shared" si="23"/>
        <v>1.3994762688240911E-10</v>
      </c>
      <c r="D67" s="27">
        <f>Data!F46</f>
        <v>0</v>
      </c>
      <c r="E67" s="29">
        <f t="shared" si="24"/>
        <v>-1.201486872575814E-13</v>
      </c>
      <c r="F67" s="30">
        <f t="shared" si="25"/>
        <v>-0.26411422622145975</v>
      </c>
      <c r="G67" s="21">
        <f>AVERAGE(F67:F69)</f>
        <v>-0.26403932635744071</v>
      </c>
      <c r="H67" s="12">
        <f>STDEV(F67:F69)</f>
        <v>8.818179300265981E-5</v>
      </c>
      <c r="I67" s="12" t="str">
        <f>Data!A46</f>
        <v>5_T0_1</v>
      </c>
    </row>
    <row r="68" spans="1:9" x14ac:dyDescent="0.3">
      <c r="A68" s="12"/>
      <c r="B68" s="27">
        <f>Data!D47*Data!H47</f>
        <v>1.9570052562300001E-20</v>
      </c>
      <c r="C68" s="29">
        <f t="shared" ref="C68:C90" si="26">SQRT(B68)</f>
        <v>1.3989300397911255E-10</v>
      </c>
      <c r="D68" s="27">
        <f>Data!F47</f>
        <v>0</v>
      </c>
      <c r="E68" s="29">
        <f t="shared" ref="E68:E90" si="27">D68-(C68*I$22+I$21)</f>
        <v>-1.2012475317766866E-13</v>
      </c>
      <c r="F68" s="30">
        <f t="shared" ref="F68:F90" si="28">A$1*E68/A$2</f>
        <v>-0.26406161365330971</v>
      </c>
      <c r="G68" s="21"/>
      <c r="H68" s="12"/>
      <c r="I68" s="12"/>
    </row>
    <row r="69" spans="1:9" x14ac:dyDescent="0.3">
      <c r="A69" s="12"/>
      <c r="B69" s="27">
        <f>Data!D48*Data!H48</f>
        <v>1.9535363405018002E-20</v>
      </c>
      <c r="C69" s="29">
        <f t="shared" si="26"/>
        <v>1.3976896438415076E-10</v>
      </c>
      <c r="D69" s="27">
        <f>Data!F48</f>
        <v>0</v>
      </c>
      <c r="E69" s="29">
        <f t="shared" si="27"/>
        <v>-1.200704028337838E-13</v>
      </c>
      <c r="F69" s="30">
        <f t="shared" si="28"/>
        <v>-0.26394213919755266</v>
      </c>
      <c r="G69" s="21"/>
      <c r="H69" s="12"/>
      <c r="I69" s="12"/>
    </row>
    <row r="70" spans="1:9" x14ac:dyDescent="0.3">
      <c r="A70" s="12" t="str">
        <f>Data!A49</f>
        <v>6_T0_1</v>
      </c>
      <c r="B70" s="27">
        <f>Data!D49*Data!H49</f>
        <v>1.9816224350375E-20</v>
      </c>
      <c r="C70" s="29">
        <f t="shared" si="26"/>
        <v>1.4077011170832749E-10</v>
      </c>
      <c r="D70" s="27">
        <f>Data!F49</f>
        <v>0</v>
      </c>
      <c r="E70" s="29">
        <f t="shared" si="27"/>
        <v>-1.2050907486721947E-13</v>
      </c>
      <c r="F70" s="30">
        <f t="shared" si="28"/>
        <v>-0.26490644040899641</v>
      </c>
      <c r="G70" s="21">
        <f t="shared" ref="G70:G88" si="29">AVERAGE(F70:F72)</f>
        <v>-0.26492564618139269</v>
      </c>
      <c r="H70" s="12">
        <f>STDEV(F70:F72)</f>
        <v>2.0689581858983248E-5</v>
      </c>
      <c r="I70" s="12" t="str">
        <f>Data!A49</f>
        <v>6_T0_1</v>
      </c>
    </row>
    <row r="71" spans="1:9" x14ac:dyDescent="0.3">
      <c r="A71" s="12"/>
      <c r="B71" s="27">
        <f>Data!D50*Data!H50</f>
        <v>1.9821048634997998E-20</v>
      </c>
      <c r="C71" s="29">
        <f t="shared" si="26"/>
        <v>1.4078724599550201E-10</v>
      </c>
      <c r="D71" s="27">
        <f>Data!F50</f>
        <v>0</v>
      </c>
      <c r="E71" s="29">
        <f t="shared" si="27"/>
        <v>-1.2051658258602848E-13</v>
      </c>
      <c r="F71" s="30">
        <f t="shared" si="28"/>
        <v>-0.26492294408780631</v>
      </c>
      <c r="G71" s="21"/>
      <c r="H71" s="12"/>
      <c r="I71" s="12"/>
    </row>
    <row r="72" spans="1:9" x14ac:dyDescent="0.3">
      <c r="A72" s="12"/>
      <c r="B72" s="27">
        <f>Data!D51*Data!H51</f>
        <v>1.9828243603457997E-20</v>
      </c>
      <c r="C72" s="29">
        <f t="shared" si="26"/>
        <v>1.4081279630579742E-10</v>
      </c>
      <c r="D72" s="27">
        <f>Data!F51</f>
        <v>0</v>
      </c>
      <c r="E72" s="29">
        <f t="shared" si="27"/>
        <v>-1.2052777794789133E-13</v>
      </c>
      <c r="F72" s="30">
        <f t="shared" si="28"/>
        <v>-0.2649475540473753</v>
      </c>
      <c r="G72" s="21"/>
      <c r="H72" s="12"/>
      <c r="I72" s="12"/>
    </row>
    <row r="73" spans="1:9" x14ac:dyDescent="0.3">
      <c r="A73" s="12" t="str">
        <f>Data!A52</f>
        <v>hardwoodsIN_T0_1</v>
      </c>
      <c r="B73" s="27">
        <f>Data!D52*Data!H52</f>
        <v>2.63459205954E-20</v>
      </c>
      <c r="C73" s="29">
        <f t="shared" si="26"/>
        <v>1.6231426491655007E-10</v>
      </c>
      <c r="D73" s="27">
        <f>Data!F52</f>
        <v>0</v>
      </c>
      <c r="E73" s="29">
        <f t="shared" si="27"/>
        <v>-1.2994906163866911E-13</v>
      </c>
      <c r="F73" s="30">
        <f t="shared" si="28"/>
        <v>-0.28565768504254868</v>
      </c>
      <c r="G73" s="21">
        <f t="shared" si="29"/>
        <v>-0.28562934671719598</v>
      </c>
      <c r="H73" s="12">
        <f>STDEV(F73:F75)</f>
        <v>3.1666848997799727E-5</v>
      </c>
      <c r="I73" s="12" t="str">
        <f>Data!A52</f>
        <v>hardwoodsIN_T0_1</v>
      </c>
    </row>
    <row r="74" spans="1:9" x14ac:dyDescent="0.3">
      <c r="A74" s="12"/>
      <c r="B74" s="27">
        <f>Data!D53*Data!H53</f>
        <v>2.6338339542200003E-20</v>
      </c>
      <c r="C74" s="29">
        <f t="shared" si="26"/>
        <v>1.6229091022666673E-10</v>
      </c>
      <c r="D74" s="27">
        <f>Data!F53</f>
        <v>0</v>
      </c>
      <c r="E74" s="29">
        <f t="shared" si="27"/>
        <v>-1.2993882833028986E-13</v>
      </c>
      <c r="F74" s="30">
        <f t="shared" si="28"/>
        <v>-0.28563518989602682</v>
      </c>
      <c r="G74" s="21"/>
      <c r="H74" s="12"/>
      <c r="I74" s="12"/>
    </row>
    <row r="75" spans="1:9" x14ac:dyDescent="0.3">
      <c r="A75" s="12"/>
      <c r="B75" s="27">
        <f>Data!D54*Data!H54</f>
        <v>2.6324853585279997E-20</v>
      </c>
      <c r="C75" s="29">
        <f t="shared" si="26"/>
        <v>1.6224935619373038E-10</v>
      </c>
      <c r="D75" s="27">
        <f>Data!F54</f>
        <v>0</v>
      </c>
      <c r="E75" s="29">
        <f t="shared" si="27"/>
        <v>-1.2992062062830091E-13</v>
      </c>
      <c r="F75" s="30">
        <f t="shared" si="28"/>
        <v>-0.28559516521301237</v>
      </c>
      <c r="G75" s="21"/>
      <c r="H75" s="12"/>
      <c r="I75" s="12"/>
    </row>
    <row r="76" spans="1:9" x14ac:dyDescent="0.3">
      <c r="A76" s="12" t="str">
        <f>Data!A55</f>
        <v>Calibrate_20C</v>
      </c>
      <c r="B76" s="27">
        <f>Data!D55*Data!H55</f>
        <v>3.52695475608E-20</v>
      </c>
      <c r="C76" s="29">
        <f t="shared" si="26"/>
        <v>1.8780188380524835E-10</v>
      </c>
      <c r="D76" s="27">
        <f>Data!F55</f>
        <v>0</v>
      </c>
      <c r="E76" s="29">
        <f t="shared" si="27"/>
        <v>-1.4111695405103987E-13</v>
      </c>
      <c r="F76" s="30">
        <f t="shared" si="28"/>
        <v>-0.31020726049229369</v>
      </c>
      <c r="G76" s="21">
        <f t="shared" si="29"/>
        <v>-0.3105209589590523</v>
      </c>
      <c r="H76" s="12">
        <f>STDEV(F76:F78)</f>
        <v>2.7183849575687316E-4</v>
      </c>
      <c r="I76" s="12" t="str">
        <f>Data!A55</f>
        <v>Calibrate_20C</v>
      </c>
    </row>
    <row r="77" spans="1:9" x14ac:dyDescent="0.3">
      <c r="A77" s="12"/>
      <c r="B77" s="27">
        <f>Data!D56*Data!H56</f>
        <v>3.5449546942499994E-20</v>
      </c>
      <c r="C77" s="29">
        <f t="shared" si="26"/>
        <v>1.882805006964343E-10</v>
      </c>
      <c r="D77" s="27">
        <f>Data!F56</f>
        <v>0</v>
      </c>
      <c r="E77" s="29">
        <f t="shared" si="27"/>
        <v>-1.413266692845754E-13</v>
      </c>
      <c r="F77" s="30">
        <f t="shared" si="28"/>
        <v>-0.31066826242162277</v>
      </c>
      <c r="G77" s="21"/>
      <c r="H77" s="12"/>
      <c r="I77" s="12"/>
    </row>
    <row r="78" spans="1:9" x14ac:dyDescent="0.3">
      <c r="A78" s="12"/>
      <c r="B78" s="27">
        <f>Data!D57*Data!H57</f>
        <v>3.5457011163280007E-20</v>
      </c>
      <c r="C78" s="29">
        <f t="shared" si="26"/>
        <v>1.8830032172909318E-10</v>
      </c>
      <c r="D78" s="27">
        <f>Data!F57</f>
        <v>0</v>
      </c>
      <c r="E78" s="29">
        <f t="shared" si="27"/>
        <v>-1.4133535425280263E-13</v>
      </c>
      <c r="F78" s="30">
        <f t="shared" si="28"/>
        <v>-0.31068735396324043</v>
      </c>
      <c r="G78" s="21"/>
      <c r="H78" s="12"/>
      <c r="I78" s="12"/>
    </row>
    <row r="79" spans="1:9" x14ac:dyDescent="0.3">
      <c r="A79" s="12" t="str">
        <f>Data!A58</f>
        <v>Calibrate_30C</v>
      </c>
      <c r="B79" s="27">
        <f>Data!D58*Data!H58</f>
        <v>2.5139897519339998E-20</v>
      </c>
      <c r="C79" s="29">
        <f t="shared" si="26"/>
        <v>1.5855566063480673E-10</v>
      </c>
      <c r="D79" s="27">
        <f>Data!F58</f>
        <v>0</v>
      </c>
      <c r="E79" s="29">
        <f t="shared" si="27"/>
        <v>-1.2830215658949645E-13</v>
      </c>
      <c r="F79" s="30">
        <f t="shared" si="28"/>
        <v>-0.28203741200710608</v>
      </c>
      <c r="G79" s="21">
        <f t="shared" si="29"/>
        <v>-0.2819282872445103</v>
      </c>
      <c r="H79" s="12">
        <f>STDEV(F79:F81)</f>
        <v>9.9142708100365676E-5</v>
      </c>
      <c r="I79" s="12" t="str">
        <f>Data!A58</f>
        <v>Calibrate_30C</v>
      </c>
    </row>
    <row r="80" spans="1:9" x14ac:dyDescent="0.3">
      <c r="A80" s="12"/>
      <c r="B80" s="27">
        <f>Data!D59*Data!H59</f>
        <v>2.5095892872960001E-20</v>
      </c>
      <c r="C80" s="29">
        <f t="shared" si="26"/>
        <v>1.5841683266925897E-10</v>
      </c>
      <c r="D80" s="27">
        <f>Data!F59</f>
        <v>0</v>
      </c>
      <c r="E80" s="29">
        <f t="shared" si="27"/>
        <v>-1.2824132643545828E-13</v>
      </c>
      <c r="F80" s="30">
        <f t="shared" si="28"/>
        <v>-0.28190369345027921</v>
      </c>
      <c r="G80" s="21"/>
      <c r="H80" s="12"/>
      <c r="I80" s="12"/>
    </row>
    <row r="81" spans="1:9" x14ac:dyDescent="0.3">
      <c r="A81" s="12"/>
      <c r="B81" s="27">
        <f>Data!D60*Data!H60</f>
        <v>2.5076181015139997E-20</v>
      </c>
      <c r="C81" s="29">
        <f t="shared" si="26"/>
        <v>1.5835460528554261E-10</v>
      </c>
      <c r="D81" s="27">
        <f>Data!F60</f>
        <v>0</v>
      </c>
      <c r="E81" s="29">
        <f t="shared" si="27"/>
        <v>-1.2821406030559804E-13</v>
      </c>
      <c r="F81" s="30">
        <f t="shared" si="28"/>
        <v>-0.28184375627614555</v>
      </c>
      <c r="G81" s="21"/>
      <c r="H81" s="12"/>
      <c r="I81" s="12"/>
    </row>
    <row r="82" spans="1:9" x14ac:dyDescent="0.3">
      <c r="A82" s="12" t="str">
        <f>Data!A61</f>
        <v>7_T0_1</v>
      </c>
      <c r="B82" s="27">
        <f>Data!D61*Data!H61</f>
        <v>2.3248005989103998E-20</v>
      </c>
      <c r="C82" s="29">
        <f t="shared" si="26"/>
        <v>1.5247296806025649E-10</v>
      </c>
      <c r="D82" s="27">
        <f>Data!F61</f>
        <v>0</v>
      </c>
      <c r="E82" s="29">
        <f t="shared" si="27"/>
        <v>-1.256369073739165E-13</v>
      </c>
      <c r="F82" s="30">
        <f t="shared" si="28"/>
        <v>-0.27617858616116797</v>
      </c>
      <c r="G82" s="21">
        <f t="shared" si="29"/>
        <v>-0.27608280873260693</v>
      </c>
      <c r="H82" s="12">
        <f>STDEV(F82:F84)</f>
        <v>8.6275229732529871E-5</v>
      </c>
      <c r="I82" s="12" t="str">
        <f>Data!A61</f>
        <v>7_T0_1</v>
      </c>
    </row>
    <row r="83" spans="1:9" x14ac:dyDescent="0.3">
      <c r="A83" s="12"/>
      <c r="B83" s="27">
        <f>Data!D62*Data!H62</f>
        <v>2.3210052057099999E-20</v>
      </c>
      <c r="C83" s="29">
        <f t="shared" si="26"/>
        <v>1.5234845603779513E-10</v>
      </c>
      <c r="D83" s="27">
        <f>Data!F62</f>
        <v>0</v>
      </c>
      <c r="E83" s="29">
        <f t="shared" si="27"/>
        <v>-1.2558235002679956E-13</v>
      </c>
      <c r="F83" s="30">
        <f t="shared" si="28"/>
        <v>-0.2760586566650795</v>
      </c>
      <c r="G83" s="21"/>
      <c r="H83" s="12"/>
      <c r="I83" s="12"/>
    </row>
    <row r="84" spans="1:9" x14ac:dyDescent="0.3">
      <c r="A84" s="12"/>
      <c r="B84" s="27">
        <f>Data!D63*Data!H63</f>
        <v>2.3195036811596E-20</v>
      </c>
      <c r="C84" s="29">
        <f t="shared" si="26"/>
        <v>1.5229916878169756E-10</v>
      </c>
      <c r="D84" s="27">
        <f>Data!F63</f>
        <v>0</v>
      </c>
      <c r="E84" s="29">
        <f t="shared" si="27"/>
        <v>-1.2556075386374479E-13</v>
      </c>
      <c r="F84" s="30">
        <f t="shared" si="28"/>
        <v>-0.27601118337157338</v>
      </c>
      <c r="G84" s="21"/>
      <c r="H84" s="12"/>
      <c r="I84" s="12"/>
    </row>
    <row r="85" spans="1:9" x14ac:dyDescent="0.3">
      <c r="A85" s="12" t="str">
        <f>Data!A64</f>
        <v>8_T0_1</v>
      </c>
      <c r="B85" s="27">
        <f>Data!D64*Data!H64</f>
        <v>1.9883371879799999E-20</v>
      </c>
      <c r="C85" s="29">
        <f t="shared" si="26"/>
        <v>1.4100841067042773E-10</v>
      </c>
      <c r="D85" s="27">
        <f>Data!F64</f>
        <v>0</v>
      </c>
      <c r="E85" s="29">
        <f t="shared" si="27"/>
        <v>-1.2061349015930057E-13</v>
      </c>
      <c r="F85" s="30">
        <f t="shared" si="28"/>
        <v>-0.26513596904308429</v>
      </c>
      <c r="G85" s="21">
        <f t="shared" si="29"/>
        <v>-0.26500473170416</v>
      </c>
      <c r="H85" s="12">
        <f>STDEV(F85:F87)</f>
        <v>1.3229485353449832E-4</v>
      </c>
      <c r="I85" s="12" t="str">
        <f>Data!A64</f>
        <v>8_T0_1</v>
      </c>
    </row>
    <row r="86" spans="1:9" x14ac:dyDescent="0.3">
      <c r="A86" s="12"/>
      <c r="B86" s="27">
        <f>Data!D65*Data!H65</f>
        <v>1.984557653124E-20</v>
      </c>
      <c r="C86" s="29">
        <f t="shared" si="26"/>
        <v>1.4087432885817062E-10</v>
      </c>
      <c r="D86" s="27">
        <f>Data!F65</f>
        <v>0</v>
      </c>
      <c r="E86" s="29">
        <f t="shared" si="27"/>
        <v>-1.2055473962398056E-13</v>
      </c>
      <c r="F86" s="30">
        <f t="shared" si="28"/>
        <v>-0.26500682196265996</v>
      </c>
      <c r="G86" s="21"/>
      <c r="H86" s="12"/>
      <c r="I86" s="12"/>
    </row>
    <row r="87" spans="1:9" x14ac:dyDescent="0.3">
      <c r="A87" s="12"/>
      <c r="B87" s="27">
        <f>Data!D66*Data!H66</f>
        <v>1.9805984635136E-20</v>
      </c>
      <c r="C87" s="29">
        <f t="shared" si="26"/>
        <v>1.4073373666301907E-10</v>
      </c>
      <c r="D87" s="27">
        <f>Data!F66</f>
        <v>0</v>
      </c>
      <c r="E87" s="29">
        <f t="shared" si="27"/>
        <v>-1.2049313643867211E-13</v>
      </c>
      <c r="F87" s="30">
        <f t="shared" si="28"/>
        <v>-0.26487140410673582</v>
      </c>
      <c r="G87" s="21"/>
      <c r="H87" s="12"/>
      <c r="I87" s="12"/>
    </row>
    <row r="88" spans="1:9" x14ac:dyDescent="0.3">
      <c r="A88" s="12" t="str">
        <f>Data!A67</f>
        <v>9_T0_1</v>
      </c>
      <c r="B88" s="27">
        <f>Data!D67*Data!H67</f>
        <v>1.9453911663750001E-20</v>
      </c>
      <c r="C88" s="29">
        <f t="shared" si="26"/>
        <v>1.3947728009876736E-10</v>
      </c>
      <c r="D88" s="27">
        <f>Data!F67</f>
        <v>0</v>
      </c>
      <c r="E88" s="29">
        <f t="shared" si="27"/>
        <v>-1.1994259573137199E-13</v>
      </c>
      <c r="F88" s="30">
        <f t="shared" si="28"/>
        <v>-0.2636611900275736</v>
      </c>
      <c r="G88" s="21">
        <f t="shared" si="29"/>
        <v>-0.26358495465813586</v>
      </c>
      <c r="H88" s="12">
        <f>STDEV(F88:F90)</f>
        <v>6.632137681270714E-5</v>
      </c>
      <c r="I88" s="12" t="str">
        <f>Data!A67</f>
        <v>9_T0_1</v>
      </c>
    </row>
    <row r="89" spans="1:9" x14ac:dyDescent="0.3">
      <c r="A89" s="12"/>
      <c r="B89" s="27">
        <f>Data!D68*Data!H68</f>
        <v>1.9422629741780999E-20</v>
      </c>
      <c r="C89" s="29">
        <f t="shared" si="26"/>
        <v>1.3936509513425878E-10</v>
      </c>
      <c r="D89" s="27">
        <f>Data!F68</f>
        <v>0</v>
      </c>
      <c r="E89" s="29">
        <f t="shared" si="27"/>
        <v>-1.1989343972274722E-13</v>
      </c>
      <c r="F89" s="30">
        <f t="shared" si="28"/>
        <v>-0.2635531339057931</v>
      </c>
      <c r="G89" s="21"/>
      <c r="H89" s="12"/>
      <c r="I89" s="12"/>
    </row>
    <row r="90" spans="1:9" x14ac:dyDescent="0.3">
      <c r="A90" s="12"/>
      <c r="B90" s="27">
        <f>Data!D69*Data!H69</f>
        <v>1.9418985493632001E-20</v>
      </c>
      <c r="C90" s="29">
        <f t="shared" si="26"/>
        <v>1.3935202005579971E-10</v>
      </c>
      <c r="D90" s="27">
        <f>Data!F69</f>
        <v>0</v>
      </c>
      <c r="E90" s="29">
        <f t="shared" si="27"/>
        <v>-1.1988771062462504E-13</v>
      </c>
      <c r="F90" s="30">
        <f t="shared" si="28"/>
        <v>-0.26354054004104083</v>
      </c>
      <c r="G90" s="21"/>
      <c r="H90" s="12"/>
      <c r="I90" s="12"/>
    </row>
    <row r="91" spans="1:9" x14ac:dyDescent="0.3">
      <c r="A91" s="12" t="str">
        <f>Data!A70</f>
        <v>Calibrate_20C</v>
      </c>
      <c r="B91" s="27">
        <f>Data!D70*Data!H70</f>
        <v>3.4435027672799997E-20</v>
      </c>
      <c r="C91" s="29">
        <f t="shared" ref="C91" si="30">SQRT(B91)</f>
        <v>1.8556677416175558E-10</v>
      </c>
      <c r="D91" s="27">
        <f>Data!F70</f>
        <v>0</v>
      </c>
      <c r="E91" s="29">
        <f t="shared" ref="E91" si="31">D91-(C91*I$22+I$21)</f>
        <v>-1.401375975981133E-13</v>
      </c>
      <c r="F91" s="30">
        <f t="shared" ref="F91" si="32">A$1*E91/A$2</f>
        <v>-0.3080544115709804</v>
      </c>
      <c r="G91" s="21">
        <f>AVERAGE(F91:F93)</f>
        <v>-0.30824442565046622</v>
      </c>
      <c r="H91" s="12">
        <f>STDEV(F91:F93)</f>
        <v>1.6796931761149927E-4</v>
      </c>
      <c r="I91" s="12" t="str">
        <f>Data!A70</f>
        <v>Calibrate_20C</v>
      </c>
    </row>
    <row r="92" spans="1:9" x14ac:dyDescent="0.3">
      <c r="A92" s="12"/>
      <c r="B92" s="27">
        <f>Data!D71*Data!H71</f>
        <v>3.4531939246749997E-20</v>
      </c>
      <c r="C92" s="29">
        <f t="shared" ref="C92:C96" si="33">SQRT(B92)</f>
        <v>1.8582771388237546E-10</v>
      </c>
      <c r="D92" s="27">
        <f>Data!F71</f>
        <v>0</v>
      </c>
      <c r="E92" s="29">
        <f t="shared" ref="E92:E96" si="34">D92-(C92*I$22+I$21)</f>
        <v>-1.402519333757598E-13</v>
      </c>
      <c r="F92" s="30">
        <f t="shared" ref="F92:F96" si="35">A$1*E92/A$2</f>
        <v>-0.30830574769567559</v>
      </c>
      <c r="G92" s="21"/>
      <c r="H92" s="12"/>
      <c r="I92" s="12"/>
    </row>
    <row r="93" spans="1:9" x14ac:dyDescent="0.3">
      <c r="A93" s="12"/>
      <c r="B93" s="27">
        <f>Data!D72*Data!H72</f>
        <v>3.4557939283400005E-20</v>
      </c>
      <c r="C93" s="29">
        <f t="shared" si="33"/>
        <v>1.858976580901438E-10</v>
      </c>
      <c r="D93" s="27">
        <f>Data!F72</f>
        <v>0</v>
      </c>
      <c r="E93" s="29">
        <f t="shared" si="34"/>
        <v>-1.4028258078109947E-13</v>
      </c>
      <c r="F93" s="30">
        <f t="shared" si="35"/>
        <v>-0.30837311768474279</v>
      </c>
      <c r="G93" s="21"/>
      <c r="H93" s="12"/>
      <c r="I93" s="12"/>
    </row>
    <row r="94" spans="1:9" x14ac:dyDescent="0.3">
      <c r="A94" s="12" t="str">
        <f>Data!A73</f>
        <v>Calibrate_30C</v>
      </c>
      <c r="B94" s="27">
        <f>Data!D73*Data!H73</f>
        <v>2.4272951028480001E-20</v>
      </c>
      <c r="C94" s="29">
        <f t="shared" si="33"/>
        <v>1.5579778890754515E-10</v>
      </c>
      <c r="D94" s="27">
        <f>Data!F73</f>
        <v>0</v>
      </c>
      <c r="E94" s="29">
        <f t="shared" si="34"/>
        <v>-1.2709374183440791E-13</v>
      </c>
      <c r="F94" s="30">
        <f t="shared" si="35"/>
        <v>-0.27938104067854902</v>
      </c>
      <c r="G94" s="21">
        <f t="shared" ref="G94" si="36">AVERAGE(F94:F96)</f>
        <v>-0.27937306254212202</v>
      </c>
      <c r="H94" s="12">
        <f>STDEV(F94:F96)</f>
        <v>2.9850855617165467E-5</v>
      </c>
      <c r="I94" s="12" t="str">
        <f>Data!A73</f>
        <v>Calibrate_30C</v>
      </c>
    </row>
    <row r="95" spans="1:9" x14ac:dyDescent="0.3">
      <c r="A95" s="12"/>
      <c r="B95" s="27">
        <f>Data!D74*Data!H74</f>
        <v>2.4259686862839998E-20</v>
      </c>
      <c r="C95" s="29">
        <f t="shared" si="33"/>
        <v>1.5575521456066886E-10</v>
      </c>
      <c r="D95" s="27">
        <f>Data!F74</f>
        <v>0</v>
      </c>
      <c r="E95" s="29">
        <f t="shared" si="34"/>
        <v>-1.270750870621627E-13</v>
      </c>
      <c r="F95" s="30">
        <f t="shared" si="35"/>
        <v>-0.27934003323311341</v>
      </c>
      <c r="G95" s="21"/>
      <c r="H95" s="12"/>
      <c r="I95" s="12"/>
    </row>
    <row r="96" spans="1:9" x14ac:dyDescent="0.3">
      <c r="A96" s="12"/>
      <c r="B96" s="27">
        <f>Data!D75*Data!H75</f>
        <v>2.4278474498850001E-20</v>
      </c>
      <c r="C96" s="29">
        <f t="shared" si="33"/>
        <v>1.5581551430730511E-10</v>
      </c>
      <c r="D96" s="27">
        <f>Data!F75</f>
        <v>0</v>
      </c>
      <c r="E96" s="29">
        <f t="shared" si="34"/>
        <v>-1.2710150856061133E-13</v>
      </c>
      <c r="F96" s="30">
        <f t="shared" si="35"/>
        <v>-0.27939811371470374</v>
      </c>
      <c r="G96" s="21"/>
      <c r="H96" s="12"/>
      <c r="I96" s="12"/>
    </row>
    <row r="97" spans="1:9" x14ac:dyDescent="0.3">
      <c r="A97" s="12" t="str">
        <f>Data!A82</f>
        <v>11_T0_1</v>
      </c>
      <c r="B97" s="27">
        <f>Data!D82*Data!H82</f>
        <v>1.6228998754620997E-20</v>
      </c>
      <c r="C97" s="29">
        <f t="shared" ref="C97" si="37">SQRT(B97)</f>
        <v>1.2739308754646383E-10</v>
      </c>
      <c r="D97" s="27">
        <f>Data!F82</f>
        <v>0</v>
      </c>
      <c r="E97" s="29">
        <f t="shared" ref="E97" si="38">D97-(C97*I$22+I$21)</f>
        <v>-1.1464767340442448E-13</v>
      </c>
      <c r="F97" s="30">
        <f t="shared" ref="F97" si="39">A$1*E97/A$2</f>
        <v>-0.2520217427293574</v>
      </c>
      <c r="G97" s="21">
        <f>AVERAGE(F97:F99)</f>
        <v>-0.25199767648797683</v>
      </c>
      <c r="H97" s="12">
        <f>STDEV(F97:F99)</f>
        <v>4.6025398861556726E-5</v>
      </c>
      <c r="I97" s="12" t="str">
        <f>Data!A82</f>
        <v>11_T0_1</v>
      </c>
    </row>
    <row r="98" spans="1:9" x14ac:dyDescent="0.3">
      <c r="A98" s="12"/>
      <c r="B98" s="27">
        <f>Data!D83*Data!H83</f>
        <v>1.6230304615556E-20</v>
      </c>
      <c r="C98" s="29">
        <f t="shared" ref="C98:C150" si="40">SQRT(B98)</f>
        <v>1.2739821276437123E-10</v>
      </c>
      <c r="D98" s="27">
        <f>Data!F83</f>
        <v>0</v>
      </c>
      <c r="E98" s="29">
        <f t="shared" ref="E98:E150" si="41">D98-(C98*I$22+I$21)</f>
        <v>-1.1464991911762466E-13</v>
      </c>
      <c r="F98" s="30">
        <f t="shared" ref="F98:F150" si="42">A$1*E98/A$2</f>
        <v>-0.25202667931932538</v>
      </c>
      <c r="G98" s="21"/>
      <c r="H98" s="12"/>
      <c r="I98" s="12"/>
    </row>
    <row r="99" spans="1:9" x14ac:dyDescent="0.3">
      <c r="A99" s="12"/>
      <c r="B99" s="27">
        <f>Data!D84*Data!H84</f>
        <v>1.6208601211302002E-20</v>
      </c>
      <c r="C99" s="29">
        <f t="shared" si="40"/>
        <v>1.2731300487892823E-10</v>
      </c>
      <c r="D99" s="27">
        <f>Data!F84</f>
        <v>0</v>
      </c>
      <c r="E99" s="29">
        <f t="shared" si="41"/>
        <v>-1.1461258363715202E-13</v>
      </c>
      <c r="F99" s="30">
        <f t="shared" si="42"/>
        <v>-0.25194460741524788</v>
      </c>
      <c r="G99" s="21"/>
      <c r="H99" s="12"/>
      <c r="I99" s="12"/>
    </row>
    <row r="100" spans="1:9" x14ac:dyDescent="0.3">
      <c r="A100" s="12" t="str">
        <f>Data!A85</f>
        <v>Calibrate_20C</v>
      </c>
      <c r="B100" s="27">
        <f>Data!D85*Data!H85</f>
        <v>3.346297600023E-20</v>
      </c>
      <c r="C100" s="29">
        <f t="shared" si="40"/>
        <v>1.8292888235658688E-10</v>
      </c>
      <c r="D100" s="27">
        <f>Data!F85</f>
        <v>0</v>
      </c>
      <c r="E100" s="29">
        <f t="shared" si="41"/>
        <v>-1.3898175436284502E-13</v>
      </c>
      <c r="F100" s="30">
        <f t="shared" si="42"/>
        <v>-0.30551360443705206</v>
      </c>
      <c r="G100" s="21">
        <f t="shared" ref="G100:G148" si="43">AVERAGE(F100:F102)</f>
        <v>-0.30553435981687288</v>
      </c>
      <c r="H100" s="12">
        <f>STDEV(F100:F102)</f>
        <v>2.6059685467022508E-5</v>
      </c>
      <c r="I100" s="12" t="str">
        <f>Data!A85</f>
        <v>Calibrate_20C</v>
      </c>
    </row>
    <row r="101" spans="1:9" x14ac:dyDescent="0.3">
      <c r="A101" s="12"/>
      <c r="B101" s="27">
        <f>Data!D86*Data!H86</f>
        <v>3.3481971129480003E-20</v>
      </c>
      <c r="C101" s="29">
        <f t="shared" si="40"/>
        <v>1.829807944279399E-10</v>
      </c>
      <c r="D101" s="27">
        <f>Data!F86</f>
        <v>0</v>
      </c>
      <c r="E101" s="29">
        <f t="shared" si="41"/>
        <v>-1.3900450063939227E-13</v>
      </c>
      <c r="F101" s="30">
        <f t="shared" si="42"/>
        <v>-0.30556360594241028</v>
      </c>
      <c r="G101" s="21"/>
      <c r="H101" s="12"/>
      <c r="I101" s="12"/>
    </row>
    <row r="102" spans="1:9" x14ac:dyDescent="0.3">
      <c r="A102" s="12"/>
      <c r="B102" s="27">
        <f>Data!D87*Data!H87</f>
        <v>3.3467634727279997E-20</v>
      </c>
      <c r="C102" s="29">
        <f t="shared" si="40"/>
        <v>1.8294161562443903E-10</v>
      </c>
      <c r="D102" s="27">
        <f>Data!F87</f>
        <v>0</v>
      </c>
      <c r="E102" s="29">
        <f t="shared" si="41"/>
        <v>-1.3898733369004899E-13</v>
      </c>
      <c r="F102" s="30">
        <f t="shared" si="42"/>
        <v>-0.30552586907115625</v>
      </c>
      <c r="G102" s="21"/>
      <c r="H102" s="12"/>
      <c r="I102" s="12"/>
    </row>
    <row r="103" spans="1:9" x14ac:dyDescent="0.3">
      <c r="A103" s="12" t="str">
        <f>Data!A88</f>
        <v>Calibrate_30C</v>
      </c>
      <c r="B103" s="27">
        <f>Data!D88*Data!H88</f>
        <v>2.3640957630359999E-20</v>
      </c>
      <c r="C103" s="29">
        <f t="shared" si="40"/>
        <v>1.5375616290204435E-10</v>
      </c>
      <c r="D103" s="27">
        <f>Data!F88</f>
        <v>0</v>
      </c>
      <c r="E103" s="29">
        <f t="shared" si="41"/>
        <v>-1.261991639738671E-13</v>
      </c>
      <c r="F103" s="30">
        <f t="shared" si="42"/>
        <v>-0.27741455444532825</v>
      </c>
      <c r="G103" s="21">
        <f t="shared" si="43"/>
        <v>-0.27741466307424573</v>
      </c>
      <c r="H103" s="12">
        <f>STDEV(F103:F105)</f>
        <v>4.1058641371238948E-5</v>
      </c>
      <c r="I103" s="12" t="str">
        <f>Data!A88</f>
        <v>Calibrate_30C</v>
      </c>
    </row>
    <row r="104" spans="1:9" x14ac:dyDescent="0.3">
      <c r="A104" s="12"/>
      <c r="B104" s="27">
        <f>Data!D89*Data!H89</f>
        <v>2.3654119930560001E-20</v>
      </c>
      <c r="C104" s="29">
        <f t="shared" si="40"/>
        <v>1.5379895945863874E-10</v>
      </c>
      <c r="D104" s="27">
        <f>Data!F89</f>
        <v>0</v>
      </c>
      <c r="E104" s="29">
        <f t="shared" si="41"/>
        <v>-1.2621791611159142E-13</v>
      </c>
      <c r="F104" s="30">
        <f t="shared" si="42"/>
        <v>-0.27745577592230064</v>
      </c>
      <c r="G104" s="21"/>
      <c r="H104" s="12"/>
      <c r="I104" s="12"/>
    </row>
    <row r="105" spans="1:9" x14ac:dyDescent="0.3">
      <c r="A105" s="12"/>
      <c r="B105" s="27">
        <f>Data!D90*Data!H90</f>
        <v>2.36279030078E-20</v>
      </c>
      <c r="C105" s="29">
        <f t="shared" si="40"/>
        <v>1.5371370468439044E-10</v>
      </c>
      <c r="D105" s="27">
        <f>Data!F90</f>
        <v>0</v>
      </c>
      <c r="E105" s="29">
        <f t="shared" si="41"/>
        <v>-1.2618056008588327E-13</v>
      </c>
      <c r="F105" s="30">
        <f t="shared" si="42"/>
        <v>-0.27737365885510823</v>
      </c>
      <c r="G105" s="21"/>
      <c r="H105" s="12"/>
      <c r="I105" s="12"/>
    </row>
    <row r="106" spans="1:9" x14ac:dyDescent="0.3">
      <c r="A106" s="12" t="str">
        <f>Data!A91</f>
        <v>12_T0_1</v>
      </c>
      <c r="B106" s="27">
        <f>Data!D91*Data!H91</f>
        <v>1.0537424194392E-20</v>
      </c>
      <c r="C106" s="29">
        <f t="shared" si="40"/>
        <v>1.0265195660284319E-10</v>
      </c>
      <c r="D106" s="27">
        <f>Data!F91</f>
        <v>0</v>
      </c>
      <c r="E106" s="29">
        <f t="shared" si="41"/>
        <v>-1.0380686910076111E-13</v>
      </c>
      <c r="F106" s="30">
        <f t="shared" si="42"/>
        <v>-0.22819118156690363</v>
      </c>
      <c r="G106" s="21">
        <f t="shared" si="43"/>
        <v>-0.22806992472161683</v>
      </c>
      <c r="H106" s="12">
        <f>STDEV(F106:F108)</f>
        <v>1.4426221700996472E-4</v>
      </c>
      <c r="I106" s="12" t="str">
        <f>Data!A91</f>
        <v>12_T0_1</v>
      </c>
    </row>
    <row r="107" spans="1:9" x14ac:dyDescent="0.3">
      <c r="A107" s="12"/>
      <c r="B107" s="27">
        <f>Data!D92*Data!H92</f>
        <v>1.0519746609875999E-20</v>
      </c>
      <c r="C107" s="29">
        <f t="shared" si="40"/>
        <v>1.025658159908846E-10</v>
      </c>
      <c r="D107" s="27">
        <f>Data!F92</f>
        <v>0</v>
      </c>
      <c r="E107" s="29">
        <f t="shared" si="41"/>
        <v>-1.037691249281536E-13</v>
      </c>
      <c r="F107" s="30">
        <f t="shared" si="42"/>
        <v>-0.22810821126427164</v>
      </c>
      <c r="G107" s="21"/>
      <c r="H107" s="12"/>
      <c r="I107" s="12"/>
    </row>
    <row r="108" spans="1:9" x14ac:dyDescent="0.3">
      <c r="A108" s="12"/>
      <c r="B108" s="27">
        <f>Data!D93*Data!H93</f>
        <v>1.0477657004384999E-20</v>
      </c>
      <c r="C108" s="29">
        <f t="shared" si="40"/>
        <v>1.0236042694510901E-10</v>
      </c>
      <c r="D108" s="27">
        <f>Data!F93</f>
        <v>0</v>
      </c>
      <c r="E108" s="29">
        <f t="shared" si="41"/>
        <v>-1.0367912975143984E-13</v>
      </c>
      <c r="F108" s="30">
        <f t="shared" si="42"/>
        <v>-0.22791038133367519</v>
      </c>
      <c r="G108" s="21"/>
      <c r="H108" s="12"/>
      <c r="I108" s="12"/>
    </row>
    <row r="109" spans="1:9" x14ac:dyDescent="0.3">
      <c r="A109" s="12" t="str">
        <f>Data!A94</f>
        <v>grassesIN_T1_1</v>
      </c>
      <c r="B109" s="27">
        <f>Data!D94*Data!H94</f>
        <v>1.9707441184618E-20</v>
      </c>
      <c r="C109" s="29">
        <f t="shared" si="40"/>
        <v>1.4038319409608117E-10</v>
      </c>
      <c r="D109" s="27">
        <f>Data!F94</f>
        <v>0</v>
      </c>
      <c r="E109" s="29">
        <f t="shared" si="41"/>
        <v>-1.2033953944357364E-13</v>
      </c>
      <c r="F109" s="30">
        <f t="shared" si="42"/>
        <v>-0.26453376286873043</v>
      </c>
      <c r="G109" s="21">
        <f t="shared" si="43"/>
        <v>-0.2645495486058988</v>
      </c>
      <c r="H109" s="12">
        <f>STDEV(F109:F111)</f>
        <v>2.1702962563675827E-5</v>
      </c>
      <c r="I109" s="12" t="str">
        <f>Data!A94</f>
        <v>grassesIN_T1_1</v>
      </c>
    </row>
    <row r="110" spans="1:9" x14ac:dyDescent="0.3">
      <c r="A110" s="12"/>
      <c r="B110" s="27">
        <f>Data!D95*Data!H95</f>
        <v>1.9709429972063999E-20</v>
      </c>
      <c r="C110" s="29">
        <f t="shared" si="40"/>
        <v>1.40390277341645E-10</v>
      </c>
      <c r="D110" s="27">
        <f>Data!F95</f>
        <v>0</v>
      </c>
      <c r="E110" s="29">
        <f t="shared" si="41"/>
        <v>-1.2034264310440336E-13</v>
      </c>
      <c r="F110" s="30">
        <f t="shared" si="42"/>
        <v>-0.26454058542332676</v>
      </c>
      <c r="G110" s="21"/>
      <c r="H110" s="12"/>
      <c r="I110" s="12"/>
    </row>
    <row r="111" spans="1:9" x14ac:dyDescent="0.3">
      <c r="A111" s="12"/>
      <c r="B111" s="27">
        <f>Data!D96*Data!H96</f>
        <v>1.9719258585976E-20</v>
      </c>
      <c r="C111" s="29">
        <f t="shared" si="40"/>
        <v>1.4042527758910075E-10</v>
      </c>
      <c r="D111" s="27">
        <f>Data!F96</f>
        <v>0</v>
      </c>
      <c r="E111" s="29">
        <f t="shared" si="41"/>
        <v>-1.2035797913872256E-13</v>
      </c>
      <c r="F111" s="30">
        <f t="shared" si="42"/>
        <v>-0.2645742975256391</v>
      </c>
      <c r="G111" s="21"/>
      <c r="H111" s="12"/>
      <c r="I111" s="12"/>
    </row>
    <row r="112" spans="1:9" x14ac:dyDescent="0.3">
      <c r="A112" s="12" t="str">
        <f>Data!A97</f>
        <v>1_T1_1</v>
      </c>
      <c r="B112" s="27">
        <f>Data!D97*Data!H97</f>
        <v>1.2049084370134E-20</v>
      </c>
      <c r="C112" s="29">
        <f t="shared" si="40"/>
        <v>1.0976832134151455E-10</v>
      </c>
      <c r="D112" s="27">
        <f>Data!F97</f>
        <v>0</v>
      </c>
      <c r="E112" s="29">
        <f t="shared" si="41"/>
        <v>-1.0692504173649176E-13</v>
      </c>
      <c r="F112" s="30">
        <f t="shared" si="42"/>
        <v>-0.23504563642370413</v>
      </c>
      <c r="G112" s="21">
        <f t="shared" si="43"/>
        <v>-0.23497122446278407</v>
      </c>
      <c r="H112" s="12">
        <f>STDEV(F112:F114)</f>
        <v>6.7934917686076262E-5</v>
      </c>
      <c r="I112" s="12" t="str">
        <f>Data!A97</f>
        <v>1_T1_1</v>
      </c>
    </row>
    <row r="113" spans="1:9" x14ac:dyDescent="0.3">
      <c r="A113" s="12"/>
      <c r="B113" s="27">
        <f>Data!D98*Data!H98</f>
        <v>1.202855323101E-20</v>
      </c>
      <c r="C113" s="29">
        <f t="shared" si="40"/>
        <v>1.096747611395165E-10</v>
      </c>
      <c r="D113" s="27">
        <f>Data!F98</f>
        <v>0</v>
      </c>
      <c r="E113" s="29">
        <f t="shared" si="41"/>
        <v>-1.0688404652722733E-13</v>
      </c>
      <c r="F113" s="30">
        <f t="shared" si="42"/>
        <v>-0.23495551960078415</v>
      </c>
      <c r="G113" s="21"/>
      <c r="H113" s="12"/>
      <c r="I113" s="12"/>
    </row>
    <row r="114" spans="1:9" x14ac:dyDescent="0.3">
      <c r="A114" s="12"/>
      <c r="B114" s="27">
        <f>Data!D99*Data!H99</f>
        <v>1.2018762285899999E-20</v>
      </c>
      <c r="C114" s="29">
        <f t="shared" si="40"/>
        <v>1.0963011577983487E-10</v>
      </c>
      <c r="D114" s="27">
        <f>Data!F99</f>
        <v>0</v>
      </c>
      <c r="E114" s="29">
        <f t="shared" si="41"/>
        <v>-1.0686448430072775E-13</v>
      </c>
      <c r="F114" s="30">
        <f t="shared" si="42"/>
        <v>-0.2349125173638639</v>
      </c>
      <c r="G114" s="21"/>
      <c r="H114" s="12"/>
      <c r="I114" s="12"/>
    </row>
    <row r="115" spans="1:9" x14ac:dyDescent="0.3">
      <c r="A115" s="12" t="str">
        <f>Data!A100</f>
        <v>Calibrate_20C</v>
      </c>
      <c r="B115" s="27">
        <f>Data!D100*Data!H100</f>
        <v>3.204293695251E-20</v>
      </c>
      <c r="C115" s="29">
        <f t="shared" si="40"/>
        <v>1.7900541040010495E-10</v>
      </c>
      <c r="D115" s="27">
        <f>Data!F100</f>
        <v>0</v>
      </c>
      <c r="E115" s="29">
        <f t="shared" si="41"/>
        <v>-1.3726260935819441E-13</v>
      </c>
      <c r="F115" s="30">
        <f t="shared" si="42"/>
        <v>-0.30173453149809965</v>
      </c>
      <c r="G115" s="21">
        <f t="shared" si="43"/>
        <v>-0.30192518863197426</v>
      </c>
      <c r="H115" s="12">
        <f>STDEV(F115:F117)</f>
        <v>1.7582974466250279E-4</v>
      </c>
      <c r="I115" s="12" t="str">
        <f>Data!A100</f>
        <v>Calibrate_20C</v>
      </c>
    </row>
    <row r="116" spans="1:9" x14ac:dyDescent="0.3">
      <c r="A116" s="12"/>
      <c r="B116" s="27">
        <f>Data!D101*Data!H101</f>
        <v>3.212682343914E-20</v>
      </c>
      <c r="C116" s="29">
        <f t="shared" si="40"/>
        <v>1.7923956995914714E-10</v>
      </c>
      <c r="D116" s="27">
        <f>Data!F101</f>
        <v>0</v>
      </c>
      <c r="E116" s="29">
        <f t="shared" si="41"/>
        <v>-1.3736521089088881E-13</v>
      </c>
      <c r="F116" s="30">
        <f t="shared" si="42"/>
        <v>-0.3019600730752508</v>
      </c>
      <c r="G116" s="21"/>
      <c r="H116" s="12"/>
      <c r="I116" s="12"/>
    </row>
    <row r="117" spans="1:9" x14ac:dyDescent="0.3">
      <c r="A117" s="12"/>
      <c r="B117" s="27">
        <f>Data!D102*Data!H102</f>
        <v>3.2171830978830002E-20</v>
      </c>
      <c r="C117" s="29">
        <f t="shared" si="40"/>
        <v>1.7936507736688879E-10</v>
      </c>
      <c r="D117" s="27">
        <f>Data!F102</f>
        <v>0</v>
      </c>
      <c r="E117" s="29">
        <f t="shared" si="41"/>
        <v>-1.3742020438528837E-13</v>
      </c>
      <c r="F117" s="30">
        <f t="shared" si="42"/>
        <v>-0.30208096132257234</v>
      </c>
      <c r="G117" s="21"/>
      <c r="H117" s="12"/>
      <c r="I117" s="12"/>
    </row>
    <row r="118" spans="1:9" x14ac:dyDescent="0.3">
      <c r="A118" s="12" t="str">
        <f>Data!A103</f>
        <v>Calibrate_30C</v>
      </c>
      <c r="B118" s="27">
        <f>Data!D103*Data!H103</f>
        <v>2.2492619865059999E-20</v>
      </c>
      <c r="C118" s="29">
        <f t="shared" si="40"/>
        <v>1.4997539753259531E-10</v>
      </c>
      <c r="D118" s="27">
        <f>Data!F103</f>
        <v>0</v>
      </c>
      <c r="E118" s="29">
        <f t="shared" si="41"/>
        <v>-1.245425486161592E-13</v>
      </c>
      <c r="F118" s="30">
        <f t="shared" si="42"/>
        <v>-0.273772935936342</v>
      </c>
      <c r="G118" s="21">
        <f t="shared" si="43"/>
        <v>-0.27374984050987466</v>
      </c>
      <c r="H118" s="12">
        <f>STDEV(F118:F120)</f>
        <v>5.7188184211866452E-5</v>
      </c>
      <c r="I118" s="12" t="str">
        <f>Data!A103</f>
        <v>Calibrate_30C</v>
      </c>
    </row>
    <row r="119" spans="1:9" x14ac:dyDescent="0.3">
      <c r="A119" s="12"/>
      <c r="B119" s="27">
        <f>Data!D104*Data!H104</f>
        <v>2.2498516320639998E-20</v>
      </c>
      <c r="C119" s="29">
        <f t="shared" si="40"/>
        <v>1.4999505432060083E-10</v>
      </c>
      <c r="D119" s="27">
        <f>Data!F104</f>
        <v>0</v>
      </c>
      <c r="E119" s="29">
        <f t="shared" si="41"/>
        <v>-1.2455116161741982E-13</v>
      </c>
      <c r="F119" s="30">
        <f t="shared" si="42"/>
        <v>-0.27379186927814803</v>
      </c>
      <c r="G119" s="21"/>
      <c r="H119" s="12"/>
      <c r="I119" s="12"/>
    </row>
    <row r="120" spans="1:9" x14ac:dyDescent="0.3">
      <c r="A120" s="12"/>
      <c r="B120" s="27">
        <f>Data!D105*Data!H105</f>
        <v>2.2465155608219999E-20</v>
      </c>
      <c r="C120" s="29">
        <f t="shared" si="40"/>
        <v>1.4988380702470831E-10</v>
      </c>
      <c r="D120" s="27">
        <f>Data!F105</f>
        <v>0</v>
      </c>
      <c r="E120" s="29">
        <f t="shared" si="41"/>
        <v>-1.2450241646640667E-13</v>
      </c>
      <c r="F120" s="30">
        <f t="shared" si="42"/>
        <v>-0.27368471631513402</v>
      </c>
      <c r="G120" s="21"/>
      <c r="H120" s="12"/>
      <c r="I120" s="12"/>
    </row>
    <row r="121" spans="1:9" x14ac:dyDescent="0.3">
      <c r="A121" s="12" t="str">
        <f>Data!A106</f>
        <v>2_T1_1</v>
      </c>
      <c r="B121" s="27">
        <f>Data!D106*Data!H106</f>
        <v>1.6429194922387999E-20</v>
      </c>
      <c r="C121" s="29">
        <f t="shared" si="40"/>
        <v>1.2817642108589238E-10</v>
      </c>
      <c r="D121" s="27">
        <f>Data!F106</f>
        <v>0</v>
      </c>
      <c r="E121" s="29">
        <f t="shared" si="41"/>
        <v>-1.1499090612182903E-13</v>
      </c>
      <c r="F121" s="30">
        <f t="shared" si="42"/>
        <v>-0.25277624654991809</v>
      </c>
      <c r="G121" s="21">
        <f t="shared" si="43"/>
        <v>-0.25272729450498155</v>
      </c>
      <c r="H121" s="12">
        <f>STDEV(F121:F123)</f>
        <v>4.4841642277856781E-5</v>
      </c>
      <c r="I121" s="12" t="str">
        <f>Data!A106</f>
        <v>2_T1_1</v>
      </c>
    </row>
    <row r="122" spans="1:9" x14ac:dyDescent="0.3">
      <c r="A122" s="12"/>
      <c r="B122" s="27">
        <f>Data!D107*Data!H107</f>
        <v>1.6413545186325002E-20</v>
      </c>
      <c r="C122" s="29">
        <f t="shared" si="40"/>
        <v>1.2811535890097253E-10</v>
      </c>
      <c r="D122" s="27">
        <f>Data!F107</f>
        <v>0</v>
      </c>
      <c r="E122" s="29">
        <f t="shared" si="41"/>
        <v>-1.1496415054632285E-13</v>
      </c>
      <c r="F122" s="30">
        <f t="shared" si="42"/>
        <v>-0.25271743169073635</v>
      </c>
      <c r="G122" s="21"/>
      <c r="H122" s="12"/>
      <c r="I122" s="12"/>
    </row>
    <row r="123" spans="1:9" x14ac:dyDescent="0.3">
      <c r="A123" s="12"/>
      <c r="B123" s="27">
        <f>Data!D108*Data!H108</f>
        <v>1.6405771256654998E-20</v>
      </c>
      <c r="C123" s="29">
        <f t="shared" si="40"/>
        <v>1.2808501573820022E-10</v>
      </c>
      <c r="D123" s="27">
        <f>Data!F108</f>
        <v>0</v>
      </c>
      <c r="E123" s="29">
        <f t="shared" si="41"/>
        <v>-1.1495085510359153E-13</v>
      </c>
      <c r="F123" s="30">
        <f t="shared" si="42"/>
        <v>-0.25268820527429015</v>
      </c>
      <c r="G123" s="21"/>
      <c r="H123" s="12"/>
      <c r="I123" s="12"/>
    </row>
    <row r="124" spans="1:9" x14ac:dyDescent="0.3">
      <c r="A124" s="12" t="str">
        <f>Data!A109</f>
        <v>3_T1_1</v>
      </c>
      <c r="B124" s="27">
        <f>Data!D109*Data!H109</f>
        <v>1.9579746458621999E-20</v>
      </c>
      <c r="C124" s="29">
        <f t="shared" si="40"/>
        <v>1.3992764722749397E-10</v>
      </c>
      <c r="D124" s="27">
        <f>Data!F109</f>
        <v>0</v>
      </c>
      <c r="E124" s="29">
        <f t="shared" si="41"/>
        <v>-1.2013993278594938E-13</v>
      </c>
      <c r="F124" s="30">
        <f t="shared" si="42"/>
        <v>-0.26409498189550129</v>
      </c>
      <c r="G124" s="21">
        <f t="shared" si="43"/>
        <v>-0.26407546388902436</v>
      </c>
      <c r="H124" s="12">
        <f>STDEV(F124:F126)</f>
        <v>1.6905946576078931E-5</v>
      </c>
      <c r="I124" s="12" t="str">
        <f>Data!A109</f>
        <v>3_T1_1</v>
      </c>
    </row>
    <row r="125" spans="1:9" x14ac:dyDescent="0.3">
      <c r="A125" s="12"/>
      <c r="B125" s="27">
        <f>Data!D110*Data!H110</f>
        <v>1.9571150705003002E-20</v>
      </c>
      <c r="C125" s="29">
        <f t="shared" si="40"/>
        <v>1.3989692886194108E-10</v>
      </c>
      <c r="D125" s="27">
        <f>Data!F110</f>
        <v>0</v>
      </c>
      <c r="E125" s="29">
        <f t="shared" si="41"/>
        <v>-1.2012647294087417E-13</v>
      </c>
      <c r="F125" s="30">
        <f t="shared" si="42"/>
        <v>-0.26406539408519519</v>
      </c>
      <c r="G125" s="21"/>
      <c r="H125" s="12"/>
      <c r="I125" s="12"/>
    </row>
    <row r="126" spans="1:9" x14ac:dyDescent="0.3">
      <c r="A126" s="12"/>
      <c r="B126" s="27">
        <f>Data!D111*Data!H111</f>
        <v>1.9571331271132001E-20</v>
      </c>
      <c r="C126" s="29">
        <f t="shared" si="40"/>
        <v>1.3989757421460889E-10</v>
      </c>
      <c r="D126" s="27">
        <f>Data!F111</f>
        <v>0</v>
      </c>
      <c r="E126" s="29">
        <f t="shared" si="41"/>
        <v>-1.2012675571460809E-13</v>
      </c>
      <c r="F126" s="30">
        <f t="shared" si="42"/>
        <v>-0.2640660156863765</v>
      </c>
      <c r="G126" s="21"/>
      <c r="H126" s="12"/>
      <c r="I126" s="12"/>
    </row>
    <row r="127" spans="1:9" x14ac:dyDescent="0.3">
      <c r="A127" s="12" t="str">
        <f>Data!A112</f>
        <v>openwaterIN_T1_1</v>
      </c>
      <c r="B127" s="27">
        <f>Data!D112*Data!H112</f>
        <v>2.1940787543493999E-20</v>
      </c>
      <c r="C127" s="29">
        <f t="shared" si="40"/>
        <v>1.4812423010262029E-10</v>
      </c>
      <c r="D127" s="27">
        <f>Data!F112</f>
        <v>0</v>
      </c>
      <c r="E127" s="29">
        <f t="shared" si="41"/>
        <v>-1.2373142385846701E-13</v>
      </c>
      <c r="F127" s="30">
        <f t="shared" si="42"/>
        <v>-0.27198989866280382</v>
      </c>
      <c r="G127" s="21">
        <f t="shared" si="43"/>
        <v>-0.2719930880692949</v>
      </c>
      <c r="H127" s="12">
        <f>STDEV(F127:F129)</f>
        <v>1.8462555883486062E-5</v>
      </c>
      <c r="I127" s="12" t="str">
        <f>Data!A112</f>
        <v>openwaterIN_T1_1</v>
      </c>
    </row>
    <row r="128" spans="1:9" x14ac:dyDescent="0.3">
      <c r="A128" s="12"/>
      <c r="B128" s="27">
        <f>Data!D113*Data!H113</f>
        <v>2.1947874142463999E-20</v>
      </c>
      <c r="C128" s="29">
        <f t="shared" si="40"/>
        <v>1.4814814930489007E-10</v>
      </c>
      <c r="D128" s="27">
        <f>Data!F113</f>
        <v>0</v>
      </c>
      <c r="E128" s="29">
        <f t="shared" si="41"/>
        <v>-1.2374190451884979E-13</v>
      </c>
      <c r="F128" s="30">
        <f t="shared" si="42"/>
        <v>-0.2720129375454623</v>
      </c>
      <c r="G128" s="21"/>
      <c r="H128" s="12"/>
      <c r="I128" s="12"/>
    </row>
    <row r="129" spans="1:9" x14ac:dyDescent="0.3">
      <c r="A129" s="12"/>
      <c r="B129" s="27">
        <f>Data!D114*Data!H114</f>
        <v>2.193664459194E-20</v>
      </c>
      <c r="C129" s="29">
        <f t="shared" si="40"/>
        <v>1.4811024472311158E-10</v>
      </c>
      <c r="D129" s="27">
        <f>Data!F114</f>
        <v>0</v>
      </c>
      <c r="E129" s="29">
        <f t="shared" si="41"/>
        <v>-1.2372529589436093E-13</v>
      </c>
      <c r="F129" s="30">
        <f t="shared" si="42"/>
        <v>-0.27197642799961869</v>
      </c>
      <c r="G129" s="21"/>
      <c r="H129" s="12"/>
      <c r="I129" s="12"/>
    </row>
    <row r="130" spans="1:9" x14ac:dyDescent="0.3">
      <c r="A130" s="12" t="str">
        <f>Data!A115</f>
        <v>Calibrate_20C</v>
      </c>
      <c r="B130" s="27">
        <f>Data!D115*Data!H115</f>
        <v>3.1698429550459999E-20</v>
      </c>
      <c r="C130" s="29">
        <f t="shared" si="40"/>
        <v>1.7804052783133395E-10</v>
      </c>
      <c r="D130" s="27">
        <f>Data!F115</f>
        <v>0</v>
      </c>
      <c r="E130" s="29">
        <f t="shared" si="41"/>
        <v>-1.3683982742765539E-13</v>
      </c>
      <c r="F130" s="30">
        <f t="shared" si="42"/>
        <v>-0.30080516035811089</v>
      </c>
      <c r="G130" s="21">
        <f t="shared" si="43"/>
        <v>-0.30082110239397014</v>
      </c>
      <c r="H130" s="12">
        <f>STDEV(F130:F132)</f>
        <v>3.7034589163859319E-5</v>
      </c>
      <c r="I130" s="12" t="str">
        <f>Data!A115</f>
        <v>Calibrate_20C</v>
      </c>
    </row>
    <row r="131" spans="1:9" x14ac:dyDescent="0.3">
      <c r="A131" s="12"/>
      <c r="B131" s="27">
        <f>Data!D116*Data!H116</f>
        <v>3.1694565740350005E-20</v>
      </c>
      <c r="C131" s="29">
        <f t="shared" si="40"/>
        <v>1.7802967657205358E-10</v>
      </c>
      <c r="D131" s="27">
        <f>Data!F116</f>
        <v>0</v>
      </c>
      <c r="E131" s="29">
        <f t="shared" si="41"/>
        <v>-1.3683507273885094E-13</v>
      </c>
      <c r="F131" s="30">
        <f t="shared" si="42"/>
        <v>-0.30079470846734813</v>
      </c>
      <c r="G131" s="21"/>
      <c r="H131" s="12"/>
      <c r="I131" s="12"/>
    </row>
    <row r="132" spans="1:9" x14ac:dyDescent="0.3">
      <c r="A132" s="12"/>
      <c r="B132" s="27">
        <f>Data!D117*Data!H117</f>
        <v>3.1719977828100003E-20</v>
      </c>
      <c r="C132" s="29">
        <f t="shared" si="40"/>
        <v>1.7810103264186877E-10</v>
      </c>
      <c r="D132" s="27">
        <f>Data!F117</f>
        <v>0</v>
      </c>
      <c r="E132" s="29">
        <f t="shared" si="41"/>
        <v>-1.3686633877881119E-13</v>
      </c>
      <c r="F132" s="30">
        <f t="shared" si="42"/>
        <v>-0.3008634383564513</v>
      </c>
      <c r="G132" s="21"/>
      <c r="H132" s="12"/>
      <c r="I132" s="12"/>
    </row>
    <row r="133" spans="1:9" x14ac:dyDescent="0.3">
      <c r="A133" s="12" t="str">
        <f>Data!A118</f>
        <v>Calibrate_30C</v>
      </c>
      <c r="B133" s="27">
        <f>Data!D118*Data!H118</f>
        <v>2.2295088062879999E-20</v>
      </c>
      <c r="C133" s="29">
        <f t="shared" si="40"/>
        <v>1.4931539794301188E-10</v>
      </c>
      <c r="D133" s="27">
        <f>Data!F118</f>
        <v>0</v>
      </c>
      <c r="E133" s="29">
        <f t="shared" si="41"/>
        <v>-1.2425335705060478E-13</v>
      </c>
      <c r="F133" s="30">
        <f t="shared" si="42"/>
        <v>-0.27313722689690462</v>
      </c>
      <c r="G133" s="21">
        <f t="shared" si="43"/>
        <v>-0.27313534348662416</v>
      </c>
      <c r="H133" s="12">
        <f>STDEV(F133:F135)</f>
        <v>7.5483475090489073E-6</v>
      </c>
      <c r="I133" s="12" t="str">
        <f>Data!A118</f>
        <v>Calibrate_30C</v>
      </c>
    </row>
    <row r="134" spans="1:9" x14ac:dyDescent="0.3">
      <c r="A134" s="12"/>
      <c r="B134" s="27">
        <f>Data!D119*Data!H119</f>
        <v>2.2296497192829997E-20</v>
      </c>
      <c r="C134" s="29">
        <f t="shared" si="40"/>
        <v>1.4932011650420716E-10</v>
      </c>
      <c r="D134" s="27">
        <f>Data!F119</f>
        <v>0</v>
      </c>
      <c r="E134" s="29">
        <f t="shared" si="41"/>
        <v>-1.2425542457931353E-13</v>
      </c>
      <c r="F134" s="30">
        <f t="shared" si="42"/>
        <v>-0.27314177179670807</v>
      </c>
      <c r="G134" s="21"/>
      <c r="H134" s="12"/>
      <c r="I134" s="12"/>
    </row>
    <row r="135" spans="1:9" x14ac:dyDescent="0.3">
      <c r="A135" s="12"/>
      <c r="B135" s="27">
        <f>Data!D120*Data!H120</f>
        <v>2.229192726102E-20</v>
      </c>
      <c r="C135" s="29">
        <f t="shared" si="40"/>
        <v>1.4930481325469718E-10</v>
      </c>
      <c r="D135" s="27">
        <f>Data!F120</f>
        <v>0</v>
      </c>
      <c r="E135" s="29">
        <f t="shared" si="41"/>
        <v>-1.2424871916501674E-13</v>
      </c>
      <c r="F135" s="30">
        <f t="shared" si="42"/>
        <v>-0.2731270317662598</v>
      </c>
      <c r="G135" s="21"/>
      <c r="H135" s="12"/>
      <c r="I135" s="12"/>
    </row>
    <row r="136" spans="1:9" x14ac:dyDescent="0.3">
      <c r="A136" s="12" t="str">
        <f>Data!A121</f>
        <v>4_T1_1</v>
      </c>
      <c r="B136" s="27">
        <f>Data!D121*Data!H121</f>
        <v>1.4598610493742E-20</v>
      </c>
      <c r="C136" s="29">
        <f t="shared" si="40"/>
        <v>1.2082470978132743E-10</v>
      </c>
      <c r="D136" s="27">
        <f>Data!F121</f>
        <v>0</v>
      </c>
      <c r="E136" s="29">
        <f t="shared" si="41"/>
        <v>-1.1176961184342952E-13</v>
      </c>
      <c r="F136" s="30">
        <f t="shared" si="42"/>
        <v>-0.24569510679558076</v>
      </c>
      <c r="G136" s="21">
        <f t="shared" si="43"/>
        <v>-0.24560215250043291</v>
      </c>
      <c r="H136" s="12">
        <f>STDEV(F136:F138)</f>
        <v>8.7175986919393422E-5</v>
      </c>
      <c r="I136" s="12" t="str">
        <f>Data!A121</f>
        <v>4_T1_1</v>
      </c>
    </row>
    <row r="137" spans="1:9" x14ac:dyDescent="0.3">
      <c r="A137" s="12"/>
      <c r="B137" s="27">
        <f>Data!D122*Data!H122</f>
        <v>1.4572035073331999E-20</v>
      </c>
      <c r="C137" s="29">
        <f t="shared" si="40"/>
        <v>1.2071468458034424E-10</v>
      </c>
      <c r="D137" s="27">
        <f>Data!F122</f>
        <v>0</v>
      </c>
      <c r="E137" s="29">
        <f t="shared" si="41"/>
        <v>-1.11721402176901E-13</v>
      </c>
      <c r="F137" s="30">
        <f t="shared" si="42"/>
        <v>-0.24558913094963347</v>
      </c>
      <c r="G137" s="21"/>
      <c r="H137" s="12"/>
      <c r="I137" s="12"/>
    </row>
    <row r="138" spans="1:9" x14ac:dyDescent="0.3">
      <c r="A138" s="12"/>
      <c r="B138" s="27">
        <f>Data!D123*Data!H123</f>
        <v>1.4555268312287999E-20</v>
      </c>
      <c r="C138" s="29">
        <f t="shared" si="40"/>
        <v>1.2064521669874857E-10</v>
      </c>
      <c r="D138" s="27">
        <f>Data!F123</f>
        <v>0</v>
      </c>
      <c r="E138" s="29">
        <f t="shared" si="41"/>
        <v>-1.116909634830723E-13</v>
      </c>
      <c r="F138" s="30">
        <f t="shared" si="42"/>
        <v>-0.2455222197560844</v>
      </c>
      <c r="G138" s="21"/>
      <c r="H138" s="12"/>
      <c r="I138" s="12"/>
    </row>
    <row r="139" spans="1:9" x14ac:dyDescent="0.3">
      <c r="A139" s="12" t="str">
        <f>Data!A124</f>
        <v>5_T1_1</v>
      </c>
      <c r="B139" s="27">
        <f>Data!D124*Data!H124</f>
        <v>1.6180798827673997E-20</v>
      </c>
      <c r="C139" s="29">
        <f t="shared" si="40"/>
        <v>1.2720376892086964E-10</v>
      </c>
      <c r="D139" s="27">
        <f>Data!F124</f>
        <v>0</v>
      </c>
      <c r="E139" s="29">
        <f t="shared" si="41"/>
        <v>-1.1456471979265214E-13</v>
      </c>
      <c r="F139" s="30">
        <f t="shared" si="42"/>
        <v>-0.25183939176501807</v>
      </c>
      <c r="G139" s="21">
        <f t="shared" si="43"/>
        <v>-0.25186117245274559</v>
      </c>
      <c r="H139" s="12">
        <f>STDEV(F139:F141)</f>
        <v>2.5155993801535726E-5</v>
      </c>
      <c r="I139" s="12" t="str">
        <f>Data!A124</f>
        <v>5_T1_1</v>
      </c>
    </row>
    <row r="140" spans="1:9" x14ac:dyDescent="0.3">
      <c r="A140" s="12"/>
      <c r="B140" s="27">
        <f>Data!D125*Data!H125</f>
        <v>1.6185032280250001E-20</v>
      </c>
      <c r="C140" s="29">
        <f t="shared" si="40"/>
        <v>1.2722040826946753E-10</v>
      </c>
      <c r="D140" s="27">
        <f>Data!F125</f>
        <v>0</v>
      </c>
      <c r="E140" s="29">
        <f t="shared" si="41"/>
        <v>-1.1457201064456597E-13</v>
      </c>
      <c r="F140" s="30">
        <f t="shared" si="42"/>
        <v>-0.25185541872091466</v>
      </c>
      <c r="G140" s="21"/>
      <c r="H140" s="12"/>
      <c r="I140" s="12"/>
    </row>
    <row r="141" spans="1:9" x14ac:dyDescent="0.3">
      <c r="A141" s="12"/>
      <c r="B141" s="27">
        <f>Data!D126*Data!H126</f>
        <v>1.6193826974025999E-20</v>
      </c>
      <c r="C141" s="29">
        <f t="shared" si="40"/>
        <v>1.2725496836676358E-10</v>
      </c>
      <c r="D141" s="27">
        <f>Data!F126</f>
        <v>0</v>
      </c>
      <c r="E141" s="29">
        <f t="shared" si="41"/>
        <v>-1.145871538185929E-13</v>
      </c>
      <c r="F141" s="30">
        <f t="shared" si="42"/>
        <v>-0.25188870687230402</v>
      </c>
      <c r="G141" s="21"/>
      <c r="H141" s="12"/>
      <c r="I141" s="12"/>
    </row>
    <row r="142" spans="1:9" x14ac:dyDescent="0.3">
      <c r="A142" s="12" t="str">
        <f>Data!A127</f>
        <v>6_T1_1</v>
      </c>
      <c r="B142" s="27">
        <f>Data!D127*Data!H127</f>
        <v>1.7438907599291997E-20</v>
      </c>
      <c r="C142" s="29">
        <f t="shared" si="40"/>
        <v>1.3205645610606092E-10</v>
      </c>
      <c r="D142" s="27">
        <f>Data!F127</f>
        <v>0</v>
      </c>
      <c r="E142" s="29">
        <f t="shared" si="41"/>
        <v>-1.1669101839401493E-13</v>
      </c>
      <c r="F142" s="30">
        <f t="shared" si="42"/>
        <v>-0.25651348120064166</v>
      </c>
      <c r="G142" s="21">
        <f t="shared" si="43"/>
        <v>-0.25655334025810866</v>
      </c>
      <c r="H142" s="12">
        <f>STDEV(F142:F144)</f>
        <v>3.8818344914650071E-5</v>
      </c>
      <c r="I142" s="12" t="str">
        <f>Data!A127</f>
        <v>6_T1_1</v>
      </c>
    </row>
    <row r="143" spans="1:9" x14ac:dyDescent="0.3">
      <c r="A143" s="12"/>
      <c r="B143" s="27">
        <f>Data!D128*Data!H128</f>
        <v>1.7450434804927003E-20</v>
      </c>
      <c r="C143" s="29">
        <f t="shared" si="40"/>
        <v>1.3210009388689701E-10</v>
      </c>
      <c r="D143" s="27">
        <f>Data!F128</f>
        <v>0</v>
      </c>
      <c r="E143" s="29">
        <f t="shared" si="41"/>
        <v>-1.167101391303858E-13</v>
      </c>
      <c r="F143" s="30">
        <f t="shared" si="42"/>
        <v>-0.25655551294153411</v>
      </c>
      <c r="G143" s="21"/>
      <c r="H143" s="12"/>
      <c r="I143" s="12"/>
    </row>
    <row r="144" spans="1:9" x14ac:dyDescent="0.3">
      <c r="A144" s="12"/>
      <c r="B144" s="27">
        <f>Data!D129*Data!H129</f>
        <v>1.7460177403567E-20</v>
      </c>
      <c r="C144" s="29">
        <f t="shared" si="40"/>
        <v>1.3213696456165096E-10</v>
      </c>
      <c r="D144" s="27">
        <f>Data!F129</f>
        <v>0</v>
      </c>
      <c r="E144" s="29">
        <f t="shared" si="41"/>
        <v>-1.1672629472854591E-13</v>
      </c>
      <c r="F144" s="30">
        <f t="shared" si="42"/>
        <v>-0.25659102663215022</v>
      </c>
      <c r="G144" s="21"/>
      <c r="H144" s="12"/>
      <c r="I144" s="12"/>
    </row>
    <row r="145" spans="1:10" x14ac:dyDescent="0.3">
      <c r="A145" s="12" t="str">
        <f>Data!A130</f>
        <v>Calibrate_20C</v>
      </c>
      <c r="B145" s="27">
        <f>Data!D130*Data!H130</f>
        <v>3.054955123514E-20</v>
      </c>
      <c r="C145" s="29">
        <f t="shared" si="40"/>
        <v>1.7478429916654413E-10</v>
      </c>
      <c r="D145" s="27">
        <f>Data!F130</f>
        <v>0</v>
      </c>
      <c r="E145" s="29">
        <f t="shared" si="41"/>
        <v>-1.3541304795652261E-13</v>
      </c>
      <c r="F145" s="30">
        <f t="shared" si="42"/>
        <v>-0.29766877356431243</v>
      </c>
      <c r="G145" s="21">
        <f t="shared" si="43"/>
        <v>-0.29776252523492935</v>
      </c>
      <c r="H145" s="12">
        <f>STDEV(F145:F147)</f>
        <v>9.9764706441886436E-5</v>
      </c>
      <c r="I145" s="12" t="str">
        <f>Data!A130</f>
        <v>Calibrate_20C</v>
      </c>
      <c r="J145" s="12"/>
    </row>
    <row r="146" spans="1:10" x14ac:dyDescent="0.3">
      <c r="A146" s="12"/>
      <c r="B146" s="27">
        <f>Data!D131*Data!H131</f>
        <v>3.0579555740220001E-20</v>
      </c>
      <c r="C146" s="29">
        <f t="shared" si="40"/>
        <v>1.7487011105451956E-10</v>
      </c>
      <c r="D146" s="27">
        <f>Data!F131</f>
        <v>0</v>
      </c>
      <c r="E146" s="29">
        <f t="shared" si="41"/>
        <v>-1.3545064809236885E-13</v>
      </c>
      <c r="F146" s="30">
        <f t="shared" si="42"/>
        <v>-0.29775142724128156</v>
      </c>
      <c r="G146" s="21"/>
      <c r="H146" s="12"/>
      <c r="I146" s="12"/>
      <c r="J146" s="12"/>
    </row>
    <row r="147" spans="1:10" x14ac:dyDescent="0.3">
      <c r="A147" s="12"/>
      <c r="B147" s="27">
        <f>Data!D132*Data!H132</f>
        <v>3.0621671272690001E-20</v>
      </c>
      <c r="C147" s="29">
        <f t="shared" si="40"/>
        <v>1.7499048909209322E-10</v>
      </c>
      <c r="D147" s="27">
        <f>Data!F132</f>
        <v>0</v>
      </c>
      <c r="E147" s="29">
        <f t="shared" si="41"/>
        <v>-1.3550339405417509E-13</v>
      </c>
      <c r="F147" s="30">
        <f t="shared" si="42"/>
        <v>-0.29786737489919396</v>
      </c>
      <c r="G147" s="21"/>
      <c r="H147" s="12"/>
      <c r="I147" s="12"/>
      <c r="J147" s="12"/>
    </row>
    <row r="148" spans="1:10" x14ac:dyDescent="0.3">
      <c r="A148" s="12" t="str">
        <f>Data!A133</f>
        <v>Calibrate_30C</v>
      </c>
      <c r="B148" s="27">
        <f>Data!D133*Data!H133</f>
        <v>2.1607962661980001E-20</v>
      </c>
      <c r="C148" s="29">
        <f t="shared" si="40"/>
        <v>1.4699647159704208E-10</v>
      </c>
      <c r="D148" s="27">
        <f>Data!F133</f>
        <v>0</v>
      </c>
      <c r="E148" s="29">
        <f t="shared" si="41"/>
        <v>-1.2323727469088752E-13</v>
      </c>
      <c r="F148" s="30">
        <f t="shared" si="42"/>
        <v>-0.2709036460535395</v>
      </c>
      <c r="G148" s="21">
        <f t="shared" si="43"/>
        <v>-0.27089240165488171</v>
      </c>
      <c r="H148" s="12">
        <f>STDEV(F148:F150)</f>
        <v>3.1426738899921623E-5</v>
      </c>
      <c r="I148" s="12" t="str">
        <f>Data!A133</f>
        <v>Calibrate_30C</v>
      </c>
      <c r="J148" s="12"/>
    </row>
    <row r="149" spans="1:10" x14ac:dyDescent="0.3">
      <c r="A149" s="12"/>
      <c r="B149" s="27">
        <f>Data!D134*Data!H134</f>
        <v>2.16119348697E-20</v>
      </c>
      <c r="C149" s="29">
        <f t="shared" si="40"/>
        <v>1.4700998221107299E-10</v>
      </c>
      <c r="D149" s="27">
        <f>Data!F134</f>
        <v>0</v>
      </c>
      <c r="E149" s="29">
        <f t="shared" si="41"/>
        <v>-1.2324319462733123E-13</v>
      </c>
      <c r="F149" s="30">
        <f t="shared" si="42"/>
        <v>-0.2709166594244618</v>
      </c>
      <c r="G149" s="21"/>
      <c r="H149" s="12"/>
      <c r="I149" s="12"/>
      <c r="J149" s="12"/>
    </row>
    <row r="150" spans="1:10" x14ac:dyDescent="0.3">
      <c r="A150" s="12"/>
      <c r="B150" s="27">
        <f>Data!D135*Data!H135</f>
        <v>2.1593696728120001E-20</v>
      </c>
      <c r="C150" s="29">
        <f t="shared" si="40"/>
        <v>1.4694793883590202E-10</v>
      </c>
      <c r="D150" s="27">
        <f>Data!F135</f>
        <v>0</v>
      </c>
      <c r="E150" s="29">
        <f t="shared" si="41"/>
        <v>-1.2321600912436856E-13</v>
      </c>
      <c r="F150" s="30">
        <f t="shared" si="42"/>
        <v>-0.27085689948664382</v>
      </c>
      <c r="G150" s="21"/>
      <c r="H150" s="12"/>
      <c r="I150" s="12"/>
      <c r="J150" s="12"/>
    </row>
    <row r="151" spans="1:10" x14ac:dyDescent="0.3">
      <c r="A151" s="12" t="str">
        <f>Data!A142</f>
        <v>8_T1_1</v>
      </c>
      <c r="B151" s="27">
        <f>Data!D142*Data!H142</f>
        <v>1.5848565334419001E-20</v>
      </c>
      <c r="C151" s="29">
        <f t="shared" ref="C151" si="44">SQRT(B151)</f>
        <v>1.2589108520629648E-10</v>
      </c>
      <c r="D151" s="27">
        <f>Data!F142</f>
        <v>0</v>
      </c>
      <c r="E151" s="29">
        <f t="shared" ref="E151" si="45">D151-(C151*I$22+I$21)</f>
        <v>-1.1398954207362543E-13</v>
      </c>
      <c r="F151" s="30">
        <f t="shared" ref="F151" si="46">A$1*E151/A$2</f>
        <v>-0.25057501991320674</v>
      </c>
      <c r="G151" s="21">
        <f t="shared" ref="G151" si="47">AVERAGE(F151:F153)</f>
        <v>-0.25065411782237207</v>
      </c>
      <c r="H151" s="12">
        <f t="shared" ref="H151" si="48">STDEV(F151:F153)</f>
        <v>1.4315349854298137E-4</v>
      </c>
      <c r="I151" s="12" t="str">
        <f>Data!A142</f>
        <v>8_T1_1</v>
      </c>
      <c r="J151" s="12"/>
    </row>
    <row r="152" spans="1:10" x14ac:dyDescent="0.3">
      <c r="A152" s="12"/>
      <c r="B152" s="27">
        <f>Data!D143*Data!H143</f>
        <v>1.5912502724289002E-20</v>
      </c>
      <c r="C152" s="29">
        <f t="shared" ref="C152:C154" si="49">SQRT(B152)</f>
        <v>1.2614476891369298E-10</v>
      </c>
      <c r="D152" s="27">
        <f>Data!F143</f>
        <v>0</v>
      </c>
      <c r="E152" s="29">
        <f t="shared" ref="E152:E154" si="50">D152-(C152*I$22+I$21)</f>
        <v>-1.1410069848895583E-13</v>
      </c>
      <c r="F152" s="30">
        <f t="shared" ref="F152:F154" si="51">A$1*E152/A$2</f>
        <v>-0.25081936707416741</v>
      </c>
      <c r="G152" s="21"/>
      <c r="H152" s="12"/>
      <c r="I152" s="12"/>
      <c r="J152" s="12"/>
    </row>
    <row r="153" spans="1:10" x14ac:dyDescent="0.3">
      <c r="A153" s="12"/>
      <c r="B153" s="27">
        <f>Data!D144*Data!H144</f>
        <v>1.5846721600717999E-20</v>
      </c>
      <c r="C153" s="29">
        <f t="shared" si="49"/>
        <v>1.258837622599436E-10</v>
      </c>
      <c r="D153" s="27">
        <f>Data!F144</f>
        <v>0</v>
      </c>
      <c r="E153" s="29">
        <f t="shared" si="50"/>
        <v>-1.1398633338326609E-13</v>
      </c>
      <c r="F153" s="30">
        <f t="shared" si="51"/>
        <v>-0.25056796647974211</v>
      </c>
      <c r="G153" s="21"/>
      <c r="H153" s="12"/>
      <c r="I153" s="12"/>
      <c r="J153" s="12"/>
    </row>
    <row r="154" spans="1:10" x14ac:dyDescent="0.3">
      <c r="A154" s="12" t="str">
        <f>Data!A145</f>
        <v>Calibrate_20C</v>
      </c>
      <c r="B154" s="27">
        <f>Data!D145*Data!H145</f>
        <v>2.9828187772949996E-20</v>
      </c>
      <c r="C154" s="29">
        <f t="shared" si="49"/>
        <v>1.7270838941102425E-10</v>
      </c>
      <c r="D154" s="27">
        <f>Data!F145</f>
        <v>0</v>
      </c>
      <c r="E154" s="29">
        <f t="shared" si="50"/>
        <v>-1.3450344800885091E-13</v>
      </c>
      <c r="F154" s="30">
        <f t="shared" si="51"/>
        <v>-0.29566926535632554</v>
      </c>
      <c r="G154" s="21">
        <f t="shared" ref="G154" si="52">AVERAGE(F154:F156)</f>
        <v>-0.29564216413201533</v>
      </c>
      <c r="H154" s="12">
        <f t="shared" ref="H154" si="53">STDEV(F154:F156)</f>
        <v>3.190812301815671E-5</v>
      </c>
      <c r="I154" s="12" t="str">
        <f>Data!A145</f>
        <v>Calibrate_20C</v>
      </c>
      <c r="J154" s="12"/>
    </row>
    <row r="155" spans="1:10" x14ac:dyDescent="0.3">
      <c r="A155" s="12"/>
      <c r="B155" s="27">
        <f>Data!D146*Data!H146</f>
        <v>2.9821361785470006E-20</v>
      </c>
      <c r="C155" s="29">
        <f t="shared" ref="C155:C204" si="54">SQRT(B155)</f>
        <v>1.7268862668244833E-10</v>
      </c>
      <c r="D155" s="27">
        <f>Data!F146</f>
        <v>0</v>
      </c>
      <c r="E155" s="29">
        <f t="shared" ref="E155:E204" si="55">D155-(C155*I$22+I$21)</f>
        <v>-1.3449478858768351E-13</v>
      </c>
      <c r="F155" s="30">
        <f t="shared" ref="F155:F204" si="56">A$1*E155/A$2</f>
        <v>-0.2956502299729738</v>
      </c>
      <c r="G155" s="21"/>
      <c r="H155" s="12"/>
      <c r="I155" s="12"/>
      <c r="J155" s="12"/>
    </row>
    <row r="156" spans="1:10" x14ac:dyDescent="0.3">
      <c r="A156" s="12"/>
      <c r="B156" s="27">
        <f>Data!D147*Data!H147</f>
        <v>2.9805861596360003E-20</v>
      </c>
      <c r="C156" s="29">
        <f t="shared" si="54"/>
        <v>1.7264374183954657E-10</v>
      </c>
      <c r="D156" s="27">
        <f>Data!F147</f>
        <v>0</v>
      </c>
      <c r="E156" s="29">
        <f t="shared" si="55"/>
        <v>-1.3447512142698634E-13</v>
      </c>
      <c r="F156" s="30">
        <f t="shared" si="56"/>
        <v>-0.29560699706674676</v>
      </c>
      <c r="G156" s="21"/>
      <c r="H156" s="12"/>
      <c r="I156" s="12"/>
      <c r="J156" s="12"/>
    </row>
    <row r="157" spans="1:10" x14ac:dyDescent="0.3">
      <c r="A157" s="12" t="str">
        <f>Data!A148</f>
        <v>Calibrate_30C</v>
      </c>
      <c r="B157" s="27">
        <f>Data!D148*Data!H148</f>
        <v>2.1192100521789997E-20</v>
      </c>
      <c r="C157" s="29">
        <f t="shared" si="54"/>
        <v>1.4557506833860664E-10</v>
      </c>
      <c r="D157" s="27">
        <f>Data!F148</f>
        <v>0</v>
      </c>
      <c r="E157" s="29">
        <f t="shared" si="55"/>
        <v>-1.2261445940421362E-13</v>
      </c>
      <c r="F157" s="30">
        <f t="shared" si="56"/>
        <v>-0.26953455595964509</v>
      </c>
      <c r="G157" s="21">
        <f t="shared" ref="G157" si="57">AVERAGE(F157:F159)</f>
        <v>-0.26952064278021298</v>
      </c>
      <c r="H157" s="12">
        <f t="shared" ref="H157" si="58">STDEV(F157:F159)</f>
        <v>1.6965083948627385E-5</v>
      </c>
      <c r="I157" s="12" t="str">
        <f>Data!A148</f>
        <v>Calibrate_30C</v>
      </c>
      <c r="J157" s="12"/>
    </row>
    <row r="158" spans="1:10" x14ac:dyDescent="0.3">
      <c r="A158" s="12"/>
      <c r="B158" s="27">
        <f>Data!D149*Data!H149</f>
        <v>2.1189402222729001E-20</v>
      </c>
      <c r="C158" s="29">
        <f t="shared" si="54"/>
        <v>1.4556580031974886E-10</v>
      </c>
      <c r="D158" s="27">
        <f>Data!F149</f>
        <v>0</v>
      </c>
      <c r="E158" s="29">
        <f t="shared" si="55"/>
        <v>-1.2261039844277459E-13</v>
      </c>
      <c r="F158" s="30">
        <f t="shared" si="56"/>
        <v>-0.26952562903990368</v>
      </c>
      <c r="G158" s="21"/>
      <c r="H158" s="12"/>
      <c r="I158" s="12"/>
      <c r="J158" s="12"/>
    </row>
    <row r="159" spans="1:10" x14ac:dyDescent="0.3">
      <c r="A159" s="12"/>
      <c r="B159" s="27">
        <f>Data!D150*Data!H150</f>
        <v>2.1182183246961E-20</v>
      </c>
      <c r="C159" s="29">
        <f t="shared" si="54"/>
        <v>1.4554100194433526E-10</v>
      </c>
      <c r="D159" s="27">
        <f>Data!F150</f>
        <v>0</v>
      </c>
      <c r="E159" s="29">
        <f t="shared" si="55"/>
        <v>-1.2259953255570095E-13</v>
      </c>
      <c r="F159" s="30">
        <f t="shared" si="56"/>
        <v>-0.26950174334109023</v>
      </c>
      <c r="G159" s="21"/>
      <c r="H159" s="12"/>
      <c r="I159" s="12"/>
      <c r="J159" s="12"/>
    </row>
    <row r="160" spans="1:10" x14ac:dyDescent="0.3">
      <c r="A160" s="12" t="str">
        <f>Data!A151</f>
        <v>9_T1_1</v>
      </c>
      <c r="B160" s="27">
        <f>Data!D151*Data!H151</f>
        <v>1.0409391844785E-20</v>
      </c>
      <c r="C160" s="29">
        <f t="shared" si="54"/>
        <v>1.0202642718818003E-10</v>
      </c>
      <c r="D160" s="27">
        <f>Data!F151</f>
        <v>0</v>
      </c>
      <c r="E160" s="29">
        <f t="shared" si="55"/>
        <v>-1.0353278130800817E-13</v>
      </c>
      <c r="F160" s="30">
        <f t="shared" si="56"/>
        <v>-0.22758867406597275</v>
      </c>
      <c r="G160" s="21">
        <f t="shared" ref="G160" si="59">AVERAGE(F160:F162)</f>
        <v>-0.22756577128746724</v>
      </c>
      <c r="H160" s="12">
        <f t="shared" ref="H160" si="60">STDEV(F160:F162)</f>
        <v>2.0441392089346616E-5</v>
      </c>
      <c r="I160" s="12" t="str">
        <f>Data!A151</f>
        <v>9_T1_1</v>
      </c>
      <c r="J160" s="12"/>
    </row>
    <row r="161" spans="1:10" x14ac:dyDescent="0.3">
      <c r="A161" s="12"/>
      <c r="B161" s="27">
        <f>Data!D152*Data!H152</f>
        <v>1.0401068107640001E-20</v>
      </c>
      <c r="C161" s="29">
        <f t="shared" si="54"/>
        <v>1.0198562696596027E-10</v>
      </c>
      <c r="D161" s="27">
        <f>Data!F152</f>
        <v>0</v>
      </c>
      <c r="E161" s="29">
        <f t="shared" si="55"/>
        <v>-1.0351490390274166E-13</v>
      </c>
      <c r="F161" s="30">
        <f t="shared" si="56"/>
        <v>-0.22754937545051065</v>
      </c>
      <c r="G161" s="21"/>
      <c r="H161" s="12"/>
      <c r="I161" s="12"/>
      <c r="J161" s="12"/>
    </row>
    <row r="162" spans="1:10" x14ac:dyDescent="0.3">
      <c r="A162" s="12"/>
      <c r="B162" s="27">
        <f>Data!D153*Data!H153</f>
        <v>1.040316233528E-20</v>
      </c>
      <c r="C162" s="29">
        <f t="shared" si="54"/>
        <v>1.0199589371773748E-10</v>
      </c>
      <c r="D162" s="27">
        <f>Data!F153</f>
        <v>0</v>
      </c>
      <c r="E162" s="29">
        <f t="shared" si="55"/>
        <v>-1.0351940247829606E-13</v>
      </c>
      <c r="F162" s="30">
        <f t="shared" si="56"/>
        <v>-0.22755926434591828</v>
      </c>
      <c r="G162" s="21"/>
      <c r="H162" s="12"/>
      <c r="I162" s="12"/>
      <c r="J162" s="12"/>
    </row>
    <row r="163" spans="1:10" x14ac:dyDescent="0.3">
      <c r="A163" s="12" t="str">
        <f>Data!A154</f>
        <v>typhaIN_T1_1</v>
      </c>
      <c r="B163" s="27">
        <f>Data!D154*Data!H154</f>
        <v>1.9497767190219999E-20</v>
      </c>
      <c r="C163" s="29">
        <f t="shared" si="54"/>
        <v>1.3963440546734892E-10</v>
      </c>
      <c r="D163" s="27">
        <f>Data!F154</f>
        <v>0</v>
      </c>
      <c r="E163" s="29">
        <f t="shared" si="55"/>
        <v>-1.2001144324589409E-13</v>
      </c>
      <c r="F163" s="30">
        <f t="shared" si="56"/>
        <v>-0.26381253257188525</v>
      </c>
      <c r="G163" s="21">
        <f t="shared" ref="G163" si="61">AVERAGE(F163:F165)</f>
        <v>-0.2638702933021832</v>
      </c>
      <c r="H163" s="12">
        <f t="shared" ref="H163" si="62">STDEV(F163:F165)</f>
        <v>5.3475433678457504E-5</v>
      </c>
      <c r="I163" s="12" t="str">
        <f>Data!A154</f>
        <v>typhaIN_T1_1</v>
      </c>
      <c r="J163" s="12"/>
    </row>
    <row r="164" spans="1:10" x14ac:dyDescent="0.3">
      <c r="A164" s="12"/>
      <c r="B164" s="27">
        <f>Data!D155*Data!H155</f>
        <v>1.9517411547029999E-20</v>
      </c>
      <c r="C164" s="29">
        <f t="shared" si="54"/>
        <v>1.3970472986635062E-10</v>
      </c>
      <c r="D164" s="27">
        <f>Data!F155</f>
        <v>0</v>
      </c>
      <c r="E164" s="29">
        <f t="shared" si="55"/>
        <v>-1.2004225723936461E-13</v>
      </c>
      <c r="F164" s="30">
        <f t="shared" si="56"/>
        <v>-0.26388026875967074</v>
      </c>
      <c r="G164" s="21"/>
      <c r="H164" s="12"/>
      <c r="I164" s="12"/>
      <c r="J164" s="12"/>
    </row>
    <row r="165" spans="1:10" x14ac:dyDescent="0.3">
      <c r="A165" s="12"/>
      <c r="B165" s="27">
        <f>Data!D156*Data!H156</f>
        <v>1.9528381176301999E-20</v>
      </c>
      <c r="C165" s="29">
        <f t="shared" si="54"/>
        <v>1.3974398440112547E-10</v>
      </c>
      <c r="D165" s="27">
        <f>Data!F156</f>
        <v>0</v>
      </c>
      <c r="E165" s="29">
        <f t="shared" si="55"/>
        <v>-1.2005945737182805E-13</v>
      </c>
      <c r="F165" s="30">
        <f t="shared" si="56"/>
        <v>-0.26391807857499355</v>
      </c>
      <c r="G165" s="21"/>
      <c r="H165" s="12"/>
      <c r="I165" s="12"/>
      <c r="J165" s="12"/>
    </row>
    <row r="166" spans="1:10" x14ac:dyDescent="0.3">
      <c r="A166" s="12" t="str">
        <f>Data!A157</f>
        <v>10_T1_1</v>
      </c>
      <c r="B166" s="27">
        <f>Data!D157*Data!H157</f>
        <v>1.5329662086289999E-20</v>
      </c>
      <c r="C166" s="29">
        <f t="shared" si="54"/>
        <v>1.2381301258870167E-10</v>
      </c>
      <c r="D166" s="27">
        <f>Data!F157</f>
        <v>0</v>
      </c>
      <c r="E166" s="29">
        <f t="shared" si="55"/>
        <v>-1.1307899442616811E-13</v>
      </c>
      <c r="F166" s="30">
        <f t="shared" si="56"/>
        <v>-0.24857342844487565</v>
      </c>
      <c r="G166" s="21">
        <f t="shared" ref="G166" si="63">AVERAGE(F166:F168)</f>
        <v>-0.24848594851488914</v>
      </c>
      <c r="H166" s="12">
        <f t="shared" ref="H166" si="64">STDEV(F166:F168)</f>
        <v>7.6027780818004379E-5</v>
      </c>
      <c r="I166" s="12" t="str">
        <f>Data!A157</f>
        <v>10_T1_1</v>
      </c>
      <c r="J166" s="12"/>
    </row>
    <row r="167" spans="1:10" x14ac:dyDescent="0.3">
      <c r="A167" s="12"/>
      <c r="B167" s="27">
        <f>Data!D158*Data!H158</f>
        <v>1.5297583368248999E-20</v>
      </c>
      <c r="C167" s="29">
        <f t="shared" si="54"/>
        <v>1.2368339972788992E-10</v>
      </c>
      <c r="D167" s="27">
        <f>Data!F158</f>
        <v>0</v>
      </c>
      <c r="E167" s="29">
        <f t="shared" si="55"/>
        <v>-1.1302220204822468E-13</v>
      </c>
      <c r="F167" s="30">
        <f t="shared" si="56"/>
        <v>-0.24844858584111376</v>
      </c>
      <c r="G167" s="21"/>
      <c r="H167" s="12"/>
      <c r="I167" s="12"/>
      <c r="J167" s="12"/>
    </row>
    <row r="168" spans="1:10" x14ac:dyDescent="0.3">
      <c r="A168" s="12"/>
      <c r="B168" s="27">
        <f>Data!D159*Data!H159</f>
        <v>1.5294307927976E-20</v>
      </c>
      <c r="C168" s="29">
        <f t="shared" si="54"/>
        <v>1.2367015779069743E-10</v>
      </c>
      <c r="D168" s="27">
        <f>Data!F159</f>
        <v>0</v>
      </c>
      <c r="E168" s="29">
        <f t="shared" si="55"/>
        <v>-1.1301639983772621E-13</v>
      </c>
      <c r="F168" s="30">
        <f t="shared" si="56"/>
        <v>-0.24843583125867802</v>
      </c>
      <c r="G168" s="21"/>
      <c r="H168" s="12"/>
      <c r="I168" s="12"/>
      <c r="J168" s="12"/>
    </row>
    <row r="169" spans="1:10" x14ac:dyDescent="0.3">
      <c r="A169" s="12" t="str">
        <f>Data!A160</f>
        <v>Calibrate_20C</v>
      </c>
      <c r="B169" s="27">
        <f>Data!D160*Data!H160</f>
        <v>2.8358545737060002E-20</v>
      </c>
      <c r="C169" s="29">
        <f t="shared" si="54"/>
        <v>1.6839995765159801E-10</v>
      </c>
      <c r="D169" s="27">
        <f>Data!F160</f>
        <v>0</v>
      </c>
      <c r="E169" s="29">
        <f t="shared" si="55"/>
        <v>-1.3261562543250779E-13</v>
      </c>
      <c r="F169" s="30">
        <f t="shared" si="56"/>
        <v>-0.29151940063141729</v>
      </c>
      <c r="G169" s="21">
        <f t="shared" ref="G169" si="65">AVERAGE(F169:F171)</f>
        <v>-0.2918446080167244</v>
      </c>
      <c r="H169" s="12">
        <f t="shared" ref="H169" si="66">STDEV(F169:F171)</f>
        <v>2.9402092941313525E-4</v>
      </c>
      <c r="I169" s="12" t="str">
        <f>Data!A160</f>
        <v>Calibrate_20C</v>
      </c>
      <c r="J169" s="12"/>
    </row>
    <row r="170" spans="1:10" x14ac:dyDescent="0.3">
      <c r="A170" s="12"/>
      <c r="B170" s="27">
        <f>Data!D161*Data!H161</f>
        <v>2.8499771024259998E-20</v>
      </c>
      <c r="C170" s="29">
        <f t="shared" si="54"/>
        <v>1.6881875199236605E-10</v>
      </c>
      <c r="D170" s="27">
        <f>Data!F161</f>
        <v>0</v>
      </c>
      <c r="E170" s="29">
        <f t="shared" si="55"/>
        <v>-1.3279912826033299E-13</v>
      </c>
      <c r="F170" s="30">
        <f t="shared" si="56"/>
        <v>-0.2919227817126987</v>
      </c>
      <c r="G170" s="21"/>
      <c r="H170" s="12"/>
      <c r="I170" s="12"/>
      <c r="J170" s="12"/>
    </row>
    <row r="171" spans="1:10" x14ac:dyDescent="0.3">
      <c r="A171" s="12"/>
      <c r="B171" s="27">
        <f>Data!D162*Data!H162</f>
        <v>2.8558993719520005E-20</v>
      </c>
      <c r="C171" s="29">
        <f t="shared" si="54"/>
        <v>1.6899406415469156E-10</v>
      </c>
      <c r="D171" s="27">
        <f>Data!F162</f>
        <v>0</v>
      </c>
      <c r="E171" s="29">
        <f t="shared" si="55"/>
        <v>-1.3287594466974266E-13</v>
      </c>
      <c r="F171" s="30">
        <f t="shared" si="56"/>
        <v>-0.29209164170605717</v>
      </c>
      <c r="G171" s="21"/>
      <c r="H171" s="12"/>
      <c r="I171" s="12"/>
      <c r="J171" s="12"/>
    </row>
    <row r="172" spans="1:10" x14ac:dyDescent="0.3">
      <c r="A172" s="12" t="str">
        <f>Data!A163</f>
        <v>Calibrate_30C</v>
      </c>
      <c r="B172" s="27">
        <f>Data!D163*Data!H163</f>
        <v>2.0952068288423998E-20</v>
      </c>
      <c r="C172" s="29">
        <f t="shared" si="54"/>
        <v>1.4474829286877271E-10</v>
      </c>
      <c r="D172" s="27">
        <f>Data!F163</f>
        <v>0</v>
      </c>
      <c r="E172" s="29">
        <f t="shared" si="55"/>
        <v>-1.2225219176608648E-13</v>
      </c>
      <c r="F172" s="30">
        <f t="shared" si="56"/>
        <v>-0.26873820904056556</v>
      </c>
      <c r="G172" s="21">
        <f t="shared" ref="G172" si="67">AVERAGE(F172:F174)</f>
        <v>-0.26864307922295189</v>
      </c>
      <c r="H172" s="12">
        <f t="shared" ref="H172" si="68">STDEV(F172:F174)</f>
        <v>8.4861637401746563E-5</v>
      </c>
      <c r="I172" s="12" t="str">
        <f>Data!A163</f>
        <v>Calibrate_30C</v>
      </c>
      <c r="J172" s="12"/>
    </row>
    <row r="173" spans="1:10" x14ac:dyDescent="0.3">
      <c r="A173" s="12"/>
      <c r="B173" s="27">
        <f>Data!D164*Data!H164</f>
        <v>2.0915313535770003E-20</v>
      </c>
      <c r="C173" s="29">
        <f t="shared" si="54"/>
        <v>1.4462127622092818E-10</v>
      </c>
      <c r="D173" s="27">
        <f>Data!F164</f>
        <v>0</v>
      </c>
      <c r="E173" s="29">
        <f t="shared" si="55"/>
        <v>-1.2219653696899061E-13</v>
      </c>
      <c r="F173" s="30">
        <f t="shared" si="56"/>
        <v>-0.26861586709904289</v>
      </c>
      <c r="G173" s="21"/>
      <c r="H173" s="12"/>
      <c r="I173" s="12"/>
      <c r="J173" s="12"/>
    </row>
    <row r="174" spans="1:10" x14ac:dyDescent="0.3">
      <c r="A174" s="12"/>
      <c r="B174" s="27">
        <f>Data!D165*Data!H165</f>
        <v>2.0903091660610001E-20</v>
      </c>
      <c r="C174" s="29">
        <f t="shared" si="54"/>
        <v>1.4457901528441118E-10</v>
      </c>
      <c r="D174" s="27">
        <f>Data!F165</f>
        <v>0</v>
      </c>
      <c r="E174" s="29">
        <f t="shared" si="55"/>
        <v>-1.2217801952354666E-13</v>
      </c>
      <c r="F174" s="30">
        <f t="shared" si="56"/>
        <v>-0.26857516152924721</v>
      </c>
      <c r="G174" s="21"/>
      <c r="H174" s="12"/>
      <c r="I174" s="12"/>
      <c r="J174" s="12"/>
    </row>
    <row r="175" spans="1:10" x14ac:dyDescent="0.3">
      <c r="A175" s="12" t="str">
        <f>Data!A166</f>
        <v>11_T1_1</v>
      </c>
      <c r="B175" s="27">
        <f>Data!D166*Data!H166</f>
        <v>1.2825672783365E-20</v>
      </c>
      <c r="C175" s="29">
        <f t="shared" si="54"/>
        <v>1.1325048690122705E-10</v>
      </c>
      <c r="D175" s="27">
        <f>Data!F166</f>
        <v>0</v>
      </c>
      <c r="E175" s="29">
        <f t="shared" si="55"/>
        <v>-1.0845081982124552E-13</v>
      </c>
      <c r="F175" s="30">
        <f t="shared" si="56"/>
        <v>-0.23839964475653316</v>
      </c>
      <c r="G175" s="21">
        <f t="shared" ref="G175" si="69">AVERAGE(F175:F177)</f>
        <v>-0.23832243151709456</v>
      </c>
      <c r="H175" s="12">
        <f t="shared" ref="H175" si="70">STDEV(F175:F177)</f>
        <v>8.7336891853910593E-5</v>
      </c>
      <c r="I175" s="12" t="str">
        <f>Data!A166</f>
        <v>11_T1_1</v>
      </c>
      <c r="J175" s="12"/>
    </row>
    <row r="176" spans="1:10" x14ac:dyDescent="0.3">
      <c r="A176" s="12"/>
      <c r="B176" s="27">
        <f>Data!D167*Data!H167</f>
        <v>1.2811652235257999E-20</v>
      </c>
      <c r="C176" s="29">
        <f t="shared" si="54"/>
        <v>1.1318856936660167E-10</v>
      </c>
      <c r="D176" s="27">
        <f>Data!F167</f>
        <v>0</v>
      </c>
      <c r="E176" s="29">
        <f t="shared" si="55"/>
        <v>-1.0842368945774804E-13</v>
      </c>
      <c r="F176" s="30">
        <f t="shared" si="56"/>
        <v>-0.23834000602783961</v>
      </c>
      <c r="G176" s="21"/>
      <c r="H176" s="12"/>
      <c r="I176" s="12"/>
      <c r="J176" s="12"/>
    </row>
    <row r="177" spans="1:10" x14ac:dyDescent="0.3">
      <c r="A177" s="12"/>
      <c r="B177" s="27">
        <f>Data!D168*Data!H168</f>
        <v>1.2785257673352E-20</v>
      </c>
      <c r="C177" s="29">
        <f t="shared" si="54"/>
        <v>1.130719137246381E-10</v>
      </c>
      <c r="D177" s="27">
        <f>Data!F168</f>
        <v>0</v>
      </c>
      <c r="E177" s="29">
        <f t="shared" si="55"/>
        <v>-1.0837257453546227E-13</v>
      </c>
      <c r="F177" s="30">
        <f t="shared" si="56"/>
        <v>-0.23822764376691094</v>
      </c>
      <c r="G177" s="21"/>
      <c r="H177" s="12"/>
      <c r="I177" s="12"/>
      <c r="J177" s="12"/>
    </row>
    <row r="178" spans="1:10" x14ac:dyDescent="0.3">
      <c r="A178" s="12" t="str">
        <f>Data!A169</f>
        <v>12_T1_1</v>
      </c>
      <c r="B178" s="27">
        <f>Data!D169*Data!H169</f>
        <v>1.1653213661927999E-20</v>
      </c>
      <c r="C178" s="29">
        <f t="shared" si="54"/>
        <v>1.0795005169951517E-10</v>
      </c>
      <c r="D178" s="27">
        <f>Data!F169</f>
        <v>0</v>
      </c>
      <c r="E178" s="29">
        <f t="shared" si="55"/>
        <v>-1.0612833177989658E-13</v>
      </c>
      <c r="F178" s="30">
        <f t="shared" si="56"/>
        <v>-0.23329428617167888</v>
      </c>
      <c r="G178" s="21">
        <f t="shared" ref="G178" si="71">AVERAGE(F178:F180)</f>
        <v>-0.23321215899106496</v>
      </c>
      <c r="H178" s="12">
        <f t="shared" ref="H178" si="72">STDEV(F178:F180)</f>
        <v>7.5715265630497446E-5</v>
      </c>
      <c r="I178" s="12" t="str">
        <f>Data!A169</f>
        <v>12_T1_1</v>
      </c>
      <c r="J178" s="12"/>
    </row>
    <row r="179" spans="1:10" x14ac:dyDescent="0.3">
      <c r="A179" s="12"/>
      <c r="B179" s="27">
        <f>Data!D170*Data!H170</f>
        <v>1.1631430573783001E-20</v>
      </c>
      <c r="C179" s="29">
        <f t="shared" si="54"/>
        <v>1.0784911021321873E-10</v>
      </c>
      <c r="D179" s="27">
        <f>Data!F170</f>
        <v>0</v>
      </c>
      <c r="E179" s="29">
        <f t="shared" si="55"/>
        <v>-1.0608410231837543E-13</v>
      </c>
      <c r="F179" s="30">
        <f t="shared" si="56"/>
        <v>-0.23319705972441185</v>
      </c>
      <c r="G179" s="21"/>
      <c r="H179" s="12"/>
      <c r="I179" s="12"/>
      <c r="J179" s="12"/>
    </row>
    <row r="180" spans="1:10" x14ac:dyDescent="0.3">
      <c r="A180" s="12"/>
      <c r="B180" s="27">
        <f>Data!D171*Data!H171</f>
        <v>1.1619804574635E-20</v>
      </c>
      <c r="C180" s="29">
        <f t="shared" si="54"/>
        <v>1.0779519736349575E-10</v>
      </c>
      <c r="D180" s="27">
        <f>Data!F171</f>
        <v>0</v>
      </c>
      <c r="E180" s="29">
        <f t="shared" si="55"/>
        <v>-1.0606047936214794E-13</v>
      </c>
      <c r="F180" s="30">
        <f t="shared" si="56"/>
        <v>-0.23314513107710413</v>
      </c>
      <c r="G180" s="21"/>
      <c r="H180" s="12"/>
      <c r="I180" s="12"/>
      <c r="J180" s="12"/>
    </row>
    <row r="181" spans="1:10" x14ac:dyDescent="0.3">
      <c r="A181" s="12" t="str">
        <f>Data!A172</f>
        <v>grassesIN_T2_1</v>
      </c>
      <c r="B181" s="27">
        <f>Data!D172*Data!H172</f>
        <v>1.456492663756E-20</v>
      </c>
      <c r="C181" s="29">
        <f t="shared" si="54"/>
        <v>1.2068523786097452E-10</v>
      </c>
      <c r="D181" s="27">
        <f>Data!F172</f>
        <v>0</v>
      </c>
      <c r="E181" s="29">
        <f t="shared" si="55"/>
        <v>-1.1170849952815794E-13</v>
      </c>
      <c r="F181" s="30">
        <f t="shared" si="56"/>
        <v>-0.24556076798398846</v>
      </c>
      <c r="G181" s="21">
        <f t="shared" ref="G181" si="73">AVERAGE(F181:F183)</f>
        <v>-0.24559524965419199</v>
      </c>
      <c r="H181" s="12">
        <f t="shared" ref="H181" si="74">STDEV(F181:F183)</f>
        <v>3.1483322597805582E-5</v>
      </c>
      <c r="I181" s="12" t="str">
        <f>Data!A172</f>
        <v>grassesIN_T2_1</v>
      </c>
      <c r="J181" s="12"/>
    </row>
    <row r="182" spans="1:10" x14ac:dyDescent="0.3">
      <c r="A182" s="12"/>
      <c r="B182" s="27">
        <f>Data!D173*Data!H173</f>
        <v>1.4575390665830002E-20</v>
      </c>
      <c r="C182" s="29">
        <f t="shared" si="54"/>
        <v>1.2072858263820544E-10</v>
      </c>
      <c r="D182" s="27">
        <f>Data!F173</f>
        <v>0</v>
      </c>
      <c r="E182" s="29">
        <f t="shared" si="55"/>
        <v>-1.1172749187934095E-13</v>
      </c>
      <c r="F182" s="30">
        <f t="shared" si="56"/>
        <v>-0.24560251750494719</v>
      </c>
      <c r="G182" s="21"/>
      <c r="H182" s="12"/>
      <c r="I182" s="12"/>
      <c r="J182" s="12"/>
    </row>
    <row r="183" spans="1:10" x14ac:dyDescent="0.3">
      <c r="A183" s="12"/>
      <c r="B183" s="27">
        <f>Data!D174*Data!H174</f>
        <v>1.4580391215599999E-20</v>
      </c>
      <c r="C183" s="29">
        <f t="shared" si="54"/>
        <v>1.2074929074574309E-10</v>
      </c>
      <c r="D183" s="27">
        <f>Data!F174</f>
        <v>0</v>
      </c>
      <c r="E183" s="29">
        <f t="shared" si="55"/>
        <v>-1.117365655365568E-13</v>
      </c>
      <c r="F183" s="30">
        <f t="shared" si="56"/>
        <v>-0.24562246347364039</v>
      </c>
      <c r="G183" s="21"/>
      <c r="H183" s="12"/>
      <c r="I183" s="12"/>
      <c r="J183" s="12"/>
    </row>
    <row r="184" spans="1:10" x14ac:dyDescent="0.3">
      <c r="A184" s="12" t="str">
        <f>Data!A175</f>
        <v>Calibrate_20C</v>
      </c>
      <c r="B184" s="27">
        <f>Data!D175*Data!H175</f>
        <v>2.8692779316480001E-20</v>
      </c>
      <c r="C184" s="29">
        <f t="shared" si="54"/>
        <v>1.6938943094679787E-10</v>
      </c>
      <c r="D184" s="27">
        <f>Data!F175</f>
        <v>0</v>
      </c>
      <c r="E184" s="29">
        <f t="shared" si="55"/>
        <v>-1.3304918226470782E-13</v>
      </c>
      <c r="F184" s="30">
        <f t="shared" si="56"/>
        <v>-0.29247245746352446</v>
      </c>
      <c r="G184" s="21">
        <f t="shared" ref="G184" si="75">AVERAGE(F184:F186)</f>
        <v>-0.29242120253611192</v>
      </c>
      <c r="H184" s="12">
        <f t="shared" ref="H184" si="76">STDEV(F184:F186)</f>
        <v>4.4618113679720509E-5</v>
      </c>
      <c r="I184" s="12" t="str">
        <f>Data!A175</f>
        <v>Calibrate_20C</v>
      </c>
      <c r="J184" s="12"/>
    </row>
    <row r="185" spans="1:10" x14ac:dyDescent="0.3">
      <c r="A185" s="12"/>
      <c r="B185" s="27">
        <f>Data!D176*Data!H176</f>
        <v>2.8664153563750004E-20</v>
      </c>
      <c r="C185" s="29">
        <f t="shared" si="54"/>
        <v>1.6930491299353958E-10</v>
      </c>
      <c r="D185" s="27">
        <f>Data!F176</f>
        <v>0</v>
      </c>
      <c r="E185" s="29">
        <f t="shared" si="55"/>
        <v>-1.3301214909134534E-13</v>
      </c>
      <c r="F185" s="30">
        <f t="shared" si="56"/>
        <v>-0.29239105009944572</v>
      </c>
      <c r="G185" s="21"/>
      <c r="H185" s="12"/>
      <c r="I185" s="12"/>
      <c r="J185" s="12"/>
    </row>
    <row r="186" spans="1:10" x14ac:dyDescent="0.3">
      <c r="A186" s="12"/>
      <c r="B186" s="27">
        <f>Data!D177*Data!H177</f>
        <v>2.8667335143909997E-20</v>
      </c>
      <c r="C186" s="29">
        <f t="shared" si="54"/>
        <v>1.6931430873942697E-10</v>
      </c>
      <c r="D186" s="27">
        <f>Data!F177</f>
        <v>0</v>
      </c>
      <c r="E186" s="29">
        <f t="shared" si="55"/>
        <v>-1.3301626601884896E-13</v>
      </c>
      <c r="F186" s="30">
        <f t="shared" si="56"/>
        <v>-0.2924001000453656</v>
      </c>
      <c r="G186" s="21"/>
      <c r="H186" s="12"/>
      <c r="I186" s="12"/>
      <c r="J186" s="12"/>
    </row>
    <row r="187" spans="1:10" x14ac:dyDescent="0.3">
      <c r="A187" s="12" t="str">
        <f>Data!A178</f>
        <v>Calibrate_30C</v>
      </c>
      <c r="B187" s="27">
        <f>Data!D178*Data!H178</f>
        <v>2.0028028210212E-20</v>
      </c>
      <c r="C187" s="29">
        <f t="shared" si="54"/>
        <v>1.4152041623105833E-10</v>
      </c>
      <c r="D187" s="27">
        <f>Data!F178</f>
        <v>0</v>
      </c>
      <c r="E187" s="29">
        <f t="shared" si="55"/>
        <v>-1.2083783528312827E-13</v>
      </c>
      <c r="F187" s="30">
        <f t="shared" si="56"/>
        <v>-0.26562913080904921</v>
      </c>
      <c r="G187" s="21">
        <f t="shared" ref="G187" si="77">AVERAGE(F187:F189)</f>
        <v>-0.26558218044406906</v>
      </c>
      <c r="H187" s="12">
        <f t="shared" ref="H187" si="78">STDEV(F187:F189)</f>
        <v>4.1818682091077012E-5</v>
      </c>
      <c r="I187" s="12" t="str">
        <f>Data!A178</f>
        <v>Calibrate_30C</v>
      </c>
      <c r="J187" s="12"/>
    </row>
    <row r="188" spans="1:10" x14ac:dyDescent="0.3">
      <c r="A188" s="12"/>
      <c r="B188" s="27">
        <f>Data!D179*Data!H179</f>
        <v>2.0004467757076001E-20</v>
      </c>
      <c r="C188" s="29">
        <f t="shared" si="54"/>
        <v>1.4143715126188028E-10</v>
      </c>
      <c r="D188" s="27">
        <f>Data!F179</f>
        <v>0</v>
      </c>
      <c r="E188" s="29">
        <f t="shared" si="55"/>
        <v>-1.2080135112893712E-13</v>
      </c>
      <c r="F188" s="30">
        <f t="shared" si="56"/>
        <v>-0.26554893031436649</v>
      </c>
      <c r="G188" s="21"/>
      <c r="H188" s="12"/>
      <c r="I188" s="12"/>
      <c r="J188" s="12"/>
    </row>
    <row r="189" spans="1:10" x14ac:dyDescent="0.3">
      <c r="A189" s="12"/>
      <c r="B189" s="27">
        <f>Data!D180*Data!H180</f>
        <v>2.0010209640245999E-20</v>
      </c>
      <c r="C189" s="29">
        <f t="shared" si="54"/>
        <v>1.4145744816108481E-10</v>
      </c>
      <c r="D189" s="27">
        <f>Data!F180</f>
        <v>0</v>
      </c>
      <c r="E189" s="29">
        <f t="shared" si="55"/>
        <v>-1.208102446072809E-13</v>
      </c>
      <c r="F189" s="30">
        <f t="shared" si="56"/>
        <v>-0.26556848020879142</v>
      </c>
      <c r="G189" s="21"/>
      <c r="H189" s="12"/>
      <c r="I189" s="12"/>
      <c r="J189" s="12"/>
    </row>
    <row r="190" spans="1:10" x14ac:dyDescent="0.3">
      <c r="A190" s="12" t="str">
        <f>Data!A181</f>
        <v>1_T2_1</v>
      </c>
      <c r="B190" s="27">
        <f>Data!D181*Data!H181</f>
        <v>7.9540313212320002E-21</v>
      </c>
      <c r="C190" s="29">
        <f t="shared" si="54"/>
        <v>8.9185376162418022E-11</v>
      </c>
      <c r="D190" s="27">
        <f>Data!F181</f>
        <v>0</v>
      </c>
      <c r="E190" s="29">
        <f t="shared" si="55"/>
        <v>-9.7906226825075951E-14</v>
      </c>
      <c r="F190" s="30">
        <f t="shared" si="56"/>
        <v>-0.21522022362783652</v>
      </c>
      <c r="G190" s="21">
        <f t="shared" ref="G190" si="79">AVERAGE(F190:F192)</f>
        <v>-0.21521481576540258</v>
      </c>
      <c r="H190" s="12">
        <f t="shared" ref="H190" si="80">STDEV(F190:F192)</f>
        <v>9.8134495275291844E-6</v>
      </c>
      <c r="I190" s="12" t="str">
        <f>Data!A181</f>
        <v>1_T2_1</v>
      </c>
      <c r="J190" s="12"/>
    </row>
    <row r="191" spans="1:10" x14ac:dyDescent="0.3">
      <c r="A191" s="12"/>
      <c r="B191" s="27">
        <f>Data!D182*Data!H182</f>
        <v>7.9509324185439992E-21</v>
      </c>
      <c r="C191" s="29">
        <f t="shared" si="54"/>
        <v>8.9168001090884612E-11</v>
      </c>
      <c r="D191" s="27">
        <f>Data!F182</f>
        <v>0</v>
      </c>
      <c r="E191" s="29">
        <f t="shared" si="55"/>
        <v>-9.7898613601950242E-14</v>
      </c>
      <c r="F191" s="30">
        <f t="shared" si="56"/>
        <v>-0.21520348802646797</v>
      </c>
      <c r="G191" s="21"/>
      <c r="H191" s="12"/>
      <c r="I191" s="12"/>
      <c r="J191" s="12"/>
    </row>
    <row r="192" spans="1:10" x14ac:dyDescent="0.3">
      <c r="A192" s="12"/>
      <c r="B192" s="27">
        <f>Data!D183*Data!H183</f>
        <v>7.9541261395200002E-21</v>
      </c>
      <c r="C192" s="29">
        <f t="shared" si="54"/>
        <v>8.9185907740629073E-11</v>
      </c>
      <c r="D192" s="27">
        <f>Data!F183</f>
        <v>0</v>
      </c>
      <c r="E192" s="29">
        <f t="shared" si="55"/>
        <v>-9.7906459746334521E-14</v>
      </c>
      <c r="F192" s="30">
        <f t="shared" si="56"/>
        <v>-0.21522073564190328</v>
      </c>
      <c r="G192" s="21"/>
      <c r="H192" s="12"/>
      <c r="I192" s="12"/>
      <c r="J192" s="12"/>
    </row>
    <row r="193" spans="1:10" x14ac:dyDescent="0.3">
      <c r="A193" s="12" t="str">
        <f>Data!A184</f>
        <v>2_T2_1</v>
      </c>
      <c r="B193" s="27">
        <f>Data!D184*Data!H184</f>
        <v>1.2649610941835001E-20</v>
      </c>
      <c r="C193" s="29">
        <f t="shared" si="54"/>
        <v>1.1247048920421304E-10</v>
      </c>
      <c r="D193" s="27">
        <f>Data!F184</f>
        <v>0</v>
      </c>
      <c r="E193" s="29">
        <f t="shared" si="55"/>
        <v>-1.0810904876761398E-13</v>
      </c>
      <c r="F193" s="30">
        <f t="shared" si="56"/>
        <v>-0.23764835400642062</v>
      </c>
      <c r="G193" s="21">
        <f t="shared" ref="G193" si="81">AVERAGE(F193:F195)</f>
        <v>-0.23770307964902995</v>
      </c>
      <c r="H193" s="12">
        <f t="shared" ref="H193" si="82">STDEV(F193:F195)</f>
        <v>5.307366493441944E-5</v>
      </c>
      <c r="I193" s="12" t="str">
        <f>Data!A184</f>
        <v>2_T2_1</v>
      </c>
      <c r="J193" s="12"/>
    </row>
    <row r="194" spans="1:10" x14ac:dyDescent="0.3">
      <c r="A194" s="12"/>
      <c r="B194" s="27">
        <f>Data!D185*Data!H185</f>
        <v>1.2663206470739998E-20</v>
      </c>
      <c r="C194" s="29">
        <f t="shared" si="54"/>
        <v>1.1253091340045188E-10</v>
      </c>
      <c r="D194" s="27">
        <f>Data!F185</f>
        <v>0</v>
      </c>
      <c r="E194" s="29">
        <f t="shared" si="55"/>
        <v>-1.0813552479605925E-13</v>
      </c>
      <c r="F194" s="30">
        <f t="shared" si="56"/>
        <v>-0.2377065543573845</v>
      </c>
      <c r="G194" s="21"/>
      <c r="H194" s="12"/>
      <c r="I194" s="12"/>
      <c r="J194" s="12"/>
    </row>
    <row r="195" spans="1:10" x14ac:dyDescent="0.3">
      <c r="A195" s="12"/>
      <c r="B195" s="27">
        <f>Data!D186*Data!H186</f>
        <v>1.2674372394601E-20</v>
      </c>
      <c r="C195" s="29">
        <f t="shared" si="54"/>
        <v>1.1258051516404159E-10</v>
      </c>
      <c r="D195" s="27">
        <f>Data!F186</f>
        <v>0</v>
      </c>
      <c r="E195" s="29">
        <f t="shared" si="55"/>
        <v>-1.0815725876664524E-13</v>
      </c>
      <c r="F195" s="30">
        <f t="shared" si="56"/>
        <v>-0.23775433058328474</v>
      </c>
      <c r="G195" s="21"/>
      <c r="H195" s="12"/>
      <c r="I195" s="12"/>
      <c r="J195" s="12"/>
    </row>
    <row r="196" spans="1:10" x14ac:dyDescent="0.3">
      <c r="A196" s="12" t="str">
        <f>Data!A187</f>
        <v>3_T2_1</v>
      </c>
      <c r="B196" s="27">
        <f>Data!D187*Data!H187</f>
        <v>1.5438794877471001E-20</v>
      </c>
      <c r="C196" s="29">
        <f t="shared" si="54"/>
        <v>1.2425294715808958E-10</v>
      </c>
      <c r="D196" s="27">
        <f>Data!F187</f>
        <v>0</v>
      </c>
      <c r="E196" s="29">
        <f t="shared" si="55"/>
        <v>-1.1327176025340612E-13</v>
      </c>
      <c r="F196" s="30">
        <f t="shared" si="56"/>
        <v>-0.24899717171219704</v>
      </c>
      <c r="G196" s="21">
        <f t="shared" ref="G196" si="83">AVERAGE(F196:F198)</f>
        <v>-0.2490695479717728</v>
      </c>
      <c r="H196" s="12">
        <f t="shared" ref="H196" si="84">STDEV(F196:F198)</f>
        <v>7.2105676914698531E-5</v>
      </c>
      <c r="I196" s="12" t="str">
        <f>Data!A187</f>
        <v>3_T2_1</v>
      </c>
      <c r="J196" s="12"/>
    </row>
    <row r="197" spans="1:10" x14ac:dyDescent="0.3">
      <c r="A197" s="12"/>
      <c r="B197" s="27">
        <f>Data!D188*Data!H188</f>
        <v>1.5457614197704999E-20</v>
      </c>
      <c r="C197" s="29">
        <f t="shared" si="54"/>
        <v>1.243286539688458E-10</v>
      </c>
      <c r="D197" s="27">
        <f>Data!F188</f>
        <v>0</v>
      </c>
      <c r="E197" s="29">
        <f t="shared" si="55"/>
        <v>-1.1330493265452766E-13</v>
      </c>
      <c r="F197" s="30">
        <f t="shared" si="56"/>
        <v>-0.24907009221806442</v>
      </c>
      <c r="G197" s="21"/>
      <c r="H197" s="12"/>
      <c r="I197" s="12"/>
      <c r="J197" s="12"/>
    </row>
    <row r="198" spans="1:10" x14ac:dyDescent="0.3">
      <c r="A198" s="12"/>
      <c r="B198" s="27">
        <f>Data!D189*Data!H189</f>
        <v>1.5476023221695998E-20</v>
      </c>
      <c r="C198" s="29">
        <f t="shared" si="54"/>
        <v>1.2440266565349795E-10</v>
      </c>
      <c r="D198" s="27">
        <f>Data!F189</f>
        <v>0</v>
      </c>
      <c r="E198" s="29">
        <f t="shared" si="55"/>
        <v>-1.1333736230341182E-13</v>
      </c>
      <c r="F198" s="30">
        <f t="shared" si="56"/>
        <v>-0.24914137998505692</v>
      </c>
      <c r="G198" s="21"/>
      <c r="H198" s="12"/>
      <c r="I198" s="12"/>
      <c r="J198" s="12"/>
    </row>
    <row r="199" spans="1:10" x14ac:dyDescent="0.3">
      <c r="A199" s="12" t="str">
        <f>Data!A190</f>
        <v>Calibrate_20C</v>
      </c>
      <c r="B199" s="27">
        <f>Data!D190*Data!H190</f>
        <v>2.8132625346480001E-20</v>
      </c>
      <c r="C199" s="29">
        <f t="shared" si="54"/>
        <v>1.6772783116251162E-10</v>
      </c>
      <c r="D199" s="27">
        <f>Data!F190</f>
        <v>0</v>
      </c>
      <c r="E199" s="29">
        <f t="shared" si="55"/>
        <v>-1.3232112023175129E-13</v>
      </c>
      <c r="F199" s="30">
        <f t="shared" si="56"/>
        <v>-0.29087201100951288</v>
      </c>
      <c r="G199" s="21">
        <f t="shared" ref="G199" si="85">AVERAGE(F199:F201)</f>
        <v>-0.29087687741884283</v>
      </c>
      <c r="H199" s="12">
        <f t="shared" ref="H199" si="86">STDEV(F199:F201)</f>
        <v>1.7820340978667653E-5</v>
      </c>
      <c r="I199" s="12" t="str">
        <f>Data!A190</f>
        <v>Calibrate_20C</v>
      </c>
      <c r="J199" s="12"/>
    </row>
    <row r="200" spans="1:10" x14ac:dyDescent="0.3">
      <c r="A200" s="12"/>
      <c r="B200" s="27">
        <f>Data!D191*Data!H191</f>
        <v>2.812913742288E-20</v>
      </c>
      <c r="C200" s="29">
        <f t="shared" si="54"/>
        <v>1.6771743327060547E-10</v>
      </c>
      <c r="D200" s="27">
        <f>Data!F191</f>
        <v>0</v>
      </c>
      <c r="E200" s="29">
        <f t="shared" si="55"/>
        <v>-1.3231656419461693E-13</v>
      </c>
      <c r="F200" s="30">
        <f t="shared" si="56"/>
        <v>-0.29086199580044281</v>
      </c>
      <c r="G200" s="21"/>
      <c r="H200" s="12"/>
      <c r="I200" s="12"/>
      <c r="J200" s="12"/>
    </row>
    <row r="201" spans="1:10" x14ac:dyDescent="0.3">
      <c r="A201" s="12"/>
      <c r="B201" s="27">
        <f>Data!D192*Data!H192</f>
        <v>2.8141198555190002E-20</v>
      </c>
      <c r="C201" s="29">
        <f t="shared" si="54"/>
        <v>1.6775338612138355E-10</v>
      </c>
      <c r="D201" s="27">
        <f>Data!F192</f>
        <v>0</v>
      </c>
      <c r="E201" s="29">
        <f t="shared" si="55"/>
        <v>-1.3233231763047774E-13</v>
      </c>
      <c r="F201" s="30">
        <f t="shared" si="56"/>
        <v>-0.29089662544657274</v>
      </c>
      <c r="G201" s="21"/>
      <c r="H201" s="12"/>
      <c r="I201" s="12"/>
      <c r="J201" s="12"/>
    </row>
    <row r="202" spans="1:10" x14ac:dyDescent="0.3">
      <c r="A202" s="12" t="str">
        <f>Data!A193</f>
        <v>Calibrate_30C</v>
      </c>
      <c r="B202" s="27">
        <f>Data!D193*Data!H193</f>
        <v>1.9898799750312E-20</v>
      </c>
      <c r="C202" s="29">
        <f t="shared" si="54"/>
        <v>1.4106310556028461E-10</v>
      </c>
      <c r="D202" s="27">
        <f>Data!F193</f>
        <v>0</v>
      </c>
      <c r="E202" s="29">
        <f t="shared" si="55"/>
        <v>-1.2063745578151484E-13</v>
      </c>
      <c r="F202" s="30">
        <f t="shared" si="56"/>
        <v>-0.26518865094840943</v>
      </c>
      <c r="G202" s="21">
        <f t="shared" ref="G202" si="87">AVERAGE(F202:F204)</f>
        <v>-0.26514771014817845</v>
      </c>
      <c r="H202" s="12">
        <f t="shared" ref="H202" si="88">STDEV(F202:F204)</f>
        <v>3.6838546551579895E-5</v>
      </c>
      <c r="I202" s="12" t="str">
        <f>Data!A193</f>
        <v>Calibrate_30C</v>
      </c>
      <c r="J202" s="12"/>
    </row>
    <row r="203" spans="1:10" x14ac:dyDescent="0.3">
      <c r="A203" s="12"/>
      <c r="B203" s="27">
        <f>Data!D194*Data!H194</f>
        <v>1.9883743446729E-20</v>
      </c>
      <c r="C203" s="29">
        <f t="shared" si="54"/>
        <v>1.4100972819890477E-10</v>
      </c>
      <c r="D203" s="27">
        <f>Data!F194</f>
        <v>0</v>
      </c>
      <c r="E203" s="29">
        <f t="shared" si="55"/>
        <v>-1.2061406745984584E-13</v>
      </c>
      <c r="F203" s="30">
        <f t="shared" si="56"/>
        <v>-0.26513723808139256</v>
      </c>
      <c r="G203" s="21"/>
      <c r="H203" s="12"/>
      <c r="I203" s="12"/>
      <c r="J203" s="12"/>
    </row>
    <row r="204" spans="1:10" x14ac:dyDescent="0.3">
      <c r="A204" s="12"/>
      <c r="B204" s="27">
        <f>Data!D195*Data!H195</f>
        <v>1.9877888944372001E-20</v>
      </c>
      <c r="C204" s="29">
        <f t="shared" si="54"/>
        <v>1.4098896745622332E-10</v>
      </c>
      <c r="D204" s="27">
        <f>Data!F195</f>
        <v>0</v>
      </c>
      <c r="E204" s="29">
        <f t="shared" si="55"/>
        <v>-1.2060497073952528E-13</v>
      </c>
      <c r="F204" s="30">
        <f t="shared" si="56"/>
        <v>-0.26511724141473342</v>
      </c>
      <c r="G204" s="21"/>
      <c r="H204" s="12"/>
      <c r="I204" s="12"/>
      <c r="J204" s="12"/>
    </row>
    <row r="205" spans="1:10" x14ac:dyDescent="0.3">
      <c r="A205" s="12"/>
      <c r="B205" s="27"/>
      <c r="C205" s="29"/>
      <c r="D205" s="27"/>
      <c r="E205" s="29"/>
      <c r="F205" s="30"/>
      <c r="G205" s="21"/>
      <c r="H205" s="12"/>
      <c r="I205" s="12"/>
      <c r="J205" s="12"/>
    </row>
    <row r="206" spans="1:10" x14ac:dyDescent="0.3">
      <c r="A206" s="12"/>
      <c r="B206" s="27"/>
      <c r="C206" s="29"/>
      <c r="D206" s="27"/>
      <c r="E206" s="29"/>
      <c r="F206" s="30"/>
      <c r="G206" s="21"/>
      <c r="H206" s="12"/>
      <c r="I206" s="12"/>
      <c r="J206" s="12"/>
    </row>
    <row r="207" spans="1:10" x14ac:dyDescent="0.3">
      <c r="A207" s="12"/>
      <c r="B207" s="27"/>
      <c r="C207" s="29"/>
      <c r="D207" s="27"/>
      <c r="E207" s="29"/>
      <c r="F207" s="30"/>
      <c r="G207" s="21"/>
      <c r="H207" s="12"/>
      <c r="I207" s="12"/>
      <c r="J207" s="12"/>
    </row>
    <row r="208" spans="1:10" x14ac:dyDescent="0.3">
      <c r="A208" s="12"/>
      <c r="B208" s="27"/>
      <c r="C208" s="29"/>
      <c r="D208" s="27"/>
      <c r="E208" s="29"/>
      <c r="F208" s="30"/>
      <c r="G208" s="21"/>
      <c r="H208" s="12"/>
      <c r="I208" s="12"/>
      <c r="J208" s="12"/>
    </row>
    <row r="209" spans="1:10" x14ac:dyDescent="0.3">
      <c r="A209" s="12"/>
      <c r="B209" s="27"/>
      <c r="C209" s="29"/>
      <c r="D209" s="27"/>
      <c r="E209" s="29"/>
      <c r="F209" s="30"/>
      <c r="G209" s="21"/>
      <c r="H209" s="12"/>
      <c r="I209" s="12"/>
      <c r="J209" s="12"/>
    </row>
    <row r="210" spans="1:10" x14ac:dyDescent="0.3">
      <c r="A210" s="12"/>
      <c r="B210" s="27"/>
      <c r="C210" s="29"/>
      <c r="D210" s="27"/>
      <c r="E210" s="29"/>
      <c r="F210" s="30"/>
      <c r="G210" s="21"/>
      <c r="H210" s="12"/>
      <c r="I210" s="12"/>
      <c r="J210" s="12"/>
    </row>
    <row r="211" spans="1:10" x14ac:dyDescent="0.3">
      <c r="A211" s="12"/>
      <c r="B211" s="27"/>
      <c r="C211" s="29"/>
      <c r="D211" s="27"/>
      <c r="E211" s="29"/>
      <c r="F211" s="30"/>
      <c r="G211" s="21"/>
      <c r="H211" s="12"/>
      <c r="I211" s="12"/>
      <c r="J211" s="12"/>
    </row>
    <row r="212" spans="1:10" x14ac:dyDescent="0.3">
      <c r="A212" s="12"/>
      <c r="B212" s="27"/>
      <c r="C212" s="29"/>
      <c r="D212" s="27"/>
      <c r="E212" s="29"/>
      <c r="F212" s="30"/>
      <c r="G212" s="21"/>
      <c r="H212" s="12"/>
      <c r="I212" s="12"/>
      <c r="J212" s="12"/>
    </row>
    <row r="213" spans="1:10" x14ac:dyDescent="0.3">
      <c r="A213" s="12"/>
      <c r="B213" s="27"/>
      <c r="C213" s="29"/>
      <c r="D213" s="27"/>
      <c r="E213" s="29"/>
      <c r="F213" s="30"/>
      <c r="G213" s="21"/>
      <c r="H213" s="12"/>
      <c r="I213" s="12"/>
      <c r="J213" s="12"/>
    </row>
    <row r="214" spans="1:10" x14ac:dyDescent="0.3">
      <c r="A214" s="12"/>
      <c r="B214" s="27"/>
      <c r="C214" s="29"/>
      <c r="D214" s="27"/>
      <c r="E214" s="29"/>
      <c r="F214" s="30"/>
      <c r="G214" s="21"/>
      <c r="H214" s="12"/>
      <c r="I214" s="12"/>
      <c r="J214" s="12"/>
    </row>
    <row r="215" spans="1:10" x14ac:dyDescent="0.3">
      <c r="A215" s="12"/>
      <c r="B215" s="27"/>
      <c r="C215" s="29"/>
      <c r="D215" s="27"/>
      <c r="E215" s="29"/>
      <c r="F215" s="30"/>
      <c r="G215" s="21"/>
      <c r="H215" s="12"/>
      <c r="I215" s="12"/>
      <c r="J215" s="12"/>
    </row>
    <row r="216" spans="1:10" x14ac:dyDescent="0.3">
      <c r="A216" s="12"/>
      <c r="B216" s="27"/>
      <c r="C216" s="29"/>
      <c r="D216" s="27"/>
      <c r="E216" s="29"/>
      <c r="F216" s="30"/>
      <c r="G216" s="21"/>
      <c r="H216" s="12"/>
      <c r="I216" s="12"/>
      <c r="J216" s="12"/>
    </row>
    <row r="217" spans="1:10" x14ac:dyDescent="0.3">
      <c r="A217" s="12"/>
      <c r="B217" s="27"/>
      <c r="C217" s="29"/>
      <c r="D217" s="27"/>
      <c r="E217" s="29"/>
      <c r="F217" s="30"/>
      <c r="G217" s="21"/>
      <c r="H217" s="12"/>
      <c r="I217" s="12"/>
      <c r="J217" s="12"/>
    </row>
    <row r="218" spans="1:10" x14ac:dyDescent="0.3">
      <c r="A218" s="12"/>
      <c r="B218" s="27"/>
      <c r="C218" s="29"/>
      <c r="D218" s="27"/>
      <c r="E218" s="29"/>
      <c r="F218" s="30"/>
      <c r="G218" s="21"/>
      <c r="H218" s="12"/>
      <c r="I218" s="12"/>
      <c r="J218" s="12"/>
    </row>
    <row r="219" spans="1:10" x14ac:dyDescent="0.3">
      <c r="A219" s="12"/>
      <c r="B219" s="27"/>
      <c r="C219" s="29"/>
      <c r="D219" s="27"/>
      <c r="E219" s="29"/>
      <c r="F219" s="30"/>
      <c r="G219" s="21"/>
      <c r="H219" s="12"/>
      <c r="I219" s="12"/>
      <c r="J219" s="12"/>
    </row>
    <row r="220" spans="1:10" x14ac:dyDescent="0.3">
      <c r="A220" s="12"/>
      <c r="B220" s="27"/>
      <c r="C220" s="29"/>
      <c r="D220" s="27"/>
      <c r="E220" s="29"/>
      <c r="F220" s="30"/>
      <c r="G220" s="21"/>
      <c r="H220" s="12"/>
      <c r="I220" s="12"/>
      <c r="J220" s="12"/>
    </row>
    <row r="221" spans="1:10" x14ac:dyDescent="0.3">
      <c r="A221" s="12"/>
      <c r="B221" s="27"/>
      <c r="C221" s="29"/>
      <c r="D221" s="27"/>
      <c r="E221" s="29"/>
      <c r="F221" s="30"/>
      <c r="G221" s="21"/>
      <c r="H221" s="12"/>
      <c r="I221" s="12"/>
      <c r="J221" s="12"/>
    </row>
    <row r="222" spans="1:10" x14ac:dyDescent="0.3">
      <c r="A222" s="12"/>
      <c r="B222" s="27"/>
      <c r="C222" s="29"/>
      <c r="D222" s="27"/>
      <c r="E222" s="29"/>
      <c r="F222" s="30"/>
      <c r="G222" s="21"/>
      <c r="H222" s="12"/>
      <c r="I222" s="12"/>
      <c r="J222" s="12"/>
    </row>
    <row r="223" spans="1:10" x14ac:dyDescent="0.3">
      <c r="A223" s="12"/>
      <c r="B223" s="27"/>
      <c r="C223" s="29"/>
      <c r="D223" s="27"/>
      <c r="E223" s="29"/>
      <c r="F223" s="30"/>
      <c r="G223" s="21"/>
      <c r="H223" s="12"/>
      <c r="I223" s="12"/>
      <c r="J223" s="12"/>
    </row>
    <row r="224" spans="1:10" x14ac:dyDescent="0.3">
      <c r="A224" s="12"/>
      <c r="B224" s="27"/>
      <c r="C224" s="29"/>
      <c r="D224" s="27"/>
      <c r="E224" s="29"/>
      <c r="F224" s="30"/>
      <c r="G224" s="21"/>
      <c r="H224" s="12"/>
      <c r="I224" s="12"/>
      <c r="J224" s="12"/>
    </row>
    <row r="225" spans="1:10" x14ac:dyDescent="0.3">
      <c r="A225" s="12"/>
      <c r="B225" s="27"/>
      <c r="C225" s="29"/>
      <c r="D225" s="27"/>
      <c r="E225" s="29"/>
      <c r="F225" s="30"/>
      <c r="G225" s="21"/>
      <c r="H225" s="12"/>
      <c r="I225" s="12"/>
      <c r="J225" s="12"/>
    </row>
    <row r="226" spans="1:10" x14ac:dyDescent="0.3">
      <c r="A226" s="12"/>
      <c r="B226" s="27"/>
      <c r="C226" s="29"/>
      <c r="D226" s="27"/>
      <c r="E226" s="29"/>
      <c r="F226" s="30"/>
      <c r="G226" s="21"/>
      <c r="H226" s="12"/>
      <c r="I226" s="12"/>
      <c r="J226" s="12"/>
    </row>
    <row r="227" spans="1:10" x14ac:dyDescent="0.3">
      <c r="A227" s="12"/>
      <c r="B227" s="27"/>
      <c r="C227" s="29"/>
      <c r="D227" s="27"/>
      <c r="E227" s="29"/>
      <c r="F227" s="30"/>
      <c r="G227" s="21"/>
      <c r="H227" s="12"/>
      <c r="I227" s="12"/>
      <c r="J227" s="12"/>
    </row>
    <row r="228" spans="1:10" x14ac:dyDescent="0.3">
      <c r="A228" s="12"/>
      <c r="B228" s="27"/>
      <c r="C228" s="29"/>
      <c r="D228" s="27"/>
      <c r="E228" s="29"/>
      <c r="F228" s="30"/>
      <c r="G228" s="21"/>
      <c r="H228" s="12"/>
      <c r="I228" s="12"/>
      <c r="J228" s="12"/>
    </row>
    <row r="229" spans="1:10" x14ac:dyDescent="0.3">
      <c r="A229" s="12"/>
      <c r="B229" s="27"/>
      <c r="C229" s="29"/>
      <c r="D229" s="27"/>
      <c r="E229" s="29"/>
      <c r="F229" s="30"/>
      <c r="G229" s="21"/>
      <c r="H229" s="12"/>
      <c r="I229" s="12"/>
      <c r="J229" s="12"/>
    </row>
    <row r="230" spans="1:10" x14ac:dyDescent="0.3">
      <c r="A230" s="12"/>
      <c r="B230" s="27"/>
      <c r="C230" s="29"/>
      <c r="D230" s="27"/>
      <c r="E230" s="29"/>
      <c r="F230" s="30"/>
      <c r="G230" s="21"/>
      <c r="H230" s="12"/>
      <c r="I230" s="12"/>
      <c r="J230" s="12"/>
    </row>
    <row r="231" spans="1:10" x14ac:dyDescent="0.3">
      <c r="A231" s="12"/>
      <c r="B231" s="27"/>
      <c r="C231" s="29"/>
      <c r="D231" s="27"/>
      <c r="E231" s="29"/>
      <c r="F231" s="30"/>
      <c r="G231" s="21"/>
      <c r="H231" s="12"/>
      <c r="I231" s="12"/>
      <c r="J231" s="12"/>
    </row>
    <row r="232" spans="1:10" x14ac:dyDescent="0.3">
      <c r="A232" s="12"/>
      <c r="B232" s="27"/>
      <c r="C232" s="29"/>
      <c r="D232" s="27"/>
      <c r="E232" s="29"/>
      <c r="F232" s="30"/>
      <c r="G232" s="21"/>
      <c r="H232" s="12"/>
      <c r="I232" s="12"/>
      <c r="J232" s="12"/>
    </row>
    <row r="233" spans="1:10" x14ac:dyDescent="0.3">
      <c r="A233" s="12"/>
      <c r="B233" s="27"/>
      <c r="C233" s="29"/>
      <c r="D233" s="27"/>
      <c r="E233" s="29"/>
      <c r="F233" s="30"/>
      <c r="G233" s="21"/>
      <c r="H233" s="12"/>
      <c r="I233" s="12"/>
      <c r="J233" s="12"/>
    </row>
    <row r="234" spans="1:10" x14ac:dyDescent="0.3">
      <c r="A234" s="12"/>
      <c r="B234" s="27"/>
      <c r="C234" s="29"/>
      <c r="D234" s="27"/>
      <c r="E234" s="29"/>
      <c r="F234" s="30"/>
      <c r="G234" s="21"/>
      <c r="H234" s="12"/>
      <c r="I234" s="12"/>
      <c r="J234" s="12"/>
    </row>
    <row r="235" spans="1:10" x14ac:dyDescent="0.3">
      <c r="A235" s="12"/>
      <c r="B235" s="27"/>
      <c r="C235" s="29"/>
      <c r="D235" s="27"/>
      <c r="E235" s="29"/>
      <c r="F235" s="30"/>
      <c r="G235" s="22"/>
      <c r="H235" s="12"/>
      <c r="I235" s="12"/>
      <c r="J235" s="1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8"/>
  <sheetViews>
    <sheetView zoomScale="130" zoomScaleNormal="130" workbookViewId="0">
      <selection activeCell="O46" sqref="O46"/>
    </sheetView>
  </sheetViews>
  <sheetFormatPr defaultColWidth="8.81640625" defaultRowHeight="13" x14ac:dyDescent="0.3"/>
  <cols>
    <col min="1" max="1" width="22.1796875" bestFit="1" customWidth="1"/>
    <col min="2" max="3" width="12.1796875" customWidth="1"/>
    <col min="4" max="4" width="11.36328125" customWidth="1"/>
    <col min="5" max="5" width="14" customWidth="1"/>
    <col min="6" max="6" width="8.81640625" style="22"/>
  </cols>
  <sheetData>
    <row r="1" spans="1:12" x14ac:dyDescent="0.3">
      <c r="A1">
        <f>'30N2'!A1</f>
        <v>531.20000000000005</v>
      </c>
      <c r="B1" s="19" t="s">
        <v>68</v>
      </c>
    </row>
    <row r="2" spans="1:12" x14ac:dyDescent="0.3">
      <c r="A2" s="2">
        <f>'30N2'!A2</f>
        <v>2.4164916666666672E-10</v>
      </c>
      <c r="B2" s="15" t="s">
        <v>69</v>
      </c>
    </row>
    <row r="4" spans="1:12" x14ac:dyDescent="0.3">
      <c r="B4" s="4" t="s">
        <v>70</v>
      </c>
      <c r="C4" s="4" t="s">
        <v>71</v>
      </c>
      <c r="E4" t="s">
        <v>77</v>
      </c>
    </row>
    <row r="5" spans="1:12" x14ac:dyDescent="0.3">
      <c r="B5" s="4" t="s">
        <v>9</v>
      </c>
      <c r="C5" s="4" t="s">
        <v>10</v>
      </c>
      <c r="D5" s="4" t="s">
        <v>75</v>
      </c>
      <c r="E5" s="4" t="s">
        <v>76</v>
      </c>
      <c r="G5" t="s">
        <v>16</v>
      </c>
    </row>
    <row r="6" spans="1:12" ht="13.5" thickBot="1" x14ac:dyDescent="0.35"/>
    <row r="7" spans="1:12" x14ac:dyDescent="0.3">
      <c r="A7" t="str">
        <f>'30N2'!A7</f>
        <v>Calibrate_20C</v>
      </c>
      <c r="B7" s="2">
        <f>Data!D10</f>
        <v>2.8181350000000001E-10</v>
      </c>
      <c r="C7" s="2">
        <f>Data!E10</f>
        <v>0</v>
      </c>
      <c r="D7" s="2">
        <f>C7-(B7*H$22+H$21)</f>
        <v>-2.0490065155796956E-12</v>
      </c>
      <c r="E7" s="3">
        <f>A$1*D7/A$2</f>
        <v>-4.5041837970719296</v>
      </c>
      <c r="G7" s="14" t="s">
        <v>19</v>
      </c>
      <c r="H7" s="14"/>
    </row>
    <row r="8" spans="1:12" x14ac:dyDescent="0.3">
      <c r="B8" s="2">
        <f>Data!D11</f>
        <v>2.8158500000000002E-10</v>
      </c>
      <c r="C8" s="2">
        <f>Data!E11</f>
        <v>0</v>
      </c>
      <c r="D8" s="2">
        <f t="shared" ref="D8:D48" si="0">C8-(B8*H$22+H$21)</f>
        <v>-2.0473097275209585E-12</v>
      </c>
      <c r="E8" s="3">
        <f t="shared" ref="E8:E48" si="1">A$1*D8/A$2</f>
        <v>-4.5004538698007774</v>
      </c>
      <c r="G8" t="s">
        <v>20</v>
      </c>
      <c r="H8">
        <v>0.99969728696241733</v>
      </c>
    </row>
    <row r="9" spans="1:12" x14ac:dyDescent="0.3">
      <c r="B9" s="2">
        <f>Data!D12</f>
        <v>2.8151939999999999E-10</v>
      </c>
      <c r="C9" s="2">
        <f>Data!E12</f>
        <v>0</v>
      </c>
      <c r="D9" s="2">
        <f t="shared" si="0"/>
        <v>-2.0468225971198502E-12</v>
      </c>
      <c r="E9" s="3">
        <f t="shared" si="1"/>
        <v>-4.4993830460415314</v>
      </c>
      <c r="G9" t="s">
        <v>21</v>
      </c>
      <c r="H9">
        <v>0.99939466556001788</v>
      </c>
    </row>
    <row r="10" spans="1:12" x14ac:dyDescent="0.3">
      <c r="A10" t="str">
        <f>'30N2'!A10</f>
        <v>Calibrate_30C</v>
      </c>
      <c r="B10" s="2">
        <f>Data!D13</f>
        <v>2.498668E-10</v>
      </c>
      <c r="C10" s="2">
        <f>Data!E13</f>
        <v>0</v>
      </c>
      <c r="D10" s="2">
        <f t="shared" si="0"/>
        <v>-1.8117777231243075E-12</v>
      </c>
      <c r="E10" s="3">
        <f t="shared" si="1"/>
        <v>-3.9827007880858907</v>
      </c>
      <c r="G10" t="s">
        <v>22</v>
      </c>
      <c r="H10">
        <v>0.99937686160590078</v>
      </c>
    </row>
    <row r="11" spans="1:12" x14ac:dyDescent="0.3">
      <c r="B11" s="2">
        <f>Data!D14</f>
        <v>2.5015509999999998E-10</v>
      </c>
      <c r="C11" s="2">
        <f>Data!E14</f>
        <v>0</v>
      </c>
      <c r="D11" s="2">
        <f t="shared" si="0"/>
        <v>-1.813918572127957E-12</v>
      </c>
      <c r="E11" s="3">
        <f t="shared" si="1"/>
        <v>-3.9874068626253791</v>
      </c>
      <c r="G11" t="s">
        <v>23</v>
      </c>
      <c r="H11">
        <v>8.6787409253737332E-15</v>
      </c>
    </row>
    <row r="12" spans="1:12" ht="13.5" thickBot="1" x14ac:dyDescent="0.35">
      <c r="B12" s="2">
        <f>Data!D15</f>
        <v>2.4999259999999998E-10</v>
      </c>
      <c r="C12" s="2">
        <f>Data!E15</f>
        <v>0</v>
      </c>
      <c r="D12" s="2">
        <f t="shared" si="0"/>
        <v>-1.8127118847776514E-12</v>
      </c>
      <c r="E12" s="3">
        <f t="shared" si="1"/>
        <v>-3.9847542885266383</v>
      </c>
      <c r="G12" s="6" t="s">
        <v>24</v>
      </c>
      <c r="H12" s="6">
        <v>36</v>
      </c>
    </row>
    <row r="13" spans="1:12" x14ac:dyDescent="0.3">
      <c r="A13" t="str">
        <f>'30N2'!A13</f>
        <v>grassesIN_T0_1</v>
      </c>
      <c r="B13" s="2">
        <f>Data!D16</f>
        <v>2.5319770000000001E-10</v>
      </c>
      <c r="C13" s="2">
        <f>Data!E16</f>
        <v>0</v>
      </c>
      <c r="D13" s="2">
        <f t="shared" si="0"/>
        <v>-1.8365122147866595E-12</v>
      </c>
      <c r="E13" s="3">
        <f t="shared" si="1"/>
        <v>-4.0370728438735499</v>
      </c>
    </row>
    <row r="14" spans="1:12" ht="13.5" thickBot="1" x14ac:dyDescent="0.35">
      <c r="B14" s="2">
        <f>Data!D17</f>
        <v>2.5328550000000002E-10</v>
      </c>
      <c r="C14" s="2">
        <f>Data!E17</f>
        <v>0</v>
      </c>
      <c r="D14" s="2">
        <f t="shared" si="0"/>
        <v>-1.8371641972442399E-12</v>
      </c>
      <c r="E14" s="3">
        <f t="shared" si="1"/>
        <v>-4.0385060500635159</v>
      </c>
      <c r="G14" t="s">
        <v>25</v>
      </c>
    </row>
    <row r="15" spans="1:12" x14ac:dyDescent="0.3">
      <c r="B15" s="2">
        <f>Data!D18</f>
        <v>2.5341449999999999E-10</v>
      </c>
      <c r="C15" s="2">
        <f>Data!E18</f>
        <v>0</v>
      </c>
      <c r="D15" s="2">
        <f t="shared" si="0"/>
        <v>-1.8381221213561743E-12</v>
      </c>
      <c r="E15" s="3">
        <f t="shared" si="1"/>
        <v>-4.0406117858095918</v>
      </c>
      <c r="G15" s="13"/>
      <c r="H15" s="13" t="s">
        <v>26</v>
      </c>
      <c r="I15" s="13" t="s">
        <v>27</v>
      </c>
      <c r="J15" s="13" t="s">
        <v>28</v>
      </c>
      <c r="K15" s="13" t="s">
        <v>29</v>
      </c>
      <c r="L15" s="13" t="s">
        <v>30</v>
      </c>
    </row>
    <row r="16" spans="1:12" x14ac:dyDescent="0.3">
      <c r="A16" t="str">
        <f>'30N2'!A16</f>
        <v>1_T0_1</v>
      </c>
      <c r="B16" s="2">
        <f>Data!D19</f>
        <v>2.4687679999999999E-10</v>
      </c>
      <c r="C16" s="2">
        <f>Data!E19</f>
        <v>0</v>
      </c>
      <c r="D16" s="2">
        <f t="shared" si="0"/>
        <v>-1.7895746758786887E-12</v>
      </c>
      <c r="E16" s="3">
        <f t="shared" si="1"/>
        <v>-3.933893424669066</v>
      </c>
      <c r="G16" t="s">
        <v>31</v>
      </c>
      <c r="H16">
        <v>1</v>
      </c>
      <c r="I16">
        <v>4.2279905595811961E-24</v>
      </c>
      <c r="J16">
        <v>4.2279905595811961E-24</v>
      </c>
      <c r="K16">
        <v>56133.298198007913</v>
      </c>
      <c r="L16">
        <v>2.6733352142760011E-56</v>
      </c>
    </row>
    <row r="17" spans="1:15" x14ac:dyDescent="0.3">
      <c r="B17" s="2">
        <f>Data!D20</f>
        <v>2.4677910000000002E-10</v>
      </c>
      <c r="C17" s="2">
        <f>Data!E20</f>
        <v>0</v>
      </c>
      <c r="D17" s="2">
        <f t="shared" si="0"/>
        <v>-1.7888491783148438E-12</v>
      </c>
      <c r="E17" s="3">
        <f t="shared" si="1"/>
        <v>-3.9322986155032398</v>
      </c>
      <c r="G17" t="s">
        <v>32</v>
      </c>
      <c r="H17">
        <v>34</v>
      </c>
      <c r="I17">
        <v>2.5608984976917355E-27</v>
      </c>
      <c r="J17">
        <v>7.5320544049756923E-29</v>
      </c>
    </row>
    <row r="18" spans="1:15" ht="13.5" thickBot="1" x14ac:dyDescent="0.35">
      <c r="B18" s="2">
        <f>Data!D21</f>
        <v>2.4676889999999998E-10</v>
      </c>
      <c r="C18" s="2">
        <f>Data!E21</f>
        <v>0</v>
      </c>
      <c r="D18" s="2">
        <f t="shared" si="0"/>
        <v>-1.7887734354780857E-12</v>
      </c>
      <c r="E18" s="3">
        <f t="shared" si="1"/>
        <v>-3.932132115467502</v>
      </c>
      <c r="G18" s="6" t="s">
        <v>33</v>
      </c>
      <c r="H18" s="6">
        <v>35</v>
      </c>
      <c r="I18" s="6">
        <v>4.2305514580788876E-24</v>
      </c>
      <c r="J18" s="6"/>
      <c r="K18" s="6"/>
      <c r="L18" s="6"/>
    </row>
    <row r="19" spans="1:15" ht="13.5" thickBot="1" x14ac:dyDescent="0.35">
      <c r="A19" t="str">
        <f>'30N2'!A19</f>
        <v>typhaIN_T0_1</v>
      </c>
      <c r="B19" s="2">
        <f>Data!D76</f>
        <v>2.3786640000000002E-10</v>
      </c>
      <c r="C19" s="2">
        <f>Data!E76</f>
        <v>0</v>
      </c>
      <c r="D19" s="2">
        <f t="shared" si="0"/>
        <v>-1.7226655331021259E-12</v>
      </c>
      <c r="E19" s="3">
        <f t="shared" si="1"/>
        <v>-3.7868118636888153</v>
      </c>
    </row>
    <row r="20" spans="1:15" x14ac:dyDescent="0.3">
      <c r="B20" s="2">
        <f>Data!D77</f>
        <v>2.3785349999999999E-10</v>
      </c>
      <c r="C20" s="2">
        <f>Data!E77</f>
        <v>0</v>
      </c>
      <c r="D20" s="2">
        <f t="shared" si="0"/>
        <v>-1.7225697406909321E-12</v>
      </c>
      <c r="E20" s="3">
        <f t="shared" si="1"/>
        <v>-3.786601290114207</v>
      </c>
      <c r="G20" s="13"/>
      <c r="H20" s="13" t="s">
        <v>34</v>
      </c>
      <c r="I20" s="13" t="s">
        <v>23</v>
      </c>
      <c r="J20" s="13" t="s">
        <v>35</v>
      </c>
      <c r="K20" s="13" t="s">
        <v>36</v>
      </c>
      <c r="L20" s="13" t="s">
        <v>37</v>
      </c>
      <c r="M20" s="13" t="s">
        <v>38</v>
      </c>
      <c r="N20" s="13" t="s">
        <v>39</v>
      </c>
      <c r="O20" s="13" t="s">
        <v>40</v>
      </c>
    </row>
    <row r="21" spans="1:15" x14ac:dyDescent="0.3">
      <c r="B21" s="2">
        <f>Data!D78</f>
        <v>2.3805470000000002E-10</v>
      </c>
      <c r="C21" s="2">
        <f>Data!E78</f>
        <v>0</v>
      </c>
      <c r="D21" s="2">
        <f t="shared" si="0"/>
        <v>-1.7240638052748181E-12</v>
      </c>
      <c r="E21" s="3">
        <f t="shared" si="1"/>
        <v>-3.789885584936771</v>
      </c>
      <c r="G21" t="s">
        <v>41</v>
      </c>
      <c r="H21">
        <v>-4.3675241929732873E-14</v>
      </c>
      <c r="I21">
        <v>1.6222071644893454E-14</v>
      </c>
      <c r="J21">
        <v>-2.6923344247145771</v>
      </c>
      <c r="K21">
        <v>1.0931459975703647E-2</v>
      </c>
      <c r="L21">
        <v>-7.6642457959826256E-14</v>
      </c>
      <c r="M21">
        <v>-1.0708025899639489E-14</v>
      </c>
      <c r="N21">
        <v>-7.6642457959826256E-14</v>
      </c>
      <c r="O21">
        <v>-1.0708025899639489E-14</v>
      </c>
    </row>
    <row r="22" spans="1:15" ht="13.5" thickBot="1" x14ac:dyDescent="0.35">
      <c r="A22" t="str">
        <f>'30N2'!A22</f>
        <v>10_T0_1</v>
      </c>
      <c r="B22" s="2">
        <f>Data!D79</f>
        <v>2.4124770000000001E-10</v>
      </c>
      <c r="C22" s="2">
        <f>Data!E79</f>
        <v>0</v>
      </c>
      <c r="D22" s="2">
        <f t="shared" si="0"/>
        <v>-1.74777428348728E-12</v>
      </c>
      <c r="E22" s="3">
        <f t="shared" si="1"/>
        <v>-3.8420066255354066</v>
      </c>
      <c r="G22" s="6" t="s">
        <v>42</v>
      </c>
      <c r="H22" s="6">
        <v>7.4257683095715014E-3</v>
      </c>
      <c r="I22" s="6">
        <v>3.1342318127780343E-5</v>
      </c>
      <c r="J22" s="6">
        <v>236.92466777017532</v>
      </c>
      <c r="K22" s="6">
        <v>2.673335214275963E-56</v>
      </c>
      <c r="L22" s="6">
        <v>7.3620730556470306E-3</v>
      </c>
      <c r="M22" s="6">
        <v>7.4894635634959721E-3</v>
      </c>
      <c r="N22" s="6">
        <v>7.3620730556470306E-3</v>
      </c>
      <c r="O22" s="6">
        <v>7.4894635634959721E-3</v>
      </c>
    </row>
    <row r="23" spans="1:15" x14ac:dyDescent="0.3">
      <c r="B23" s="2">
        <f>Data!D80</f>
        <v>2.4124820000000001E-10</v>
      </c>
      <c r="C23" s="2">
        <f>Data!E80</f>
        <v>0</v>
      </c>
      <c r="D23" s="2">
        <f t="shared" si="0"/>
        <v>-1.7477779963714346E-12</v>
      </c>
      <c r="E23" s="3">
        <f t="shared" si="1"/>
        <v>-3.8420147873018635</v>
      </c>
    </row>
    <row r="24" spans="1:15" x14ac:dyDescent="0.3">
      <c r="B24" s="2">
        <f>Data!D81</f>
        <v>2.4117559999999998E-10</v>
      </c>
      <c r="C24" s="2">
        <f>Data!E81</f>
        <v>0</v>
      </c>
      <c r="D24" s="2">
        <f t="shared" si="0"/>
        <v>-1.7472388855921595E-12</v>
      </c>
      <c r="E24" s="3">
        <f t="shared" si="1"/>
        <v>-3.8408296988122106</v>
      </c>
    </row>
    <row r="25" spans="1:15" x14ac:dyDescent="0.3">
      <c r="A25" t="str">
        <f>'30N2'!A25</f>
        <v>hardwoodsIN_T1_1</v>
      </c>
      <c r="B25" s="2">
        <f>Data!D136</f>
        <v>2.327946E-10</v>
      </c>
      <c r="C25" s="2">
        <f>Data!E136</f>
        <v>0</v>
      </c>
      <c r="D25" s="2">
        <f t="shared" si="0"/>
        <v>-1.685003521389641E-12</v>
      </c>
      <c r="E25" s="3">
        <f t="shared" si="1"/>
        <v>-3.7040221694488658</v>
      </c>
    </row>
    <row r="26" spans="1:15" x14ac:dyDescent="0.3">
      <c r="B26" s="2">
        <f>Data!D137</f>
        <v>2.3276829999999999E-10</v>
      </c>
      <c r="C26" s="2">
        <f>Data!E137</f>
        <v>0</v>
      </c>
      <c r="D26" s="2">
        <f t="shared" ref="D26:D31" si="2">C26-(B26*H$22+H$21)</f>
        <v>-1.6848082236830991E-12</v>
      </c>
      <c r="E26" s="3">
        <f t="shared" ref="E26:E31" si="3">A$1*D26/A$2</f>
        <v>-3.7035928605331923</v>
      </c>
    </row>
    <row r="27" spans="1:15" x14ac:dyDescent="0.3">
      <c r="B27" s="2">
        <f>Data!D138</f>
        <v>2.3273170000000001E-10</v>
      </c>
      <c r="C27" s="2">
        <f>Data!E138</f>
        <v>0</v>
      </c>
      <c r="D27" s="2">
        <f t="shared" si="2"/>
        <v>-1.684536440562969E-12</v>
      </c>
      <c r="E27" s="3">
        <f t="shared" si="3"/>
        <v>-3.702995419228492</v>
      </c>
    </row>
    <row r="28" spans="1:15" x14ac:dyDescent="0.3">
      <c r="A28" t="str">
        <f>'30N2'!A28</f>
        <v>7_T1_1</v>
      </c>
      <c r="B28" s="2">
        <f>Data!D139</f>
        <v>2.2938989999999999E-10</v>
      </c>
      <c r="C28" s="2">
        <f>Data!E139</f>
        <v>0</v>
      </c>
      <c r="D28" s="2">
        <f t="shared" si="2"/>
        <v>-1.6597210080260427E-12</v>
      </c>
      <c r="E28" s="3">
        <f t="shared" si="3"/>
        <v>-3.6484454369320556</v>
      </c>
    </row>
    <row r="29" spans="1:15" x14ac:dyDescent="0.3">
      <c r="B29" s="2">
        <f>Data!D140</f>
        <v>2.294201E-10</v>
      </c>
      <c r="C29" s="2">
        <f>Data!E140</f>
        <v>0</v>
      </c>
      <c r="D29" s="2">
        <f t="shared" si="2"/>
        <v>-1.6599452662289919E-12</v>
      </c>
      <c r="E29" s="3">
        <f t="shared" si="3"/>
        <v>-3.6489384076260989</v>
      </c>
    </row>
    <row r="30" spans="1:15" x14ac:dyDescent="0.3">
      <c r="B30" s="2">
        <f>Data!D141</f>
        <v>2.2943570000000001E-10</v>
      </c>
      <c r="C30" s="2">
        <f>Data!E141</f>
        <v>0</v>
      </c>
      <c r="D30" s="2">
        <f t="shared" si="2"/>
        <v>-1.6600611082146213E-12</v>
      </c>
      <c r="E30" s="3">
        <f t="shared" si="3"/>
        <v>-3.6491930547395781</v>
      </c>
    </row>
    <row r="31" spans="1:15" x14ac:dyDescent="0.3">
      <c r="A31" t="str">
        <f>'30N2'!A31</f>
        <v>openwaterIN_T2_1</v>
      </c>
      <c r="B31" s="2">
        <f>Data!D196</f>
        <v>2.2209560000000001E-10</v>
      </c>
      <c r="C31" s="2">
        <f>Data!E196</f>
        <v>0</v>
      </c>
      <c r="D31" s="2">
        <f t="shared" si="2"/>
        <v>-1.6055552262455354E-12</v>
      </c>
      <c r="E31" s="3">
        <f t="shared" si="3"/>
        <v>-3.529376690787795</v>
      </c>
    </row>
    <row r="32" spans="1:15" x14ac:dyDescent="0.3">
      <c r="B32" s="2">
        <f>Data!D197</f>
        <v>2.222002E-10</v>
      </c>
      <c r="C32" s="2">
        <f>Data!E197</f>
        <v>0</v>
      </c>
      <c r="D32" s="2">
        <f t="shared" ref="D32:D42" si="4">C32-(B32*H$22+H$21)</f>
        <v>-1.6063319616107166E-12</v>
      </c>
      <c r="E32" s="3">
        <f t="shared" ref="E32:E42" si="5">A$1*D32/A$2</f>
        <v>-3.5310841323307383</v>
      </c>
    </row>
    <row r="33" spans="1:11" x14ac:dyDescent="0.3">
      <c r="B33" s="2">
        <f>Data!D198</f>
        <v>2.2220890000000001E-10</v>
      </c>
      <c r="C33" s="2">
        <f>Data!E198</f>
        <v>0</v>
      </c>
      <c r="D33" s="2">
        <f t="shared" si="4"/>
        <v>-1.6063965657950101E-12</v>
      </c>
      <c r="E33" s="3">
        <f t="shared" si="5"/>
        <v>-3.5312261470671018</v>
      </c>
    </row>
    <row r="34" spans="1:11" x14ac:dyDescent="0.3">
      <c r="A34" t="str">
        <f>'30N2'!A34</f>
        <v>4_T2_1</v>
      </c>
      <c r="B34" s="2">
        <f>Data!D199</f>
        <v>2.1552920000000001E-10</v>
      </c>
      <c r="C34" s="2">
        <f>Data!E199</f>
        <v>0</v>
      </c>
      <c r="D34" s="2">
        <f t="shared" si="4"/>
        <v>-1.5567946612175652E-12</v>
      </c>
      <c r="E34" s="3">
        <f t="shared" si="5"/>
        <v>-3.4221898442525998</v>
      </c>
    </row>
    <row r="35" spans="1:11" x14ac:dyDescent="0.3">
      <c r="B35" s="2">
        <f>Data!D200</f>
        <v>2.1530800000000001E-10</v>
      </c>
      <c r="C35" s="2">
        <f>Data!E200</f>
        <v>0</v>
      </c>
      <c r="D35" s="2">
        <f t="shared" si="4"/>
        <v>-1.555152081267488E-12</v>
      </c>
      <c r="E35" s="3">
        <f t="shared" si="5"/>
        <v>-3.4185790787717298</v>
      </c>
    </row>
    <row r="36" spans="1:11" x14ac:dyDescent="0.3">
      <c r="B36" s="2">
        <f>Data!D201</f>
        <v>2.1516090000000001E-10</v>
      </c>
      <c r="C36" s="2">
        <f>Data!E201</f>
        <v>0</v>
      </c>
      <c r="D36" s="2">
        <f t="shared" si="4"/>
        <v>-1.55405975074915E-12</v>
      </c>
      <c r="E36" s="3">
        <f t="shared" si="5"/>
        <v>-3.4161778870798849</v>
      </c>
    </row>
    <row r="37" spans="1:11" x14ac:dyDescent="0.3">
      <c r="A37" t="str">
        <f>'30N2'!A37</f>
        <v>5_T2_1</v>
      </c>
      <c r="B37" s="2">
        <f>Data!D202</f>
        <v>2.220316E-10</v>
      </c>
      <c r="C37" s="2">
        <f>Data!E202</f>
        <v>0</v>
      </c>
      <c r="D37" s="2">
        <f t="shared" si="4"/>
        <v>-1.6050799770737229E-12</v>
      </c>
      <c r="E37" s="3">
        <f t="shared" si="5"/>
        <v>-3.528331984681214</v>
      </c>
      <c r="F37" s="21"/>
      <c r="H37" s="3"/>
      <c r="I37" s="3"/>
      <c r="J37" s="3"/>
      <c r="K37" s="3"/>
    </row>
    <row r="38" spans="1:11" x14ac:dyDescent="0.3">
      <c r="B38" s="2">
        <f>Data!D203</f>
        <v>2.2212860000000001E-10</v>
      </c>
      <c r="C38" s="2">
        <f>Data!E203</f>
        <v>0</v>
      </c>
      <c r="D38" s="2">
        <f t="shared" si="4"/>
        <v>-1.6058002765997514E-12</v>
      </c>
      <c r="E38" s="3">
        <f t="shared" si="5"/>
        <v>-3.5299153673740009</v>
      </c>
      <c r="H38" s="3"/>
      <c r="I38" s="3"/>
    </row>
    <row r="39" spans="1:11" x14ac:dyDescent="0.3">
      <c r="B39" s="2">
        <f>Data!D204</f>
        <v>2.221353E-10</v>
      </c>
      <c r="C39" s="2">
        <f>Data!E204</f>
        <v>0</v>
      </c>
      <c r="D39" s="2">
        <f t="shared" si="4"/>
        <v>-1.6058500292474255E-12</v>
      </c>
      <c r="E39" s="3">
        <f t="shared" si="5"/>
        <v>-3.5300247350445337</v>
      </c>
      <c r="H39" s="3"/>
      <c r="I39" s="3"/>
    </row>
    <row r="40" spans="1:11" x14ac:dyDescent="0.3">
      <c r="A40" t="str">
        <f>'30N2'!A40</f>
        <v>Calibrate_20C</v>
      </c>
      <c r="B40" s="2">
        <f>Data!D205</f>
        <v>2.4341900000000002E-10</v>
      </c>
      <c r="C40" s="2">
        <f>Data!E205</f>
        <v>0</v>
      </c>
      <c r="D40" s="2">
        <f t="shared" si="4"/>
        <v>-1.7638978542178525E-12</v>
      </c>
      <c r="E40" s="3">
        <f t="shared" si="5"/>
        <v>-3.8774499125544528</v>
      </c>
      <c r="F40" s="21"/>
    </row>
    <row r="41" spans="1:11" x14ac:dyDescent="0.3">
      <c r="B41" s="2">
        <f>Data!D206</f>
        <v>2.433758E-10</v>
      </c>
      <c r="C41" s="2">
        <f>Data!E206</f>
        <v>0</v>
      </c>
      <c r="D41" s="2">
        <f t="shared" si="4"/>
        <v>-1.7635770610268789E-12</v>
      </c>
      <c r="E41" s="3">
        <f t="shared" si="5"/>
        <v>-3.8767447359325109</v>
      </c>
    </row>
    <row r="42" spans="1:11" x14ac:dyDescent="0.3">
      <c r="B42" s="2">
        <f>Data!D207</f>
        <v>2.4329770000000002E-10</v>
      </c>
      <c r="C42" s="2">
        <f>Data!E207</f>
        <v>0</v>
      </c>
      <c r="D42" s="2">
        <f t="shared" si="4"/>
        <v>-1.7629971085219014E-12</v>
      </c>
      <c r="E42" s="3">
        <f t="shared" si="5"/>
        <v>-3.8754698680118236</v>
      </c>
    </row>
    <row r="43" spans="1:11" x14ac:dyDescent="0.3">
      <c r="A43" t="str">
        <f>'30N2'!A43</f>
        <v>2_T0_1</v>
      </c>
      <c r="B43" s="2">
        <f>Data!D22</f>
        <v>2.4796300000000002E-10</v>
      </c>
      <c r="C43" s="2">
        <f>Data!E22</f>
        <v>0</v>
      </c>
      <c r="D43" s="2">
        <f t="shared" si="0"/>
        <v>-1.7976405454165453E-12</v>
      </c>
      <c r="E43" s="3">
        <f t="shared" si="1"/>
        <v>-3.9516240461216934</v>
      </c>
      <c r="F43" s="21">
        <f>AVERAGE(E43:E45)</f>
        <v>-3.950330678197036</v>
      </c>
      <c r="G43">
        <f>STDEV(E43:E45)</f>
        <v>1.8480548732302652E-3</v>
      </c>
      <c r="H43" s="3" t="str">
        <f>'30N2'!A43</f>
        <v>2_T0_1</v>
      </c>
      <c r="I43" s="3"/>
    </row>
    <row r="44" spans="1:11" x14ac:dyDescent="0.3">
      <c r="B44" s="2">
        <f>Data!D23</f>
        <v>2.4793419999999999E-10</v>
      </c>
      <c r="C44" s="2">
        <f>Data!E23</f>
        <v>0</v>
      </c>
      <c r="D44" s="2">
        <f t="shared" si="0"/>
        <v>-1.7974266832892295E-12</v>
      </c>
      <c r="E44" s="3">
        <f t="shared" si="1"/>
        <v>-3.9511539283737318</v>
      </c>
      <c r="H44" s="3"/>
      <c r="I44" s="3"/>
    </row>
    <row r="45" spans="1:11" x14ac:dyDescent="0.3">
      <c r="B45" s="2">
        <f>Data!D24</f>
        <v>2.4775410000000001E-10</v>
      </c>
      <c r="C45" s="2">
        <f>Data!E24</f>
        <v>0</v>
      </c>
      <c r="D45" s="2">
        <f t="shared" si="0"/>
        <v>-1.7960893024166759E-12</v>
      </c>
      <c r="E45" s="3">
        <f t="shared" si="1"/>
        <v>-3.9482140600956823</v>
      </c>
      <c r="H45" s="3"/>
      <c r="I45" s="3"/>
      <c r="J45" s="3"/>
      <c r="K45" s="3"/>
    </row>
    <row r="46" spans="1:11" x14ac:dyDescent="0.3">
      <c r="A46" t="str">
        <f>'30N2'!A46</f>
        <v>Calibrate_20C</v>
      </c>
      <c r="B46" s="2">
        <f>Data!D25</f>
        <v>2.825131E-10</v>
      </c>
      <c r="C46" s="2">
        <f>Data!E25</f>
        <v>0</v>
      </c>
      <c r="D46" s="2">
        <f t="shared" si="0"/>
        <v>-2.0542015830890715E-12</v>
      </c>
      <c r="E46" s="3">
        <f t="shared" si="1"/>
        <v>-4.5156037406994907</v>
      </c>
      <c r="F46" s="21">
        <f>AVERAGE(E46:E48)</f>
        <v>-4.5149099905505894</v>
      </c>
      <c r="G46">
        <f>STDEV(E46:E48)</f>
        <v>1.3235909260518146E-3</v>
      </c>
      <c r="H46" s="3" t="str">
        <f>'30N2'!A46</f>
        <v>Calibrate_20C</v>
      </c>
      <c r="I46" s="3"/>
    </row>
    <row r="47" spans="1:11" x14ac:dyDescent="0.3">
      <c r="B47" s="2">
        <f>Data!D26</f>
        <v>2.8252160000000002E-10</v>
      </c>
      <c r="C47" s="2">
        <f>Data!E26</f>
        <v>0</v>
      </c>
      <c r="D47" s="2">
        <f t="shared" si="0"/>
        <v>-2.0542647021197033E-12</v>
      </c>
      <c r="E47" s="3">
        <f t="shared" si="1"/>
        <v>-4.5157424907292718</v>
      </c>
      <c r="H47" s="3"/>
      <c r="I47" s="3"/>
    </row>
    <row r="48" spans="1:11" x14ac:dyDescent="0.3">
      <c r="B48" s="2">
        <f>Data!D27</f>
        <v>2.8237710000000002E-10</v>
      </c>
      <c r="C48" s="2">
        <f>Data!E27</f>
        <v>0</v>
      </c>
      <c r="D48" s="2">
        <f t="shared" si="0"/>
        <v>-2.0531916785989702E-12</v>
      </c>
      <c r="E48" s="3">
        <f t="shared" si="1"/>
        <v>-4.5133837402230066</v>
      </c>
      <c r="H48" s="3"/>
      <c r="I48" s="3"/>
      <c r="J48" s="3"/>
      <c r="K48" s="3"/>
    </row>
    <row r="49" spans="1:8" x14ac:dyDescent="0.3">
      <c r="A49" t="str">
        <f>'30N2'!A49</f>
        <v>Calibrate_30C</v>
      </c>
      <c r="B49" s="2">
        <f>Data!D28</f>
        <v>2.4231490000000003E-10</v>
      </c>
      <c r="C49" s="2">
        <f>Data!E28</f>
        <v>0</v>
      </c>
      <c r="D49" s="2">
        <f t="shared" ref="D49:D60" si="6">C49-(B49*H$22+H$21)</f>
        <v>-1.7556990634272547E-12</v>
      </c>
      <c r="E49" s="3">
        <f t="shared" ref="E49:E60" si="7">A$1*D49/A$2</f>
        <v>-3.8594270998626419</v>
      </c>
      <c r="F49" s="21">
        <f>AVERAGE(E49:E51)</f>
        <v>-3.8578224965770649</v>
      </c>
      <c r="G49">
        <f>STDEV(E49:E51)</f>
        <v>1.40325144133178E-3</v>
      </c>
      <c r="H49" s="3" t="str">
        <f>'30N2'!A49</f>
        <v>Calibrate_30C</v>
      </c>
    </row>
    <row r="50" spans="1:8" x14ac:dyDescent="0.3">
      <c r="B50" s="2">
        <f>Data!D29</f>
        <v>2.421794E-10</v>
      </c>
      <c r="C50" s="2">
        <f>Data!E29</f>
        <v>0</v>
      </c>
      <c r="D50" s="2">
        <f t="shared" si="6"/>
        <v>-1.7546928718213076E-12</v>
      </c>
      <c r="E50" s="3">
        <f t="shared" si="7"/>
        <v>-3.8572152611526147</v>
      </c>
      <c r="H50" s="3"/>
    </row>
    <row r="51" spans="1:8" x14ac:dyDescent="0.3">
      <c r="B51" s="2">
        <f>Data!D30</f>
        <v>2.4215549999999998E-10</v>
      </c>
      <c r="C51" s="2">
        <f>Data!E30</f>
        <v>0</v>
      </c>
      <c r="D51" s="2">
        <f t="shared" si="6"/>
        <v>-1.7545153959587086E-12</v>
      </c>
      <c r="E51" s="3">
        <f t="shared" si="7"/>
        <v>-3.8568251287159385</v>
      </c>
      <c r="H51" s="3"/>
    </row>
    <row r="52" spans="1:8" x14ac:dyDescent="0.3">
      <c r="A52" t="str">
        <f>'30N2'!A52</f>
        <v>3_T0_1</v>
      </c>
      <c r="B52" s="2">
        <f>Data!D31</f>
        <v>2.4775E-10</v>
      </c>
      <c r="C52" s="2">
        <f>Data!E31</f>
        <v>0</v>
      </c>
      <c r="D52" s="2">
        <f t="shared" si="6"/>
        <v>-1.7960588567666065E-12</v>
      </c>
      <c r="E52" s="3">
        <f t="shared" si="7"/>
        <v>-3.9481471336107283</v>
      </c>
      <c r="F52" s="21">
        <f>AVERAGE(E52:E54)</f>
        <v>-3.9476949717489744</v>
      </c>
      <c r="G52">
        <f>STDEV(E52:E54)</f>
        <v>5.4079694562720227E-4</v>
      </c>
      <c r="H52" s="3" t="str">
        <f>'30N2'!A52</f>
        <v>3_T0_1</v>
      </c>
    </row>
    <row r="53" spans="1:8" x14ac:dyDescent="0.3">
      <c r="B53" s="2">
        <f>Data!D32</f>
        <v>2.4773129999999998E-10</v>
      </c>
      <c r="C53" s="2">
        <f>Data!E32</f>
        <v>0</v>
      </c>
      <c r="D53" s="2">
        <f t="shared" si="6"/>
        <v>-1.7959199948992173E-12</v>
      </c>
      <c r="E53" s="3">
        <f t="shared" si="7"/>
        <v>-3.947841883545212</v>
      </c>
      <c r="H53" s="3"/>
    </row>
    <row r="54" spans="1:8" x14ac:dyDescent="0.3">
      <c r="B54" s="2">
        <f>Data!D33</f>
        <v>2.4768559999999999E-10</v>
      </c>
      <c r="C54" s="2">
        <f>Data!E33</f>
        <v>0</v>
      </c>
      <c r="D54" s="2">
        <f t="shared" si="6"/>
        <v>-1.7955806372874702E-12</v>
      </c>
      <c r="E54" s="3">
        <f t="shared" si="7"/>
        <v>-3.9470958980909816</v>
      </c>
      <c r="H54" s="3"/>
    </row>
    <row r="55" spans="1:8" x14ac:dyDescent="0.3">
      <c r="A55" t="str">
        <f>'30N2'!A55</f>
        <v>openwaterIN_T0_1</v>
      </c>
      <c r="B55" s="2">
        <f>Data!D34</f>
        <v>2.5047260000000002E-10</v>
      </c>
      <c r="C55" s="2">
        <f>Data!E34</f>
        <v>0</v>
      </c>
      <c r="D55" s="2">
        <f t="shared" si="6"/>
        <v>-1.8162762535662461E-12</v>
      </c>
      <c r="E55" s="3">
        <f t="shared" si="7"/>
        <v>-3.9925895843259953</v>
      </c>
      <c r="F55" s="21">
        <f>AVERAGE(E55:E57)</f>
        <v>-3.9903314956060414</v>
      </c>
      <c r="G55">
        <f>STDEV(E55:E57)</f>
        <v>2.1907819140767719E-3</v>
      </c>
      <c r="H55" s="3" t="str">
        <f>'30N2'!A55</f>
        <v>openwaterIN_T0_1</v>
      </c>
    </row>
    <row r="56" spans="1:8" x14ac:dyDescent="0.3">
      <c r="B56" s="2">
        <f>Data!D35</f>
        <v>2.503256E-10</v>
      </c>
      <c r="C56" s="2">
        <f>Data!E35</f>
        <v>0</v>
      </c>
      <c r="D56" s="2">
        <f t="shared" si="6"/>
        <v>-1.8151846656247388E-12</v>
      </c>
      <c r="E56" s="3">
        <f t="shared" si="7"/>
        <v>-3.990190024987442</v>
      </c>
      <c r="H56" s="3"/>
    </row>
    <row r="57" spans="1:8" x14ac:dyDescent="0.3">
      <c r="B57" s="2">
        <f>Data!D36</f>
        <v>2.5020459999999999E-10</v>
      </c>
      <c r="C57" s="2">
        <f>Data!E36</f>
        <v>0</v>
      </c>
      <c r="D57" s="2">
        <f t="shared" si="6"/>
        <v>-1.8142861476592805E-12</v>
      </c>
      <c r="E57" s="3">
        <f t="shared" si="7"/>
        <v>-3.9882148775046868</v>
      </c>
      <c r="H57" s="3"/>
    </row>
    <row r="58" spans="1:8" x14ac:dyDescent="0.3">
      <c r="A58" t="str">
        <f>'30N2'!A58</f>
        <v>4_T0_1</v>
      </c>
      <c r="B58" s="2">
        <f>Data!D37</f>
        <v>2.4831889999999999E-10</v>
      </c>
      <c r="C58" s="2">
        <f>Data!E37</f>
        <v>0</v>
      </c>
      <c r="D58" s="2">
        <f t="shared" si="6"/>
        <v>-1.8002833763579216E-12</v>
      </c>
      <c r="E58" s="3">
        <f t="shared" si="7"/>
        <v>-3.9574335914862573</v>
      </c>
      <c r="F58" s="21">
        <f>AVERAGE(E58:E60)</f>
        <v>-3.9564520030402828</v>
      </c>
      <c r="G58">
        <f>STDEV(E58:E60)</f>
        <v>8.5158532555921422E-4</v>
      </c>
      <c r="H58" s="3" t="str">
        <f>'30N2'!A58</f>
        <v>4_T0_1</v>
      </c>
    </row>
    <row r="59" spans="1:8" x14ac:dyDescent="0.3">
      <c r="B59" s="2">
        <f>Data!D38</f>
        <v>2.4823179999999998E-10</v>
      </c>
      <c r="C59" s="2">
        <f>Data!E38</f>
        <v>0</v>
      </c>
      <c r="D59" s="2">
        <f t="shared" si="6"/>
        <v>-1.7996365919381579E-12</v>
      </c>
      <c r="E59" s="3">
        <f t="shared" si="7"/>
        <v>-3.9560118117693319</v>
      </c>
      <c r="H59" s="3"/>
    </row>
    <row r="60" spans="1:8" x14ac:dyDescent="0.3">
      <c r="B60" s="2">
        <f>Data!D39</f>
        <v>2.4822560000000002E-10</v>
      </c>
      <c r="C60" s="2">
        <f>Data!E39</f>
        <v>0</v>
      </c>
      <c r="D60" s="2">
        <f t="shared" si="6"/>
        <v>-1.7995905521746392E-12</v>
      </c>
      <c r="E60" s="3">
        <f t="shared" si="7"/>
        <v>-3.9559106058652591</v>
      </c>
      <c r="H60" s="3"/>
    </row>
    <row r="61" spans="1:8" x14ac:dyDescent="0.3">
      <c r="A61" t="str">
        <f>'30N2'!A61</f>
        <v>Calibrate_20C</v>
      </c>
      <c r="B61" s="2">
        <f>Data!D40</f>
        <v>2.780781E-10</v>
      </c>
      <c r="C61" s="2">
        <f>Data!E40</f>
        <v>0</v>
      </c>
      <c r="D61" s="2">
        <f t="shared" ref="D61:D102" si="8">C61-(B61*H$22+H$21)</f>
        <v>-2.0212683006361218E-12</v>
      </c>
      <c r="E61" s="3">
        <f t="shared" ref="E61:E102" si="9">A$1*D61/A$2</f>
        <v>-4.4432088722200209</v>
      </c>
      <c r="F61" s="21">
        <f>AVERAGE(E61:E63)</f>
        <v>-4.4451758579363174</v>
      </c>
      <c r="G61">
        <f>STDEV(E61:E63)</f>
        <v>1.8836359722992073E-3</v>
      </c>
      <c r="H61" s="3" t="str">
        <f>'30N2'!A61</f>
        <v>Calibrate_20C</v>
      </c>
    </row>
    <row r="62" spans="1:8" x14ac:dyDescent="0.3">
      <c r="B62" s="2">
        <f>Data!D41</f>
        <v>2.7820959999999999E-10</v>
      </c>
      <c r="C62" s="2">
        <f>Data!E41</f>
        <v>0</v>
      </c>
      <c r="D62" s="2">
        <f t="shared" si="8"/>
        <v>-2.0222447891688304E-12</v>
      </c>
      <c r="E62" s="3">
        <f t="shared" si="9"/>
        <v>-4.4453554167983853</v>
      </c>
      <c r="H62" s="3"/>
    </row>
    <row r="63" spans="1:8" x14ac:dyDescent="0.3">
      <c r="B63" s="2">
        <f>Data!D42</f>
        <v>2.7830810000000001E-10</v>
      </c>
      <c r="C63" s="2">
        <f>Data!E42</f>
        <v>0</v>
      </c>
      <c r="D63" s="2">
        <f t="shared" si="8"/>
        <v>-2.0229762273473235E-12</v>
      </c>
      <c r="E63" s="3">
        <f t="shared" si="9"/>
        <v>-4.446963284790546</v>
      </c>
      <c r="H63" s="3"/>
    </row>
    <row r="64" spans="1:8" x14ac:dyDescent="0.3">
      <c r="A64" t="str">
        <f>'30N2'!A64</f>
        <v>Calibrate_30C</v>
      </c>
      <c r="B64" s="2">
        <f>Data!D43</f>
        <v>2.3656910000000001E-10</v>
      </c>
      <c r="C64" s="2">
        <f>Data!E43</f>
        <v>0</v>
      </c>
      <c r="D64" s="2">
        <f>C64-(B64*H$22+H$21)</f>
        <v>-1.7130320838741186E-12</v>
      </c>
      <c r="E64" s="3">
        <f>A$1*D64/A$2</f>
        <v>-3.7656353444377628</v>
      </c>
      <c r="F64" s="21">
        <f>AVERAGE(E64:E66)</f>
        <v>-3.7651984178733957</v>
      </c>
      <c r="G64">
        <f>STDEV(E64:E66)</f>
        <v>7.3987992303983958E-4</v>
      </c>
      <c r="H64" s="3" t="str">
        <f>'30N2'!A64</f>
        <v>Calibrate_30C</v>
      </c>
    </row>
    <row r="65" spans="1:8" x14ac:dyDescent="0.3">
      <c r="B65" s="2">
        <f>Data!D44</f>
        <v>2.3656789999999999E-10</v>
      </c>
      <c r="C65" s="2">
        <f>Data!E44</f>
        <v>0</v>
      </c>
      <c r="D65" s="2">
        <f>C65-(B65*H$22+H$21)</f>
        <v>-1.7130231729521471E-12</v>
      </c>
      <c r="E65" s="3">
        <f>A$1*D65/A$2</f>
        <v>-3.7656157561982644</v>
      </c>
      <c r="H65" s="3"/>
    </row>
    <row r="66" spans="1:8" x14ac:dyDescent="0.3">
      <c r="B66" s="2">
        <f>Data!D45</f>
        <v>2.3648999999999998E-10</v>
      </c>
      <c r="C66" s="2">
        <f>Data!E45</f>
        <v>0</v>
      </c>
      <c r="D66" s="2">
        <f>C66-(B66*H$22+H$21)</f>
        <v>-1.7124447056008313E-12</v>
      </c>
      <c r="E66" s="3">
        <f>A$1*D66/A$2</f>
        <v>-3.7643441529841599</v>
      </c>
      <c r="H66" s="3"/>
    </row>
    <row r="67" spans="1:8" x14ac:dyDescent="0.3">
      <c r="A67" t="str">
        <f>'30N2'!A67</f>
        <v>5_T0_1</v>
      </c>
      <c r="B67" s="2">
        <f>Data!D46</f>
        <v>2.454798E-10</v>
      </c>
      <c r="C67" s="2">
        <f>Data!E46</f>
        <v>0</v>
      </c>
      <c r="D67" s="2">
        <f t="shared" si="8"/>
        <v>-1.7792008775502172E-12</v>
      </c>
      <c r="E67" s="3">
        <f t="shared" si="9"/>
        <v>-3.9110894491863561</v>
      </c>
      <c r="F67" s="21">
        <f>AVERAGE(E67:E69)</f>
        <v>-3.912205434720001</v>
      </c>
      <c r="G67">
        <f>STDEV(E67:E69)</f>
        <v>1.0132856340498574E-3</v>
      </c>
      <c r="H67" s="3" t="str">
        <f>'30N2'!A67</f>
        <v>5_T0_1</v>
      </c>
    </row>
    <row r="68" spans="1:8" x14ac:dyDescent="0.3">
      <c r="B68" s="2">
        <f>Data!D47</f>
        <v>2.4560100000000002E-10</v>
      </c>
      <c r="C68" s="2">
        <f>Data!E47</f>
        <v>0</v>
      </c>
      <c r="D68" s="2">
        <f t="shared" si="8"/>
        <v>-1.7801008806693378E-12</v>
      </c>
      <c r="E68" s="3">
        <f t="shared" si="9"/>
        <v>-3.9130678613756946</v>
      </c>
      <c r="H68" s="3"/>
    </row>
    <row r="69" spans="1:8" x14ac:dyDescent="0.3">
      <c r="B69" s="2">
        <f>Data!D48</f>
        <v>2.4556370000000002E-10</v>
      </c>
      <c r="C69" s="2">
        <f>Data!E48</f>
        <v>0</v>
      </c>
      <c r="D69" s="2">
        <f t="shared" si="8"/>
        <v>-1.7798238995113905E-12</v>
      </c>
      <c r="E69" s="3">
        <f t="shared" si="9"/>
        <v>-3.9124589935979528</v>
      </c>
      <c r="H69" s="3"/>
    </row>
    <row r="70" spans="1:8" x14ac:dyDescent="0.3">
      <c r="A70" t="str">
        <f>'30N2'!A70</f>
        <v>6_T0_1</v>
      </c>
      <c r="B70" s="2">
        <f>Data!D49</f>
        <v>2.4573309999999999E-10</v>
      </c>
      <c r="C70" s="2">
        <f>Data!E49</f>
        <v>0</v>
      </c>
      <c r="D70" s="2">
        <f t="shared" si="8"/>
        <v>-1.7810818246630319E-12</v>
      </c>
      <c r="E70" s="3">
        <f t="shared" si="9"/>
        <v>-3.9152242000738089</v>
      </c>
      <c r="F70" s="21">
        <f>AVERAGE(E70:E72)</f>
        <v>-3.9152786118501925</v>
      </c>
      <c r="G70">
        <f>STDEV(E70:E72)</f>
        <v>2.0147057780663482E-4</v>
      </c>
      <c r="H70" s="3" t="str">
        <f>'30N2'!A70</f>
        <v>6_T0_1</v>
      </c>
    </row>
    <row r="71" spans="1:8" x14ac:dyDescent="0.3">
      <c r="B71" s="2">
        <f>Data!D50</f>
        <v>2.4572609999999999E-10</v>
      </c>
      <c r="C71" s="2">
        <f>Data!E50</f>
        <v>0</v>
      </c>
      <c r="D71" s="2">
        <f t="shared" si="8"/>
        <v>-1.7810298442848646E-12</v>
      </c>
      <c r="E71" s="3">
        <f t="shared" si="9"/>
        <v>-3.9151099353434002</v>
      </c>
      <c r="H71" s="3"/>
    </row>
    <row r="72" spans="1:8" x14ac:dyDescent="0.3">
      <c r="B72" s="2">
        <f>Data!D51</f>
        <v>2.4575009999999998E-10</v>
      </c>
      <c r="C72" s="2">
        <f>Data!E51</f>
        <v>0</v>
      </c>
      <c r="D72" s="2">
        <f t="shared" si="8"/>
        <v>-1.7812080627242943E-12</v>
      </c>
      <c r="E72" s="3">
        <f t="shared" si="9"/>
        <v>-3.915501700133369</v>
      </c>
      <c r="H72" s="3"/>
    </row>
    <row r="73" spans="1:8" x14ac:dyDescent="0.3">
      <c r="A73" t="str">
        <f>'30N2'!A73</f>
        <v>hardwoodsIN_T0_1</v>
      </c>
      <c r="B73" s="2">
        <f>Data!D52</f>
        <v>2.4952900000000001E-10</v>
      </c>
      <c r="C73" s="2">
        <f>Data!E52</f>
        <v>0</v>
      </c>
      <c r="D73" s="2">
        <f t="shared" si="8"/>
        <v>-1.8092692985893344E-12</v>
      </c>
      <c r="E73" s="3">
        <f t="shared" si="9"/>
        <v>-3.9771866986670936</v>
      </c>
      <c r="F73" s="21">
        <f>AVERAGE(E73:E75)</f>
        <v>-3.973734271455502</v>
      </c>
      <c r="G73">
        <f>STDEV(E73:E75)</f>
        <v>3.7926803998307459E-3</v>
      </c>
      <c r="H73" s="3" t="str">
        <f>'30N2'!A73</f>
        <v>hardwoodsIN_T0_1</v>
      </c>
    </row>
    <row r="74" spans="1:8" x14ac:dyDescent="0.3">
      <c r="B74" s="2">
        <f>Data!D53</f>
        <v>2.4935470000000002E-10</v>
      </c>
      <c r="C74" s="2">
        <f>Data!E53</f>
        <v>0</v>
      </c>
      <c r="D74" s="2">
        <f t="shared" si="8"/>
        <v>-1.8079749871729762E-12</v>
      </c>
      <c r="E74" s="3">
        <f t="shared" si="9"/>
        <v>-3.9743415068799526</v>
      </c>
      <c r="H74" s="3"/>
    </row>
    <row r="75" spans="1:8" x14ac:dyDescent="0.3">
      <c r="B75" s="2">
        <f>Data!D54</f>
        <v>2.4906879999999998E-10</v>
      </c>
      <c r="C75" s="2">
        <f>Data!E54</f>
        <v>0</v>
      </c>
      <c r="D75" s="2">
        <f t="shared" si="8"/>
        <v>-1.8058519600132692E-12</v>
      </c>
      <c r="E75" s="3">
        <f t="shared" si="9"/>
        <v>-3.9696746088194601</v>
      </c>
      <c r="H75" s="3"/>
    </row>
    <row r="76" spans="1:8" x14ac:dyDescent="0.3">
      <c r="A76" t="str">
        <f>'30N2'!A76</f>
        <v>Calibrate_20C</v>
      </c>
      <c r="B76" s="2">
        <f>Data!D55</f>
        <v>2.7404039999999999E-10</v>
      </c>
      <c r="C76" s="2">
        <f>Data!E55</f>
        <v>0</v>
      </c>
      <c r="D76" s="2">
        <f t="shared" si="8"/>
        <v>-1.9912852759325651E-12</v>
      </c>
      <c r="E76" s="3">
        <f t="shared" si="9"/>
        <v>-4.3772993433678096</v>
      </c>
      <c r="F76" s="21">
        <f>AVERAGE(E76:E78)</f>
        <v>-4.3784779024442964</v>
      </c>
      <c r="G76">
        <f>STDEV(E76:E78)</f>
        <v>1.1488010290776399E-3</v>
      </c>
      <c r="H76" s="3" t="str">
        <f>'30N2'!A76</f>
        <v>Calibrate_20C</v>
      </c>
    </row>
    <row r="77" spans="1:8" x14ac:dyDescent="0.3">
      <c r="B77" s="2">
        <f>Data!D56</f>
        <v>2.7418099999999999E-10</v>
      </c>
      <c r="C77" s="2">
        <f>Data!E56</f>
        <v>0</v>
      </c>
      <c r="D77" s="2">
        <f t="shared" si="8"/>
        <v>-1.9923293389568907E-12</v>
      </c>
      <c r="E77" s="3">
        <f t="shared" si="9"/>
        <v>-4.379594432095705</v>
      </c>
      <c r="H77" s="3"/>
    </row>
    <row r="78" spans="1:8" x14ac:dyDescent="0.3">
      <c r="B78" s="2">
        <f>Data!D57</f>
        <v>2.7411640000000002E-10</v>
      </c>
      <c r="C78" s="2">
        <f>Data!E57</f>
        <v>0</v>
      </c>
      <c r="D78" s="2">
        <f t="shared" si="8"/>
        <v>-1.991849634324093E-12</v>
      </c>
      <c r="E78" s="3">
        <f t="shared" si="9"/>
        <v>-4.3785399318693754</v>
      </c>
      <c r="H78" s="3"/>
    </row>
    <row r="79" spans="1:8" x14ac:dyDescent="0.3">
      <c r="A79" t="str">
        <f>'30N2'!A79</f>
        <v>Calibrate_30C</v>
      </c>
      <c r="B79" s="2">
        <f>Data!D58</f>
        <v>2.328538E-10</v>
      </c>
      <c r="C79" s="2">
        <f>Data!E58</f>
        <v>0</v>
      </c>
      <c r="D79" s="2">
        <f t="shared" si="8"/>
        <v>-1.6854431268735676E-12</v>
      </c>
      <c r="E79" s="3">
        <f t="shared" si="9"/>
        <v>-3.704988522597453</v>
      </c>
      <c r="F79" s="21">
        <f>AVERAGE(E79:E81)</f>
        <v>-3.7021841396426001</v>
      </c>
      <c r="G79">
        <f>STDEV(E79:E81)</f>
        <v>2.5637052966747641E-3</v>
      </c>
      <c r="H79" s="3" t="str">
        <f>'30N2'!A79</f>
        <v>Calibrate_30C</v>
      </c>
    </row>
    <row r="80" spans="1:8" x14ac:dyDescent="0.3">
      <c r="B80" s="2">
        <f>Data!D59</f>
        <v>2.3264640000000001E-10</v>
      </c>
      <c r="C80" s="2">
        <f>Data!E59</f>
        <v>0</v>
      </c>
      <c r="D80" s="2">
        <f t="shared" si="8"/>
        <v>-1.6839030225261625E-12</v>
      </c>
      <c r="E80" s="3">
        <f t="shared" si="9"/>
        <v>-3.7016030218708145</v>
      </c>
      <c r="H80" s="3"/>
    </row>
    <row r="81" spans="1:8" x14ac:dyDescent="0.3">
      <c r="B81" s="2">
        <f>Data!D60</f>
        <v>2.3254579999999999E-10</v>
      </c>
      <c r="C81" s="2">
        <f>Data!E60</f>
        <v>0</v>
      </c>
      <c r="D81" s="2">
        <f t="shared" si="8"/>
        <v>-1.6831559902342194E-12</v>
      </c>
      <c r="E81" s="3">
        <f t="shared" si="9"/>
        <v>-3.6999608744595323</v>
      </c>
      <c r="H81" s="3"/>
    </row>
    <row r="82" spans="1:8" x14ac:dyDescent="0.3">
      <c r="A82" t="str">
        <f>'30N2'!A82</f>
        <v>7_T0_1</v>
      </c>
      <c r="B82" s="2">
        <f>Data!D61</f>
        <v>2.5003119999999998E-10</v>
      </c>
      <c r="C82" s="2">
        <f>Data!E61</f>
        <v>0</v>
      </c>
      <c r="D82" s="2">
        <f t="shared" si="8"/>
        <v>-1.8129985194344009E-12</v>
      </c>
      <c r="E82" s="3">
        <f t="shared" si="9"/>
        <v>-3.9853843768971693</v>
      </c>
      <c r="F82" s="21">
        <f>AVERAGE(E82:E84)</f>
        <v>-3.9850421268237119</v>
      </c>
      <c r="G82">
        <f>STDEV(E82:E84)</f>
        <v>3.0678834147613746E-4</v>
      </c>
      <c r="H82" s="3" t="str">
        <f>'30N2'!A82</f>
        <v>7_T0_1</v>
      </c>
    </row>
    <row r="83" spans="1:8" x14ac:dyDescent="0.3">
      <c r="B83" s="2">
        <f>Data!D62</f>
        <v>2.5000459999999998E-10</v>
      </c>
      <c r="C83" s="2">
        <f>Data!E62</f>
        <v>0</v>
      </c>
      <c r="D83" s="2">
        <f t="shared" si="8"/>
        <v>-1.8128009939973663E-12</v>
      </c>
      <c r="E83" s="3">
        <f t="shared" si="9"/>
        <v>-3.9849501709216217</v>
      </c>
      <c r="H83" s="3"/>
    </row>
    <row r="84" spans="1:8" x14ac:dyDescent="0.3">
      <c r="B84" s="2">
        <f>Data!D63</f>
        <v>2.4999489999999999E-10</v>
      </c>
      <c r="C84" s="2">
        <f>Data!E63</f>
        <v>0</v>
      </c>
      <c r="D84" s="2">
        <f t="shared" si="8"/>
        <v>-1.8127289640447637E-12</v>
      </c>
      <c r="E84" s="3">
        <f t="shared" si="9"/>
        <v>-3.9847918326523444</v>
      </c>
      <c r="H84" s="3"/>
    </row>
    <row r="85" spans="1:8" x14ac:dyDescent="0.3">
      <c r="A85" t="str">
        <f>'30N2'!A85</f>
        <v>8_T0_1</v>
      </c>
      <c r="B85" s="2">
        <f>Data!D64</f>
        <v>2.3916749999999999E-10</v>
      </c>
      <c r="C85" s="2">
        <f>Data!E64</f>
        <v>0</v>
      </c>
      <c r="D85" s="2">
        <f t="shared" si="8"/>
        <v>-1.7323272002497091E-12</v>
      </c>
      <c r="E85" s="3">
        <f t="shared" si="9"/>
        <v>-3.808050412364945</v>
      </c>
      <c r="F85" s="21">
        <f>AVERAGE(E85:E87)</f>
        <v>-3.8071156180466605</v>
      </c>
      <c r="G85">
        <f>STDEV(E85:E87)</f>
        <v>1.6831267005420268E-3</v>
      </c>
      <c r="H85" s="3" t="str">
        <f>'30N2'!A85</f>
        <v>8_T0_1</v>
      </c>
    </row>
    <row r="86" spans="1:8" x14ac:dyDescent="0.3">
      <c r="B86" s="2">
        <f>Data!D65</f>
        <v>2.3917199999999998E-10</v>
      </c>
      <c r="C86" s="2">
        <f>Data!E65</f>
        <v>0</v>
      </c>
      <c r="D86" s="2">
        <f t="shared" si="8"/>
        <v>-1.7323606162071021E-12</v>
      </c>
      <c r="E86" s="3">
        <f t="shared" si="9"/>
        <v>-3.8081238682630643</v>
      </c>
      <c r="H86" s="3"/>
    </row>
    <row r="87" spans="1:8" x14ac:dyDescent="0.3">
      <c r="B87" s="2">
        <f>Data!D66</f>
        <v>2.3899119999999999E-10</v>
      </c>
      <c r="C87" s="2">
        <f>Data!E66</f>
        <v>0</v>
      </c>
      <c r="D87" s="2">
        <f t="shared" si="8"/>
        <v>-1.7310180372967316E-12</v>
      </c>
      <c r="E87" s="3">
        <f t="shared" si="9"/>
        <v>-3.8051725735119728</v>
      </c>
      <c r="H87" s="3"/>
    </row>
    <row r="88" spans="1:8" x14ac:dyDescent="0.3">
      <c r="A88" t="str">
        <f>'30N2'!A88</f>
        <v>9_T0_1</v>
      </c>
      <c r="B88" s="2">
        <f>Data!D67</f>
        <v>2.3864340000000001E-10</v>
      </c>
      <c r="C88" s="2">
        <f>Data!E67</f>
        <v>0</v>
      </c>
      <c r="D88" s="2">
        <f t="shared" si="8"/>
        <v>-1.7284353550786628E-12</v>
      </c>
      <c r="E88" s="3">
        <f t="shared" si="9"/>
        <v>-3.7994952487640234</v>
      </c>
      <c r="F88" s="21">
        <f>AVERAGE(E88:E90)</f>
        <v>-3.7986393515214965</v>
      </c>
      <c r="G88">
        <f>STDEV(E88:E90)</f>
        <v>1.3030089099930887E-3</v>
      </c>
      <c r="H88" s="3" t="str">
        <f>'30N2'!A88</f>
        <v>9_T0_1</v>
      </c>
    </row>
    <row r="89" spans="1:8" x14ac:dyDescent="0.3">
      <c r="B89" s="2">
        <f>Data!D68</f>
        <v>2.3849909999999998E-10</v>
      </c>
      <c r="C89" s="2">
        <f>Data!E68</f>
        <v>0</v>
      </c>
      <c r="D89" s="2">
        <f t="shared" si="8"/>
        <v>-1.7273638167115915E-12</v>
      </c>
      <c r="E89" s="3">
        <f t="shared" si="9"/>
        <v>-3.7971397629643415</v>
      </c>
      <c r="H89" s="3"/>
    </row>
    <row r="90" spans="1:8" x14ac:dyDescent="0.3">
      <c r="B90" s="2">
        <f>Data!D69</f>
        <v>2.3863040000000001E-10</v>
      </c>
      <c r="C90" s="2">
        <f>Data!E69</f>
        <v>0</v>
      </c>
      <c r="D90" s="2">
        <f t="shared" si="8"/>
        <v>-1.7283388200906384E-12</v>
      </c>
      <c r="E90" s="3">
        <f t="shared" si="9"/>
        <v>-3.7992830428361244</v>
      </c>
      <c r="H90" s="3"/>
    </row>
    <row r="91" spans="1:8" x14ac:dyDescent="0.3">
      <c r="A91" t="str">
        <f>'30N2'!A91</f>
        <v>Calibrate_20C</v>
      </c>
      <c r="B91" s="2">
        <f>Data!D70</f>
        <v>2.7093799999999998E-10</v>
      </c>
      <c r="C91" s="2">
        <f>Data!E70</f>
        <v>0</v>
      </c>
      <c r="D91" s="2">
        <f t="shared" si="8"/>
        <v>-1.9682475723289502E-12</v>
      </c>
      <c r="E91" s="3">
        <f t="shared" si="9"/>
        <v>-4.3266572148513029</v>
      </c>
      <c r="F91" s="21">
        <f>AVERAGE(E91:E93)</f>
        <v>-4.3261511853309287</v>
      </c>
      <c r="G91">
        <f>STDEV(E91:E93)</f>
        <v>3.0676409379676744E-3</v>
      </c>
      <c r="H91" s="3" t="str">
        <f>'30N2'!A91</f>
        <v>Calibrate_20C</v>
      </c>
    </row>
    <row r="92" spans="1:8" x14ac:dyDescent="0.3">
      <c r="B92" s="2">
        <f>Data!D71</f>
        <v>2.7107749999999999E-10</v>
      </c>
      <c r="C92" s="2">
        <f>Data!E71</f>
        <v>0</v>
      </c>
      <c r="D92" s="2">
        <f t="shared" si="8"/>
        <v>-1.9692834670081358E-12</v>
      </c>
      <c r="E92" s="3">
        <f t="shared" si="9"/>
        <v>-4.3289343476929911</v>
      </c>
      <c r="H92" s="3"/>
    </row>
    <row r="93" spans="1:8" x14ac:dyDescent="0.3">
      <c r="B93" s="2">
        <f>Data!D72</f>
        <v>2.707055E-10</v>
      </c>
      <c r="C93" s="2">
        <f>Data!E72</f>
        <v>0</v>
      </c>
      <c r="D93" s="2">
        <f t="shared" si="8"/>
        <v>-1.9665210811969752E-12</v>
      </c>
      <c r="E93" s="3">
        <f t="shared" si="9"/>
        <v>-4.3228619934484902</v>
      </c>
      <c r="H93" s="3"/>
    </row>
    <row r="94" spans="1:8" x14ac:dyDescent="0.3">
      <c r="A94" t="str">
        <f>'30N2'!A94</f>
        <v>Calibrate_30C</v>
      </c>
      <c r="B94" s="2">
        <f>Data!D73</f>
        <v>2.2861440000000001E-10</v>
      </c>
      <c r="C94" s="2">
        <f>Data!E73</f>
        <v>0</v>
      </c>
      <c r="D94" s="2">
        <f t="shared" si="8"/>
        <v>-1.6539623247019703E-12</v>
      </c>
      <c r="E94" s="3">
        <f t="shared" si="9"/>
        <v>-3.6357865371562208</v>
      </c>
      <c r="F94" s="21">
        <f>AVERAGE(E94:E96)</f>
        <v>-3.6356205812382481</v>
      </c>
      <c r="G94">
        <f>STDEV(E94:E96)</f>
        <v>2.8321368809622555E-4</v>
      </c>
      <c r="H94" s="3" t="str">
        <f>'30N2'!A94</f>
        <v>Calibrate_30C</v>
      </c>
    </row>
    <row r="95" spans="1:8" x14ac:dyDescent="0.3">
      <c r="B95" s="2">
        <f>Data!D74</f>
        <v>2.285842E-10</v>
      </c>
      <c r="C95" s="2">
        <f>Data!E74</f>
        <v>0</v>
      </c>
      <c r="D95" s="2">
        <f t="shared" si="8"/>
        <v>-1.6537380664990211E-12</v>
      </c>
      <c r="E95" s="3">
        <f t="shared" si="9"/>
        <v>-3.6352935664621779</v>
      </c>
      <c r="H95" s="3"/>
    </row>
    <row r="96" spans="1:8" x14ac:dyDescent="0.3">
      <c r="B96" s="2">
        <f>Data!D75</f>
        <v>2.2861409999999999E-10</v>
      </c>
      <c r="C96" s="2">
        <f>Data!E75</f>
        <v>0</v>
      </c>
      <c r="D96" s="2">
        <f t="shared" si="8"/>
        <v>-1.6539600969714771E-12</v>
      </c>
      <c r="E96" s="3">
        <f t="shared" si="9"/>
        <v>-3.6357816400963459</v>
      </c>
      <c r="H96" s="3"/>
    </row>
    <row r="97" spans="1:8" x14ac:dyDescent="0.3">
      <c r="A97" t="str">
        <f>'30N2'!A97</f>
        <v>11_T0_1</v>
      </c>
      <c r="B97" s="2">
        <f>Data!D82</f>
        <v>2.3719909999999999E-10</v>
      </c>
      <c r="C97" s="2">
        <f>Data!E82</f>
        <v>0</v>
      </c>
      <c r="D97" s="2">
        <f t="shared" si="8"/>
        <v>-1.7177103179091486E-12</v>
      </c>
      <c r="E97" s="3">
        <f t="shared" si="9"/>
        <v>-3.7759191701744181</v>
      </c>
      <c r="F97" s="21">
        <f>AVERAGE(E97:E99)</f>
        <v>-3.7761776261122439</v>
      </c>
      <c r="G97">
        <f>STDEV(E97:E99)</f>
        <v>5.9162918058602789E-4</v>
      </c>
      <c r="H97" s="3" t="str">
        <f>'30N2'!A97</f>
        <v>11_T0_1</v>
      </c>
    </row>
    <row r="98" spans="1:8" x14ac:dyDescent="0.3">
      <c r="B98" s="2">
        <f>Data!D83</f>
        <v>2.3725640000000001E-10</v>
      </c>
      <c r="C98" s="2">
        <f>Data!E83</f>
        <v>0</v>
      </c>
      <c r="D98" s="2">
        <f t="shared" si="8"/>
        <v>-1.7181358144332871E-12</v>
      </c>
      <c r="E98" s="3">
        <f t="shared" si="9"/>
        <v>-3.7768545086104663</v>
      </c>
      <c r="H98" s="3"/>
    </row>
    <row r="99" spans="1:8" x14ac:dyDescent="0.3">
      <c r="B99" s="2">
        <f>Data!D84</f>
        <v>2.3718930000000002E-10</v>
      </c>
      <c r="C99" s="2">
        <f>Data!E84</f>
        <v>0</v>
      </c>
      <c r="D99" s="2">
        <f t="shared" si="8"/>
        <v>-1.717637545379715E-12</v>
      </c>
      <c r="E99" s="3">
        <f t="shared" si="9"/>
        <v>-3.7757591995518482</v>
      </c>
      <c r="H99" s="3"/>
    </row>
    <row r="100" spans="1:8" x14ac:dyDescent="0.3">
      <c r="A100" t="str">
        <f>'30N2'!A100</f>
        <v>Calibrate_20C</v>
      </c>
      <c r="B100" s="2">
        <f>Data!D85</f>
        <v>2.658879E-10</v>
      </c>
      <c r="C100" s="2">
        <f>Data!E85</f>
        <v>0</v>
      </c>
      <c r="D100" s="2">
        <f t="shared" si="8"/>
        <v>-1.9307466997887835E-12</v>
      </c>
      <c r="E100" s="3">
        <f t="shared" si="9"/>
        <v>-4.2442217412756165</v>
      </c>
      <c r="F100" s="21">
        <f>AVERAGE(E100:E102)</f>
        <v>-4.2441167265471949</v>
      </c>
      <c r="G100">
        <f>STDEV(E100:E102)</f>
        <v>8.7721993584108501E-4</v>
      </c>
      <c r="H100" s="3" t="str">
        <f>'30N2'!A100</f>
        <v>Calibrate_20C</v>
      </c>
    </row>
    <row r="101" spans="1:8" x14ac:dyDescent="0.3">
      <c r="B101" s="2">
        <f>Data!D86</f>
        <v>2.6593170000000001E-10</v>
      </c>
      <c r="C101" s="2">
        <f>Data!E86</f>
        <v>0</v>
      </c>
      <c r="D101" s="2">
        <f t="shared" si="8"/>
        <v>-1.9310719484407428E-12</v>
      </c>
      <c r="E101" s="3">
        <f t="shared" si="9"/>
        <v>-4.2449367120173083</v>
      </c>
      <c r="H101" s="3"/>
    </row>
    <row r="102" spans="1:8" x14ac:dyDescent="0.3">
      <c r="B102" s="2">
        <f>Data!D87</f>
        <v>2.658248E-10</v>
      </c>
      <c r="C102" s="2">
        <f>Data!E87</f>
        <v>0</v>
      </c>
      <c r="D102" s="2">
        <f t="shared" si="8"/>
        <v>-1.9302781338084495E-12</v>
      </c>
      <c r="E102" s="3">
        <f t="shared" si="9"/>
        <v>-4.2431917263486589</v>
      </c>
      <c r="H102" s="3"/>
    </row>
    <row r="103" spans="1:8" x14ac:dyDescent="0.3">
      <c r="A103" t="str">
        <f>'30N2'!A103</f>
        <v>Calibrate_30C</v>
      </c>
      <c r="B103" s="2">
        <f>Data!D88</f>
        <v>2.2579969999999999E-10</v>
      </c>
      <c r="C103" s="2">
        <f>Data!E88</f>
        <v>0</v>
      </c>
      <c r="D103" s="2">
        <f t="shared" ref="D103:D139" si="10">C103-(B103*H$22+H$21)</f>
        <v>-1.6330610146410192E-12</v>
      </c>
      <c r="E103" s="3">
        <f t="shared" ref="E103:E139" si="11">A$1*D103/A$2</f>
        <v>-3.5898406890594532</v>
      </c>
      <c r="F103" s="21">
        <f>AVERAGE(E103:E105)</f>
        <v>-3.5903015568054291</v>
      </c>
      <c r="G103">
        <f>STDEV(E103:E105)</f>
        <v>5.77272535016668E-4</v>
      </c>
      <c r="H103" s="3" t="str">
        <f>'30N2'!A103</f>
        <v>Calibrate_30C</v>
      </c>
    </row>
    <row r="104" spans="1:8" x14ac:dyDescent="0.3">
      <c r="B104" s="2">
        <f>Data!D89</f>
        <v>2.258676E-10</v>
      </c>
      <c r="C104" s="2">
        <f>Data!E89</f>
        <v>0</v>
      </c>
      <c r="D104" s="2">
        <f t="shared" si="10"/>
        <v>-1.6335652243092391E-12</v>
      </c>
      <c r="E104" s="3">
        <f t="shared" si="11"/>
        <v>-3.5909490569444036</v>
      </c>
      <c r="H104" s="3"/>
    </row>
    <row r="105" spans="1:8" x14ac:dyDescent="0.3">
      <c r="B105" s="2">
        <f>Data!D90</f>
        <v>2.258165E-10</v>
      </c>
      <c r="C105" s="2">
        <f>Data!E90</f>
        <v>0</v>
      </c>
      <c r="D105" s="2">
        <f t="shared" si="10"/>
        <v>-1.6331857675486201E-12</v>
      </c>
      <c r="E105" s="3">
        <f t="shared" si="11"/>
        <v>-3.5901149244124309</v>
      </c>
      <c r="H105" s="3"/>
    </row>
    <row r="106" spans="1:8" x14ac:dyDescent="0.3">
      <c r="A106" t="str">
        <f>'30N2'!A106</f>
        <v>12_T0_1</v>
      </c>
      <c r="B106" s="2">
        <f>Data!D91</f>
        <v>2.2989039999999999E-10</v>
      </c>
      <c r="C106" s="2">
        <f>Data!E91</f>
        <v>0</v>
      </c>
      <c r="D106" s="2">
        <f t="shared" si="10"/>
        <v>-1.6634376050649833E-12</v>
      </c>
      <c r="E106" s="3">
        <f t="shared" si="11"/>
        <v>-3.6566153651561759</v>
      </c>
      <c r="F106" s="21">
        <f>AVERAGE(E106:E108)</f>
        <v>-3.6594888510670374</v>
      </c>
      <c r="G106">
        <f>STDEV(E106:E108)</f>
        <v>2.744127330618332E-3</v>
      </c>
      <c r="H106" s="3" t="str">
        <f>'30N2'!A106</f>
        <v>12_T0_1</v>
      </c>
    </row>
    <row r="107" spans="1:8" x14ac:dyDescent="0.3">
      <c r="B107" s="2">
        <f>Data!D92</f>
        <v>2.3008360000000001E-10</v>
      </c>
      <c r="C107" s="2">
        <f>Data!E92</f>
        <v>0</v>
      </c>
      <c r="D107" s="2">
        <f t="shared" si="10"/>
        <v>-1.6648722635023927E-12</v>
      </c>
      <c r="E107" s="3">
        <f t="shared" si="11"/>
        <v>-3.6597690717154179</v>
      </c>
      <c r="H107" s="3"/>
    </row>
    <row r="108" spans="1:8" x14ac:dyDescent="0.3">
      <c r="B108" s="2">
        <f>Data!D93</f>
        <v>2.3022529999999999E-10</v>
      </c>
      <c r="C108" s="2">
        <f>Data!E93</f>
        <v>0</v>
      </c>
      <c r="D108" s="2">
        <f t="shared" si="10"/>
        <v>-1.6659244948718589E-12</v>
      </c>
      <c r="E108" s="3">
        <f t="shared" si="11"/>
        <v>-3.6620821163295192</v>
      </c>
      <c r="H108" s="3"/>
    </row>
    <row r="109" spans="1:8" x14ac:dyDescent="0.3">
      <c r="A109" t="str">
        <f>'30N2'!A109</f>
        <v>grassesIN_T1_1</v>
      </c>
      <c r="B109" s="2">
        <f>Data!D94</f>
        <v>2.2442859999999999E-10</v>
      </c>
      <c r="C109" s="2">
        <f>Data!E94</f>
        <v>0</v>
      </c>
      <c r="D109" s="2">
        <f t="shared" si="10"/>
        <v>-1.6228795437117657E-12</v>
      </c>
      <c r="E109" s="3">
        <f t="shared" si="11"/>
        <v>-3.5674594930792498</v>
      </c>
      <c r="F109" s="21">
        <f>AVERAGE(E109:E111)</f>
        <v>-3.5671264930077768</v>
      </c>
      <c r="G109">
        <f>STDEV(E109:E111)</f>
        <v>4.5047036134529913E-4</v>
      </c>
      <c r="H109" s="3" t="str">
        <f>'30N2'!A109</f>
        <v>grassesIN_T1_1</v>
      </c>
    </row>
    <row r="110" spans="1:8" x14ac:dyDescent="0.3">
      <c r="B110" s="2">
        <f>Data!D95</f>
        <v>2.2441919999999999E-10</v>
      </c>
      <c r="C110" s="2">
        <f>Data!E95</f>
        <v>0</v>
      </c>
      <c r="D110" s="2">
        <f t="shared" si="10"/>
        <v>-1.6228097414896558E-12</v>
      </c>
      <c r="E110" s="3">
        <f t="shared" si="11"/>
        <v>-3.5673060518698461</v>
      </c>
      <c r="H110" s="3"/>
    </row>
    <row r="111" spans="1:8" x14ac:dyDescent="0.3">
      <c r="B111" s="2">
        <f>Data!D96</f>
        <v>2.2437679999999999E-10</v>
      </c>
      <c r="C111" s="2">
        <f>Data!E96</f>
        <v>0</v>
      </c>
      <c r="D111" s="2">
        <f t="shared" si="10"/>
        <v>-1.6224948889133298E-12</v>
      </c>
      <c r="E111" s="3">
        <f t="shared" si="11"/>
        <v>-3.566613934074236</v>
      </c>
      <c r="H111" s="3"/>
    </row>
    <row r="112" spans="1:8" x14ac:dyDescent="0.3">
      <c r="A112" t="str">
        <f>'30N2'!A112</f>
        <v>1_T1_1</v>
      </c>
      <c r="B112" s="2">
        <f>Data!D97</f>
        <v>2.2347579999999999E-10</v>
      </c>
      <c r="C112" s="2">
        <f>Data!E97</f>
        <v>0</v>
      </c>
      <c r="D112" s="2">
        <f t="shared" si="10"/>
        <v>-1.6158042716664061E-12</v>
      </c>
      <c r="E112" s="3">
        <f t="shared" si="11"/>
        <v>-3.5519064309175277</v>
      </c>
      <c r="F112" s="21">
        <f>AVERAGE(E112:E114)</f>
        <v>-3.5511185483954812</v>
      </c>
      <c r="G112">
        <f>STDEV(E112:E114)</f>
        <v>7.2009972370649358E-4</v>
      </c>
      <c r="H112" s="3" t="str">
        <f>'30N2'!A112</f>
        <v>1_T1_1</v>
      </c>
    </row>
    <row r="113" spans="1:8" x14ac:dyDescent="0.3">
      <c r="B113" s="2">
        <f>Data!D98</f>
        <v>2.233893E-10</v>
      </c>
      <c r="C113" s="2">
        <f>Data!E98</f>
        <v>0</v>
      </c>
      <c r="D113" s="2">
        <f t="shared" si="10"/>
        <v>-1.6151619427076281E-12</v>
      </c>
      <c r="E113" s="3">
        <f t="shared" si="11"/>
        <v>-3.5504944453203522</v>
      </c>
      <c r="H113" s="3"/>
    </row>
    <row r="114" spans="1:8" x14ac:dyDescent="0.3">
      <c r="B114" s="2">
        <f>Data!D99</f>
        <v>2.2341749999999999E-10</v>
      </c>
      <c r="C114" s="2">
        <f>Data!E99</f>
        <v>0</v>
      </c>
      <c r="D114" s="2">
        <f t="shared" si="10"/>
        <v>-1.615371349373958E-12</v>
      </c>
      <c r="E114" s="3">
        <f t="shared" si="11"/>
        <v>-3.5509547689485639</v>
      </c>
      <c r="H114" s="3"/>
    </row>
    <row r="115" spans="1:8" x14ac:dyDescent="0.3">
      <c r="A115" t="str">
        <f>'30N2'!A115</f>
        <v>Calibrate_20C</v>
      </c>
      <c r="B115" s="2">
        <f>Data!D100</f>
        <v>2.623071E-10</v>
      </c>
      <c r="C115" s="2">
        <f>Data!E100</f>
        <v>0</v>
      </c>
      <c r="D115" s="2">
        <f t="shared" si="10"/>
        <v>-1.90415650862587E-12</v>
      </c>
      <c r="E115" s="3">
        <f t="shared" si="11"/>
        <v>-4.1857704346124178</v>
      </c>
      <c r="F115" s="21">
        <f>AVERAGE(E115:E117)</f>
        <v>-4.1868233024854566</v>
      </c>
      <c r="G115">
        <f>STDEV(E115:E117)</f>
        <v>9.4021140706739318E-4</v>
      </c>
      <c r="H115" s="3" t="str">
        <f>'30N2'!A115</f>
        <v>Calibrate_20C</v>
      </c>
    </row>
    <row r="116" spans="1:8" x14ac:dyDescent="0.3">
      <c r="B116" s="2">
        <f>Data!D101</f>
        <v>2.623898E-10</v>
      </c>
      <c r="C116" s="2">
        <f>Data!E101</f>
        <v>0</v>
      </c>
      <c r="D116" s="2">
        <f t="shared" si="10"/>
        <v>-1.9047706196650713E-12</v>
      </c>
      <c r="E116" s="3">
        <f t="shared" si="11"/>
        <v>-4.1871203907845151</v>
      </c>
      <c r="H116" s="3"/>
    </row>
    <row r="117" spans="1:8" x14ac:dyDescent="0.3">
      <c r="B117" s="2">
        <f>Data!D102</f>
        <v>2.6241790000000001E-10</v>
      </c>
      <c r="C117" s="2">
        <f>Data!E102</f>
        <v>0</v>
      </c>
      <c r="D117" s="2">
        <f t="shared" si="10"/>
        <v>-1.9049792837545704E-12</v>
      </c>
      <c r="E117" s="3">
        <f t="shared" si="11"/>
        <v>-4.1875790820594361</v>
      </c>
      <c r="H117" s="3"/>
    </row>
    <row r="118" spans="1:8" x14ac:dyDescent="0.3">
      <c r="A118" t="str">
        <f>'30N2'!A118</f>
        <v>Calibrate_30C</v>
      </c>
      <c r="B118" s="2">
        <f>Data!D103</f>
        <v>2.200062E-10</v>
      </c>
      <c r="C118" s="2">
        <f>Data!E103</f>
        <v>0</v>
      </c>
      <c r="D118" s="2">
        <f t="shared" si="10"/>
        <v>-1.5900398259395167E-12</v>
      </c>
      <c r="E118" s="3">
        <f t="shared" si="11"/>
        <v>-3.495270301114513</v>
      </c>
      <c r="F118" s="21">
        <f>AVERAGE(E118:E120)</f>
        <v>-3.4942859920797193</v>
      </c>
      <c r="G118">
        <f>STDEV(E118:E120)</f>
        <v>1.9501375742065671E-3</v>
      </c>
      <c r="H118" s="3" t="str">
        <f>'30N2'!A118</f>
        <v>Calibrate_30C</v>
      </c>
    </row>
    <row r="119" spans="1:8" x14ac:dyDescent="0.3">
      <c r="B119" s="2">
        <f>Data!D104</f>
        <v>2.2002319999999999E-10</v>
      </c>
      <c r="C119" s="2">
        <f>Data!E104</f>
        <v>0</v>
      </c>
      <c r="D119" s="2">
        <f t="shared" si="10"/>
        <v>-1.5901660640007795E-12</v>
      </c>
      <c r="E119" s="3">
        <f t="shared" si="11"/>
        <v>-3.4955478011740739</v>
      </c>
      <c r="H119" s="3"/>
    </row>
    <row r="120" spans="1:8" x14ac:dyDescent="0.3">
      <c r="B120" s="2">
        <f>Data!D105</f>
        <v>2.1980829999999999E-10</v>
      </c>
      <c r="C120" s="2">
        <f>Data!E105</f>
        <v>0</v>
      </c>
      <c r="D120" s="2">
        <f t="shared" si="10"/>
        <v>-1.5885702663910525E-12</v>
      </c>
      <c r="E120" s="3">
        <f t="shared" si="11"/>
        <v>-3.4920398739505703</v>
      </c>
      <c r="H120" s="3"/>
    </row>
    <row r="121" spans="1:8" x14ac:dyDescent="0.3">
      <c r="A121" t="str">
        <f>'30N2'!A121</f>
        <v>2_T1_1</v>
      </c>
      <c r="B121" s="2">
        <f>Data!D106</f>
        <v>2.2526860000000001E-10</v>
      </c>
      <c r="C121" s="2">
        <f>Data!E106</f>
        <v>0</v>
      </c>
      <c r="D121" s="2">
        <f t="shared" si="10"/>
        <v>-1.6291171890918059E-12</v>
      </c>
      <c r="E121" s="3">
        <f t="shared" si="11"/>
        <v>-3.5811712607281239</v>
      </c>
      <c r="F121" s="21">
        <f>AVERAGE(E121:E123)</f>
        <v>-3.5817458490867438</v>
      </c>
      <c r="G121">
        <f>STDEV(E121:E123)</f>
        <v>8.724298436749232E-4</v>
      </c>
      <c r="H121" s="3" t="str">
        <f>'30N2'!A121</f>
        <v>2_T1_1</v>
      </c>
    </row>
    <row r="122" spans="1:8" x14ac:dyDescent="0.3">
      <c r="B122" s="2">
        <f>Data!D107</f>
        <v>2.252775E-10</v>
      </c>
      <c r="C122" s="2">
        <f>Data!E107</f>
        <v>0</v>
      </c>
      <c r="D122" s="2">
        <f t="shared" si="10"/>
        <v>-1.629183278429761E-12</v>
      </c>
      <c r="E122" s="3">
        <f t="shared" si="11"/>
        <v>-3.5813165401710703</v>
      </c>
      <c r="H122" s="3"/>
    </row>
    <row r="123" spans="1:8" x14ac:dyDescent="0.3">
      <c r="B123" s="2">
        <f>Data!D108</f>
        <v>2.2536529999999999E-10</v>
      </c>
      <c r="C123" s="2">
        <f>Data!E108</f>
        <v>0</v>
      </c>
      <c r="D123" s="2">
        <f t="shared" si="10"/>
        <v>-1.6298352608873415E-12</v>
      </c>
      <c r="E123" s="3">
        <f t="shared" si="11"/>
        <v>-3.5827497463610358</v>
      </c>
      <c r="H123" s="3"/>
    </row>
    <row r="124" spans="1:8" x14ac:dyDescent="0.3">
      <c r="A124" t="str">
        <f>'30N2'!A124</f>
        <v>3_T1_1</v>
      </c>
      <c r="B124" s="2">
        <f>Data!D109</f>
        <v>2.3480670000000002E-10</v>
      </c>
      <c r="C124" s="2">
        <f>Data!E109</f>
        <v>0</v>
      </c>
      <c r="D124" s="2">
        <f t="shared" si="10"/>
        <v>-1.69994490980533E-12</v>
      </c>
      <c r="E124" s="3">
        <f t="shared" si="11"/>
        <v>-3.7368667500277932</v>
      </c>
      <c r="F124" s="21">
        <f>AVERAGE(E124:E126)</f>
        <v>-3.7361501469328098</v>
      </c>
      <c r="G124">
        <f>STDEV(E124:E126)</f>
        <v>8.1591706031252146E-4</v>
      </c>
      <c r="H124" s="3" t="str">
        <f>'30N2'!A124</f>
        <v>3_T1_1</v>
      </c>
    </row>
    <row r="125" spans="1:8" x14ac:dyDescent="0.3">
      <c r="B125" s="2">
        <f>Data!D110</f>
        <v>2.3477330000000003E-10</v>
      </c>
      <c r="C125" s="2">
        <f>Data!E110</f>
        <v>0</v>
      </c>
      <c r="D125" s="2">
        <f t="shared" si="10"/>
        <v>-1.6996968891437904E-12</v>
      </c>
      <c r="E125" s="3">
        <f t="shared" si="11"/>
        <v>-3.7363215440284212</v>
      </c>
      <c r="H125" s="3"/>
    </row>
    <row r="126" spans="1:8" x14ac:dyDescent="0.3">
      <c r="B126" s="2">
        <f>Data!D111</f>
        <v>2.3470840000000002E-10</v>
      </c>
      <c r="C126" s="2">
        <f>Data!E111</f>
        <v>0</v>
      </c>
      <c r="D126" s="2">
        <f t="shared" si="10"/>
        <v>-1.6992149567804991E-12</v>
      </c>
      <c r="E126" s="3">
        <f t="shared" si="11"/>
        <v>-3.7352621467422162</v>
      </c>
      <c r="H126" s="3"/>
    </row>
    <row r="127" spans="1:8" x14ac:dyDescent="0.3">
      <c r="A127" t="str">
        <f>'30N2'!A127</f>
        <v>openwaterIN_T1_1</v>
      </c>
      <c r="B127" s="2">
        <f>Data!D112</f>
        <v>2.3615979999999998E-10</v>
      </c>
      <c r="C127" s="2">
        <f>Data!E112</f>
        <v>0</v>
      </c>
      <c r="D127" s="2">
        <f t="shared" si="10"/>
        <v>-1.7099927169050108E-12</v>
      </c>
      <c r="E127" s="3">
        <f t="shared" si="11"/>
        <v>-3.7589541224155196</v>
      </c>
      <c r="F127" s="21">
        <f>AVERAGE(E127:E129)</f>
        <v>-3.7587005635375683</v>
      </c>
      <c r="G127">
        <f>STDEV(E127:E129)</f>
        <v>2.2176787602078629E-4</v>
      </c>
      <c r="H127" s="3" t="str">
        <f>'30N2'!A127</f>
        <v>openwaterIN_T1_1</v>
      </c>
    </row>
    <row r="128" spans="1:8" x14ac:dyDescent="0.3">
      <c r="B128" s="2">
        <f>Data!D113</f>
        <v>2.3613839999999998E-10</v>
      </c>
      <c r="C128" s="2">
        <f>Data!E113</f>
        <v>0</v>
      </c>
      <c r="D128" s="2">
        <f t="shared" si="10"/>
        <v>-1.709833805463186E-12</v>
      </c>
      <c r="E128" s="3">
        <f t="shared" si="11"/>
        <v>-3.758604798811132</v>
      </c>
      <c r="H128" s="3"/>
    </row>
    <row r="129" spans="1:8" x14ac:dyDescent="0.3">
      <c r="B129" s="2">
        <f>Data!D114</f>
        <v>2.3613460000000001E-10</v>
      </c>
      <c r="C129" s="2">
        <f>Data!E114</f>
        <v>0</v>
      </c>
      <c r="D129" s="2">
        <f t="shared" si="10"/>
        <v>-1.7098055875436098E-12</v>
      </c>
      <c r="E129" s="3">
        <f t="shared" si="11"/>
        <v>-3.7585427693860538</v>
      </c>
      <c r="H129" s="3"/>
    </row>
    <row r="130" spans="1:8" x14ac:dyDescent="0.3">
      <c r="A130" t="str">
        <f>'30N2'!A130</f>
        <v>Calibrate_20C</v>
      </c>
      <c r="B130" s="2">
        <f>Data!D115</f>
        <v>2.5771939999999998E-10</v>
      </c>
      <c r="C130" s="2">
        <f>Data!E115</f>
        <v>0</v>
      </c>
      <c r="D130" s="2">
        <f t="shared" si="10"/>
        <v>-1.8700893113520484E-12</v>
      </c>
      <c r="E130" s="3">
        <f t="shared" si="11"/>
        <v>-4.1108829626567776</v>
      </c>
      <c r="F130" s="21">
        <f>AVERAGE(E130:E132)</f>
        <v>-4.1110608891655547</v>
      </c>
      <c r="G130">
        <f>STDEV(E130:E132)</f>
        <v>7.5454107323702881E-4</v>
      </c>
      <c r="H130" s="3" t="str">
        <f>'30N2'!A130</f>
        <v>Calibrate_20C</v>
      </c>
    </row>
    <row r="131" spans="1:8" x14ac:dyDescent="0.3">
      <c r="B131" s="2">
        <f>Data!D116</f>
        <v>2.5769050000000002E-10</v>
      </c>
      <c r="C131" s="2">
        <f>Data!E116</f>
        <v>0</v>
      </c>
      <c r="D131" s="2">
        <f t="shared" si="10"/>
        <v>-1.8698747066479022E-12</v>
      </c>
      <c r="E131" s="3">
        <f t="shared" si="11"/>
        <v>-4.1104112125555252</v>
      </c>
      <c r="H131" s="3"/>
    </row>
    <row r="132" spans="1:8" x14ac:dyDescent="0.3">
      <c r="B132" s="2">
        <f>Data!D117</f>
        <v>2.5778100000000002E-10</v>
      </c>
      <c r="C132" s="2">
        <f>Data!E117</f>
        <v>0</v>
      </c>
      <c r="D132" s="2">
        <f t="shared" si="10"/>
        <v>-1.8705467386799183E-12</v>
      </c>
      <c r="E132" s="3">
        <f t="shared" si="11"/>
        <v>-4.1118884922843613</v>
      </c>
      <c r="H132" s="3"/>
    </row>
    <row r="133" spans="1:8" x14ac:dyDescent="0.3">
      <c r="A133" t="str">
        <f>'30N2'!A133</f>
        <v>Calibrate_30C</v>
      </c>
      <c r="B133" s="2">
        <f>Data!D118</f>
        <v>2.188084E-10</v>
      </c>
      <c r="C133" s="2">
        <f>Data!E118</f>
        <v>0</v>
      </c>
      <c r="D133" s="2">
        <f t="shared" si="10"/>
        <v>-1.581145240658312E-12</v>
      </c>
      <c r="E133" s="3">
        <f t="shared" si="11"/>
        <v>-3.4757179733885359</v>
      </c>
      <c r="F133" s="21">
        <f>AVERAGE(E133:E135)</f>
        <v>-3.4754888998099571</v>
      </c>
      <c r="G133">
        <f>STDEV(E133:E135)</f>
        <v>2.26928421492474E-4</v>
      </c>
      <c r="H133" s="3" t="str">
        <f>'30N2'!A133</f>
        <v>Calibrate_30C</v>
      </c>
    </row>
    <row r="134" spans="1:8" x14ac:dyDescent="0.3">
      <c r="B134" s="2">
        <f>Data!D119</f>
        <v>2.1879409999999999E-10</v>
      </c>
      <c r="C134" s="2">
        <f>Data!E119</f>
        <v>0</v>
      </c>
      <c r="D134" s="2">
        <f t="shared" si="10"/>
        <v>-1.5810390521714852E-12</v>
      </c>
      <c r="E134" s="3">
        <f t="shared" si="11"/>
        <v>-3.4754845468678468</v>
      </c>
      <c r="H134" s="3"/>
    </row>
    <row r="135" spans="1:8" x14ac:dyDescent="0.3">
      <c r="B135" s="2">
        <f>Data!D120</f>
        <v>2.187806E-10</v>
      </c>
      <c r="C135" s="2">
        <f>Data!E120</f>
        <v>0</v>
      </c>
      <c r="D135" s="2">
        <f t="shared" si="10"/>
        <v>-1.580938804299306E-12</v>
      </c>
      <c r="E135" s="3">
        <f t="shared" si="11"/>
        <v>-3.47526417917349</v>
      </c>
      <c r="H135" s="3"/>
    </row>
    <row r="136" spans="1:8" x14ac:dyDescent="0.3">
      <c r="A136" t="str">
        <f>'30N2'!A136</f>
        <v>4_T1_1</v>
      </c>
      <c r="B136" s="2">
        <f>Data!D121</f>
        <v>2.281014E-10</v>
      </c>
      <c r="C136" s="2">
        <f>Data!E121</f>
        <v>0</v>
      </c>
      <c r="D136" s="2">
        <f t="shared" si="10"/>
        <v>-1.6501529055591601E-12</v>
      </c>
      <c r="E136" s="3">
        <f t="shared" si="11"/>
        <v>-3.6274125647706588</v>
      </c>
      <c r="F136" s="21">
        <f>AVERAGE(E136:E138)</f>
        <v>-3.6278304472132903</v>
      </c>
      <c r="G136">
        <f>STDEV(E136:E138)</f>
        <v>3.9057954089919615E-4</v>
      </c>
      <c r="H136" s="3" t="str">
        <f>'30N2'!A136</f>
        <v>4_T1_1</v>
      </c>
    </row>
    <row r="137" spans="1:8" x14ac:dyDescent="0.3">
      <c r="B137" s="2">
        <f>Data!D122</f>
        <v>2.2813079999999999E-10</v>
      </c>
      <c r="C137" s="2">
        <f>Data!E122</f>
        <v>0</v>
      </c>
      <c r="D137" s="2">
        <f t="shared" si="10"/>
        <v>-1.6503712231474612E-12</v>
      </c>
      <c r="E137" s="3">
        <f t="shared" si="11"/>
        <v>-3.6278924766383689</v>
      </c>
      <c r="H137" s="3"/>
    </row>
    <row r="138" spans="1:8" x14ac:dyDescent="0.3">
      <c r="B138" s="2">
        <f>Data!D123</f>
        <v>2.2814879999999999E-10</v>
      </c>
      <c r="C138" s="2">
        <f>Data!E123</f>
        <v>0</v>
      </c>
      <c r="D138" s="2">
        <f t="shared" si="10"/>
        <v>-1.6505048869770335E-12</v>
      </c>
      <c r="E138" s="3">
        <f t="shared" si="11"/>
        <v>-3.628186300230845</v>
      </c>
      <c r="H138" s="3"/>
    </row>
    <row r="139" spans="1:8" x14ac:dyDescent="0.3">
      <c r="A139" t="str">
        <f>'30N2'!A139</f>
        <v>5_T1_1</v>
      </c>
      <c r="B139" s="2">
        <f>Data!D124</f>
        <v>2.3293659999999998E-10</v>
      </c>
      <c r="C139" s="2">
        <f>Data!E124</f>
        <v>0</v>
      </c>
      <c r="D139" s="2">
        <f t="shared" si="10"/>
        <v>-1.6860579804895999E-12</v>
      </c>
      <c r="E139" s="3">
        <f t="shared" si="11"/>
        <v>-3.7063401111228411</v>
      </c>
      <c r="F139" s="21">
        <f>AVERAGE(E139:E141)</f>
        <v>-3.7059913316362176</v>
      </c>
      <c r="G139">
        <f>STDEV(E139:E141)</f>
        <v>5.1495593786362085E-4</v>
      </c>
      <c r="H139" s="3" t="str">
        <f>'30N2'!A139</f>
        <v>5_T1_1</v>
      </c>
    </row>
    <row r="140" spans="1:8" x14ac:dyDescent="0.3">
      <c r="B140" s="2">
        <f>Data!D125</f>
        <v>2.3287900000000002E-10</v>
      </c>
      <c r="C140" s="2">
        <f>Data!E125</f>
        <v>0</v>
      </c>
      <c r="D140" s="2">
        <f t="shared" ref="D140:D203" si="12">C140-(B140*H$22+H$21)</f>
        <v>-1.6856302562349689E-12</v>
      </c>
      <c r="E140" s="3">
        <f t="shared" ref="E140:E203" si="13">A$1*D140/A$2</f>
        <v>-3.7053998756269193</v>
      </c>
      <c r="H140" s="3"/>
    </row>
    <row r="141" spans="1:8" x14ac:dyDescent="0.3">
      <c r="B141" s="2">
        <f>Data!D126</f>
        <v>2.3293010000000002E-10</v>
      </c>
      <c r="C141" s="2">
        <f>Data!E126</f>
        <v>0</v>
      </c>
      <c r="D141" s="2">
        <f t="shared" si="12"/>
        <v>-1.6860097129955881E-12</v>
      </c>
      <c r="E141" s="3">
        <f t="shared" si="13"/>
        <v>-3.7062340081588925</v>
      </c>
      <c r="H141" s="3"/>
    </row>
    <row r="142" spans="1:8" x14ac:dyDescent="0.3">
      <c r="A142" t="str">
        <f>'30N2'!A142</f>
        <v>6_T1_1</v>
      </c>
      <c r="B142" s="2">
        <f>Data!D127</f>
        <v>2.374458E-10</v>
      </c>
      <c r="C142" s="2">
        <f>Data!E127</f>
        <v>0</v>
      </c>
      <c r="D142" s="2">
        <f t="shared" si="12"/>
        <v>-1.7195422549511199E-12</v>
      </c>
      <c r="E142" s="3">
        <f t="shared" si="13"/>
        <v>-3.7799461857446288</v>
      </c>
      <c r="F142" s="21">
        <f>AVERAGE(E142:E144)</f>
        <v>-3.7799929798723197</v>
      </c>
      <c r="G142">
        <f>STDEV(E142:E144)</f>
        <v>2.0003044881817568E-4</v>
      </c>
      <c r="H142" s="3" t="str">
        <f>'30N2'!A142</f>
        <v>6_T1_1</v>
      </c>
    </row>
    <row r="143" spans="1:8" x14ac:dyDescent="0.3">
      <c r="B143" s="2">
        <f>Data!D128</f>
        <v>2.3743810000000002E-10</v>
      </c>
      <c r="C143" s="2">
        <f>Data!E128</f>
        <v>0</v>
      </c>
      <c r="D143" s="2">
        <f t="shared" si="12"/>
        <v>-1.7194850765351363E-12</v>
      </c>
      <c r="E143" s="3">
        <f t="shared" si="13"/>
        <v>-3.7798204945411813</v>
      </c>
      <c r="H143" s="3"/>
    </row>
    <row r="144" spans="1:8" x14ac:dyDescent="0.3">
      <c r="B144" s="2">
        <f>Data!D129</f>
        <v>2.3746210000000002E-10</v>
      </c>
      <c r="C144" s="2">
        <f>Data!E129</f>
        <v>0</v>
      </c>
      <c r="D144" s="2">
        <f t="shared" si="12"/>
        <v>-1.719663294974566E-12</v>
      </c>
      <c r="E144" s="3">
        <f t="shared" si="13"/>
        <v>-3.7802122593311491</v>
      </c>
      <c r="H144" s="3"/>
    </row>
    <row r="145" spans="1:8" x14ac:dyDescent="0.3">
      <c r="A145" t="str">
        <f>'30N2'!A145</f>
        <v>Calibrate_20C</v>
      </c>
      <c r="B145" s="2">
        <f>Data!D130</f>
        <v>2.5610619999999999E-10</v>
      </c>
      <c r="C145" s="2">
        <f>Data!E130</f>
        <v>0</v>
      </c>
      <c r="D145" s="2">
        <f t="shared" si="12"/>
        <v>-1.8581100619150477E-12</v>
      </c>
      <c r="E145" s="3">
        <f t="shared" si="13"/>
        <v>-4.0845498393577735</v>
      </c>
      <c r="F145" s="21">
        <f>AVERAGE(E145:E147)</f>
        <v>-4.0838228980252786</v>
      </c>
      <c r="G145">
        <f>STDEV(E145:E147)</f>
        <v>6.419743408357108E-4</v>
      </c>
      <c r="H145" s="3" t="str">
        <f>'30N2'!A145</f>
        <v>Calibrate_20C</v>
      </c>
    </row>
    <row r="146" spans="1:8" x14ac:dyDescent="0.3">
      <c r="B146" s="2">
        <f>Data!D131</f>
        <v>2.5603170000000002E-10</v>
      </c>
      <c r="C146" s="2">
        <f>Data!E131</f>
        <v>0</v>
      </c>
      <c r="D146" s="2">
        <f t="shared" si="12"/>
        <v>-1.8575568421759852E-12</v>
      </c>
      <c r="E146" s="3">
        <f t="shared" si="13"/>
        <v>-4.0833337361555833</v>
      </c>
      <c r="H146" s="3"/>
    </row>
    <row r="147" spans="1:8" x14ac:dyDescent="0.3">
      <c r="B147" s="2">
        <f>Data!D132</f>
        <v>2.5604710000000002E-10</v>
      </c>
      <c r="C147" s="2">
        <f>Data!E132</f>
        <v>0</v>
      </c>
      <c r="D147" s="2">
        <f t="shared" si="12"/>
        <v>-1.8576711990079523E-12</v>
      </c>
      <c r="E147" s="3">
        <f t="shared" si="13"/>
        <v>-4.0835851185624783</v>
      </c>
      <c r="H147" s="3"/>
    </row>
    <row r="148" spans="1:8" x14ac:dyDescent="0.3">
      <c r="A148" t="str">
        <f>'30N2'!A148</f>
        <v>Calibrate_30C</v>
      </c>
      <c r="B148" s="2">
        <f>Data!D133</f>
        <v>2.1598739999999999E-10</v>
      </c>
      <c r="C148" s="2">
        <f>Data!E133</f>
        <v>0</v>
      </c>
      <c r="D148" s="2">
        <f t="shared" si="12"/>
        <v>-1.5601971482570108E-12</v>
      </c>
      <c r="E148" s="3">
        <f t="shared" si="13"/>
        <v>-3.4296692870344021</v>
      </c>
      <c r="F148" s="21">
        <f>AVERAGE(E148:E150)</f>
        <v>-3.4289543162927103</v>
      </c>
      <c r="G148">
        <f>STDEV(E148:E150)</f>
        <v>1.1656282708323738E-3</v>
      </c>
      <c r="H148" s="3" t="str">
        <f>'30N2'!A148</f>
        <v>Calibrate_30C</v>
      </c>
    </row>
    <row r="149" spans="1:8" x14ac:dyDescent="0.3">
      <c r="B149" s="2">
        <f>Data!D134</f>
        <v>2.1598219999999999E-10</v>
      </c>
      <c r="C149" s="2">
        <f>Data!E134</f>
        <v>0</v>
      </c>
      <c r="D149" s="2">
        <f t="shared" si="12"/>
        <v>-1.560158534261801E-12</v>
      </c>
      <c r="E149" s="3">
        <f t="shared" si="13"/>
        <v>-3.4295844046632422</v>
      </c>
      <c r="H149" s="3"/>
    </row>
    <row r="150" spans="1:8" x14ac:dyDescent="0.3">
      <c r="B150" s="2">
        <f>Data!D135</f>
        <v>2.1586120000000001E-10</v>
      </c>
      <c r="C150" s="2">
        <f>Data!E135</f>
        <v>0</v>
      </c>
      <c r="D150" s="2">
        <f t="shared" si="12"/>
        <v>-1.559260016296343E-12</v>
      </c>
      <c r="E150" s="3">
        <f t="shared" si="13"/>
        <v>-3.4276092571804879</v>
      </c>
      <c r="H150" s="3"/>
    </row>
    <row r="151" spans="1:8" x14ac:dyDescent="0.3">
      <c r="A151" t="str">
        <f>'30N2'!A151</f>
        <v>8_T1_1</v>
      </c>
      <c r="B151" s="2">
        <f>Data!D142</f>
        <v>2.263479E-10</v>
      </c>
      <c r="C151" s="2">
        <f>Data!E142</f>
        <v>0</v>
      </c>
      <c r="D151" s="2">
        <f t="shared" si="12"/>
        <v>-1.6371318208283264E-12</v>
      </c>
      <c r="E151" s="3">
        <f t="shared" si="13"/>
        <v>-3.5987892498036347</v>
      </c>
      <c r="F151" s="21">
        <f>AVERAGE(E151:E153)</f>
        <v>-3.5995357793756289</v>
      </c>
      <c r="G151">
        <f>STDEV(E151:E153)</f>
        <v>6.5206197430180515E-4</v>
      </c>
      <c r="H151" s="3" t="str">
        <f>'30N2'!A151</f>
        <v>8_T1_1</v>
      </c>
    </row>
    <row r="152" spans="1:8" x14ac:dyDescent="0.3">
      <c r="B152" s="2">
        <f>Data!D143</f>
        <v>2.264217E-10</v>
      </c>
      <c r="C152" s="2">
        <f>Data!E143</f>
        <v>0</v>
      </c>
      <c r="D152" s="2">
        <f t="shared" si="12"/>
        <v>-1.6376798425295728E-12</v>
      </c>
      <c r="E152" s="3">
        <f t="shared" si="13"/>
        <v>-3.599993926532786</v>
      </c>
      <c r="H152" s="3"/>
    </row>
    <row r="153" spans="1:8" x14ac:dyDescent="0.3">
      <c r="B153" s="2">
        <f>Data!D144</f>
        <v>2.264113E-10</v>
      </c>
      <c r="C153" s="2">
        <f>Data!E144</f>
        <v>0</v>
      </c>
      <c r="D153" s="2">
        <f t="shared" si="12"/>
        <v>-1.6376026145391532E-12</v>
      </c>
      <c r="E153" s="3">
        <f t="shared" si="13"/>
        <v>-3.5998241617904667</v>
      </c>
      <c r="H153" s="3"/>
    </row>
    <row r="154" spans="1:8" x14ac:dyDescent="0.3">
      <c r="A154" t="str">
        <f>'30N2'!A154</f>
        <v>Calibrate_20C</v>
      </c>
      <c r="B154" s="2">
        <f>Data!D145</f>
        <v>2.5013469999999999E-10</v>
      </c>
      <c r="C154" s="2">
        <f>Data!E145</f>
        <v>0</v>
      </c>
      <c r="D154" s="2">
        <f t="shared" si="12"/>
        <v>-1.8137670864544419E-12</v>
      </c>
      <c r="E154" s="3">
        <f t="shared" si="13"/>
        <v>-3.9870738625539066</v>
      </c>
      <c r="F154" s="21">
        <f>AVERAGE(E154:E156)</f>
        <v>-3.9862114358982139</v>
      </c>
      <c r="G154">
        <f>STDEV(E154:E156)</f>
        <v>9.4883732439671295E-4</v>
      </c>
      <c r="H154" s="3" t="str">
        <f>'30N2'!A154</f>
        <v>Calibrate_20C</v>
      </c>
    </row>
    <row r="155" spans="1:8" x14ac:dyDescent="0.3">
      <c r="B155" s="2">
        <f>Data!D146</f>
        <v>2.5009130000000001E-10</v>
      </c>
      <c r="C155" s="2">
        <f>Data!E146</f>
        <v>0</v>
      </c>
      <c r="D155" s="2">
        <f t="shared" si="12"/>
        <v>-1.8134448081098063E-12</v>
      </c>
      <c r="E155" s="3">
        <f t="shared" si="13"/>
        <v>-3.9863654212253814</v>
      </c>
      <c r="H155" s="3"/>
    </row>
    <row r="156" spans="1:8" x14ac:dyDescent="0.3">
      <c r="B156" s="2">
        <f>Data!D147</f>
        <v>2.5001960000000001E-10</v>
      </c>
      <c r="C156" s="2">
        <f>Data!E147</f>
        <v>0</v>
      </c>
      <c r="D156" s="2">
        <f t="shared" si="12"/>
        <v>-1.8129123805220101E-12</v>
      </c>
      <c r="E156" s="3">
        <f t="shared" si="13"/>
        <v>-3.9851950239153524</v>
      </c>
      <c r="H156" s="3"/>
    </row>
    <row r="157" spans="1:8" x14ac:dyDescent="0.3">
      <c r="A157" t="str">
        <f>'30N2'!A157</f>
        <v>Calibrate_30C</v>
      </c>
      <c r="B157" s="2">
        <f>Data!D148</f>
        <v>2.1341649999999999E-10</v>
      </c>
      <c r="C157" s="2">
        <f>Data!E148</f>
        <v>0</v>
      </c>
      <c r="D157" s="2">
        <f t="shared" si="12"/>
        <v>-1.5411062405099335E-12</v>
      </c>
      <c r="E157" s="3">
        <f t="shared" si="13"/>
        <v>-3.387703116262391</v>
      </c>
      <c r="F157" s="21">
        <f>AVERAGE(E157:E159)</f>
        <v>-3.387480027979215</v>
      </c>
      <c r="G157">
        <f>STDEV(E157:E159)</f>
        <v>5.8920793945116195E-4</v>
      </c>
      <c r="H157" s="3" t="str">
        <f>'30N2'!A157</f>
        <v>Calibrate_30C</v>
      </c>
    </row>
    <row r="158" spans="1:8" x14ac:dyDescent="0.3">
      <c r="B158" s="2">
        <f>Data!D149</f>
        <v>2.1343010000000001E-10</v>
      </c>
      <c r="C158" s="2">
        <f>Data!E149</f>
        <v>0</v>
      </c>
      <c r="D158" s="2">
        <f t="shared" si="12"/>
        <v>-1.5412072309589438E-12</v>
      </c>
      <c r="E158" s="3">
        <f t="shared" si="13"/>
        <v>-3.3879251163100399</v>
      </c>
      <c r="H158" s="3"/>
    </row>
    <row r="159" spans="1:8" x14ac:dyDescent="0.3">
      <c r="B159" s="2">
        <f>Data!D150</f>
        <v>2.1336190000000001E-10</v>
      </c>
      <c r="C159" s="2">
        <f>Data!E150</f>
        <v>0</v>
      </c>
      <c r="D159" s="2">
        <f t="shared" si="12"/>
        <v>-1.5407007935602309E-12</v>
      </c>
      <c r="E159" s="3">
        <f t="shared" si="13"/>
        <v>-3.3868118513652141</v>
      </c>
      <c r="H159" s="3"/>
    </row>
    <row r="160" spans="1:8" x14ac:dyDescent="0.3">
      <c r="A160" t="str">
        <f>'30N2'!A160</f>
        <v>9_T1_1</v>
      </c>
      <c r="B160" s="2">
        <f>Data!D151</f>
        <v>2.1544350000000001E-10</v>
      </c>
      <c r="C160" s="2">
        <f>Data!E151</f>
        <v>0</v>
      </c>
      <c r="D160" s="2">
        <f t="shared" si="12"/>
        <v>-1.5561582728734349E-12</v>
      </c>
      <c r="E160" s="3">
        <f t="shared" si="13"/>
        <v>-3.4207909174817561</v>
      </c>
      <c r="F160" s="21">
        <f>AVERAGE(E160:E162)</f>
        <v>-3.4213295940679624</v>
      </c>
      <c r="G160">
        <f>STDEV(E160:E162)</f>
        <v>8.1580928360046692E-4</v>
      </c>
      <c r="H160" s="3" t="str">
        <f>'30N2'!A160</f>
        <v>9_T1_1</v>
      </c>
    </row>
    <row r="161" spans="1:8" x14ac:dyDescent="0.3">
      <c r="B161" s="2">
        <f>Data!D152</f>
        <v>2.1545200000000001E-10</v>
      </c>
      <c r="C161" s="2">
        <f>Data!E152</f>
        <v>0</v>
      </c>
      <c r="D161" s="2">
        <f t="shared" si="12"/>
        <v>-1.5562213919040663E-12</v>
      </c>
      <c r="E161" s="3">
        <f t="shared" si="13"/>
        <v>-3.4209296675115368</v>
      </c>
      <c r="H161" s="3"/>
    </row>
    <row r="162" spans="1:8" x14ac:dyDescent="0.3">
      <c r="B162" s="2">
        <f>Data!D153</f>
        <v>2.1553400000000001E-10</v>
      </c>
      <c r="C162" s="2">
        <f>Data!E153</f>
        <v>0</v>
      </c>
      <c r="D162" s="2">
        <f t="shared" si="12"/>
        <v>-1.5568303049054512E-12</v>
      </c>
      <c r="E162" s="3">
        <f t="shared" si="13"/>
        <v>-3.4222681972105931</v>
      </c>
      <c r="H162" s="3"/>
    </row>
    <row r="163" spans="1:8" x14ac:dyDescent="0.3">
      <c r="A163" t="str">
        <f>'30N2'!A163</f>
        <v>typhaIN_T1_1</v>
      </c>
      <c r="B163" s="2">
        <f>Data!D154</f>
        <v>2.259191E-10</v>
      </c>
      <c r="C163" s="2">
        <f>Data!E154</f>
        <v>0</v>
      </c>
      <c r="D163" s="2">
        <f t="shared" si="12"/>
        <v>-1.6339476513771822E-12</v>
      </c>
      <c r="E163" s="3">
        <f t="shared" si="13"/>
        <v>-3.5917897188895433</v>
      </c>
      <c r="F163" s="21">
        <f>AVERAGE(E163:E165)</f>
        <v>-3.591194454055898</v>
      </c>
      <c r="G163">
        <f>STDEV(E163:E165)</f>
        <v>5.3302104970920697E-4</v>
      </c>
      <c r="H163" s="3" t="str">
        <f>'30N2'!A163</f>
        <v>typhaIN_T1_1</v>
      </c>
    </row>
    <row r="164" spans="1:8" x14ac:dyDescent="0.3">
      <c r="B164" s="2">
        <f>Data!D155</f>
        <v>2.258727E-10</v>
      </c>
      <c r="C164" s="2">
        <f>Data!E155</f>
        <v>0</v>
      </c>
      <c r="D164" s="2">
        <f t="shared" si="12"/>
        <v>-1.633603095727618E-12</v>
      </c>
      <c r="E164" s="3">
        <f t="shared" si="13"/>
        <v>-3.5910323069622723</v>
      </c>
      <c r="H164" s="3"/>
    </row>
    <row r="165" spans="1:8" x14ac:dyDescent="0.3">
      <c r="B165" s="2">
        <f>Data!D156</f>
        <v>2.2585610000000001E-10</v>
      </c>
      <c r="C165" s="2">
        <f>Data!E156</f>
        <v>0</v>
      </c>
      <c r="D165" s="2">
        <f t="shared" si="12"/>
        <v>-1.6334798279736791E-12</v>
      </c>
      <c r="E165" s="3">
        <f t="shared" si="13"/>
        <v>-3.5907613363158779</v>
      </c>
      <c r="H165" s="3"/>
    </row>
    <row r="166" spans="1:8" x14ac:dyDescent="0.3">
      <c r="A166" t="str">
        <f>'30N2'!A166</f>
        <v>10_T1_1</v>
      </c>
      <c r="B166" s="2">
        <f>Data!D157</f>
        <v>2.2358299999999999E-10</v>
      </c>
      <c r="C166" s="2">
        <f>Data!E157</f>
        <v>0</v>
      </c>
      <c r="D166" s="2">
        <f t="shared" si="12"/>
        <v>-1.616600314029192E-12</v>
      </c>
      <c r="E166" s="3">
        <f t="shared" si="13"/>
        <v>-3.5536563136460502</v>
      </c>
      <c r="F166" s="21">
        <f>AVERAGE(E166:E168)</f>
        <v>-3.5552266375125048</v>
      </c>
      <c r="G166">
        <f>STDEV(E166:E168)</f>
        <v>1.3730594800996211E-3</v>
      </c>
      <c r="H166" s="3" t="str">
        <f>'30N2'!A166</f>
        <v>10_T1_1</v>
      </c>
    </row>
    <row r="167" spans="1:8" x14ac:dyDescent="0.3">
      <c r="B167" s="2">
        <f>Data!D158</f>
        <v>2.237157E-10</v>
      </c>
      <c r="C167" s="2">
        <f>Data!E158</f>
        <v>0</v>
      </c>
      <c r="D167" s="2">
        <f t="shared" si="12"/>
        <v>-1.6175857134838723E-12</v>
      </c>
      <c r="E167" s="3">
        <f t="shared" si="13"/>
        <v>-3.5558224464639143</v>
      </c>
      <c r="H167" s="3"/>
    </row>
    <row r="168" spans="1:8" x14ac:dyDescent="0.3">
      <c r="B168" s="2">
        <f>Data!D159</f>
        <v>2.2373890000000001E-10</v>
      </c>
      <c r="C168" s="2">
        <f>Data!E159</f>
        <v>0</v>
      </c>
      <c r="D168" s="2">
        <f t="shared" si="12"/>
        <v>-1.6177579913086544E-12</v>
      </c>
      <c r="E168" s="3">
        <f t="shared" si="13"/>
        <v>-3.5562011524275503</v>
      </c>
      <c r="H168" s="3"/>
    </row>
    <row r="169" spans="1:8" x14ac:dyDescent="0.3">
      <c r="A169" t="str">
        <f>'30N2'!A169</f>
        <v>Calibrate_20C</v>
      </c>
      <c r="B169" s="2">
        <f>Data!D160</f>
        <v>2.5024020000000002E-10</v>
      </c>
      <c r="C169" s="2">
        <f>Data!E160</f>
        <v>0</v>
      </c>
      <c r="D169" s="2">
        <f t="shared" si="12"/>
        <v>-1.8145505050111018E-12</v>
      </c>
      <c r="E169" s="3">
        <f t="shared" si="13"/>
        <v>-3.9887959952764742</v>
      </c>
      <c r="F169" s="21">
        <f>AVERAGE(E169:E171)</f>
        <v>-3.9890092894399003</v>
      </c>
      <c r="G169">
        <f>STDEV(E169:E171)</f>
        <v>4.8692672766013543E-4</v>
      </c>
      <c r="H169" s="3" t="str">
        <f>'30N2'!A169</f>
        <v>Calibrate_20C</v>
      </c>
    </row>
    <row r="170" spans="1:8" x14ac:dyDescent="0.3">
      <c r="B170" s="2">
        <f>Data!D161</f>
        <v>2.502322E-10</v>
      </c>
      <c r="C170" s="2">
        <f>Data!E161</f>
        <v>0</v>
      </c>
      <c r="D170" s="2">
        <f t="shared" si="12"/>
        <v>-1.8144910988646248E-12</v>
      </c>
      <c r="E170" s="3">
        <f t="shared" si="13"/>
        <v>-3.9886654070131504</v>
      </c>
      <c r="H170" s="3"/>
    </row>
    <row r="171" spans="1:8" x14ac:dyDescent="0.3">
      <c r="B171" s="2">
        <f>Data!D162</f>
        <v>2.5028740000000002E-10</v>
      </c>
      <c r="C171" s="2">
        <f>Data!E162</f>
        <v>0</v>
      </c>
      <c r="D171" s="2">
        <f t="shared" si="12"/>
        <v>-1.8149010012753134E-12</v>
      </c>
      <c r="E171" s="3">
        <f t="shared" si="13"/>
        <v>-3.9895664660300767</v>
      </c>
      <c r="H171" s="3"/>
    </row>
    <row r="172" spans="1:8" x14ac:dyDescent="0.3">
      <c r="A172" t="str">
        <f>'30N2'!A172</f>
        <v>Calibrate_30C</v>
      </c>
      <c r="B172" s="2">
        <f>Data!D163</f>
        <v>2.1318919999999999E-10</v>
      </c>
      <c r="C172" s="2">
        <f>Data!E163</f>
        <v>0</v>
      </c>
      <c r="D172" s="2">
        <f t="shared" si="12"/>
        <v>-1.5394183633731679E-12</v>
      </c>
      <c r="E172" s="3">
        <f t="shared" si="13"/>
        <v>-3.3839927772307377</v>
      </c>
      <c r="F172" s="21">
        <f>AVERAGE(E172:E174)</f>
        <v>-3.3814631737466261</v>
      </c>
      <c r="G172">
        <f>STDEV(E172:E174)</f>
        <v>2.2589117611361881E-3</v>
      </c>
      <c r="H172" s="3" t="str">
        <f>'30N2'!A172</f>
        <v>Calibrate_30C</v>
      </c>
    </row>
    <row r="173" spans="1:8" x14ac:dyDescent="0.3">
      <c r="B173" s="2">
        <f>Data!D164</f>
        <v>2.1299050000000001E-10</v>
      </c>
      <c r="C173" s="2">
        <f>Data!E164</f>
        <v>0</v>
      </c>
      <c r="D173" s="2">
        <f t="shared" si="12"/>
        <v>-1.537942863210056E-12</v>
      </c>
      <c r="E173" s="3">
        <f t="shared" si="13"/>
        <v>-3.3807492912404622</v>
      </c>
      <c r="H173" s="3"/>
    </row>
    <row r="174" spans="1:8" x14ac:dyDescent="0.3">
      <c r="B174" s="2">
        <f>Data!D165</f>
        <v>2.12923E-10</v>
      </c>
      <c r="C174" s="2">
        <f>Data!E165</f>
        <v>0</v>
      </c>
      <c r="D174" s="2">
        <f t="shared" si="12"/>
        <v>-1.5374416238491598E-12</v>
      </c>
      <c r="E174" s="3">
        <f t="shared" si="13"/>
        <v>-3.3796474527686775</v>
      </c>
      <c r="H174" s="3"/>
    </row>
    <row r="175" spans="1:8" x14ac:dyDescent="0.3">
      <c r="A175" t="str">
        <f>'30N2'!A175</f>
        <v>11_T1_1</v>
      </c>
      <c r="B175" s="2">
        <f>Data!D166</f>
        <v>2.2200349999999999E-10</v>
      </c>
      <c r="C175" s="2">
        <f>Data!E166</f>
        <v>0</v>
      </c>
      <c r="D175" s="2">
        <f t="shared" si="12"/>
        <v>-1.6048713129842239E-12</v>
      </c>
      <c r="E175" s="3">
        <f t="shared" si="13"/>
        <v>-3.5278732934062935</v>
      </c>
      <c r="F175" s="21">
        <f>AVERAGE(E175:E177)</f>
        <v>-3.5290181171814221</v>
      </c>
      <c r="G175">
        <f>STDEV(E175:E177)</f>
        <v>1.0511865142099151E-3</v>
      </c>
      <c r="H175" s="3" t="str">
        <f>'30N2'!A175</f>
        <v>11_T1_1</v>
      </c>
    </row>
    <row r="176" spans="1:8" x14ac:dyDescent="0.3">
      <c r="B176" s="2">
        <f>Data!D167</f>
        <v>2.220873E-10</v>
      </c>
      <c r="C176" s="2">
        <f>Data!E167</f>
        <v>0</v>
      </c>
      <c r="D176" s="2">
        <f t="shared" si="12"/>
        <v>-1.6054935923685661E-12</v>
      </c>
      <c r="E176" s="3">
        <f t="shared" si="13"/>
        <v>-3.5292412054645981</v>
      </c>
      <c r="H176" s="3"/>
    </row>
    <row r="177" spans="1:8" x14ac:dyDescent="0.3">
      <c r="B177" s="2">
        <f>Data!D168</f>
        <v>2.2213009999999999E-10</v>
      </c>
      <c r="C177" s="2">
        <f>Data!E168</f>
        <v>0</v>
      </c>
      <c r="D177" s="2">
        <f t="shared" si="12"/>
        <v>-1.6058114152522157E-12</v>
      </c>
      <c r="E177" s="3">
        <f t="shared" si="13"/>
        <v>-3.5299398526733738</v>
      </c>
      <c r="H177" s="3"/>
    </row>
    <row r="178" spans="1:8" x14ac:dyDescent="0.3">
      <c r="A178" t="str">
        <f>'30N2'!A178</f>
        <v>12_T1_1</v>
      </c>
      <c r="B178" s="2">
        <f>Data!D169</f>
        <v>2.2308419999999999E-10</v>
      </c>
      <c r="C178" s="2">
        <f>Data!E169</f>
        <v>0</v>
      </c>
      <c r="D178" s="2">
        <f t="shared" si="12"/>
        <v>-1.6128963407963778E-12</v>
      </c>
      <c r="E178" s="3">
        <f t="shared" si="13"/>
        <v>-3.5455141354278861</v>
      </c>
      <c r="F178" s="21">
        <f>AVERAGE(E178:E180)</f>
        <v>-3.5473075475775162</v>
      </c>
      <c r="G178">
        <f>STDEV(E178:E180)</f>
        <v>1.8782069586629133E-3</v>
      </c>
      <c r="H178" s="3" t="str">
        <f>'30N2'!A178</f>
        <v>12_T1_1</v>
      </c>
    </row>
    <row r="179" spans="1:8" x14ac:dyDescent="0.3">
      <c r="B179" s="2">
        <f>Data!D170</f>
        <v>2.231843E-10</v>
      </c>
      <c r="C179" s="2">
        <f>Data!E170</f>
        <v>0</v>
      </c>
      <c r="D179" s="2">
        <f t="shared" si="12"/>
        <v>-1.6136396602041661E-12</v>
      </c>
      <c r="E179" s="3">
        <f t="shared" si="13"/>
        <v>-3.5471481210727105</v>
      </c>
      <c r="H179" s="3"/>
    </row>
    <row r="180" spans="1:8" x14ac:dyDescent="0.3">
      <c r="B180" s="2">
        <f>Data!D171</f>
        <v>2.2331369999999999E-10</v>
      </c>
      <c r="C180" s="2">
        <f>Data!E171</f>
        <v>0</v>
      </c>
      <c r="D180" s="2">
        <f t="shared" si="12"/>
        <v>-1.6146005546234244E-12</v>
      </c>
      <c r="E180" s="3">
        <f t="shared" si="13"/>
        <v>-3.5492603862319534</v>
      </c>
      <c r="H180" s="3"/>
    </row>
    <row r="181" spans="1:8" x14ac:dyDescent="0.3">
      <c r="A181" t="str">
        <f>'30N2'!A181</f>
        <v>grassesIN_T2_1</v>
      </c>
      <c r="B181" s="2">
        <f>Data!D172</f>
        <v>2.2434100000000001E-10</v>
      </c>
      <c r="C181" s="2">
        <f>Data!E172</f>
        <v>0</v>
      </c>
      <c r="D181" s="2">
        <f t="shared" si="12"/>
        <v>-1.6222290464078473E-12</v>
      </c>
      <c r="E181" s="3">
        <f t="shared" si="13"/>
        <v>-3.5660295515958675</v>
      </c>
      <c r="F181" s="21">
        <f>AVERAGE(E181:E183)</f>
        <v>-3.5657324632968082</v>
      </c>
      <c r="G181">
        <f>STDEV(E181:E183)</f>
        <v>6.0729685399378607E-4</v>
      </c>
      <c r="H181" s="3" t="str">
        <f>'30N2'!A181</f>
        <v>grassesIN_T2_1</v>
      </c>
    </row>
    <row r="182" spans="1:8" x14ac:dyDescent="0.3">
      <c r="B182" s="2">
        <f>Data!D173</f>
        <v>2.243474E-10</v>
      </c>
      <c r="C182" s="2">
        <f>Data!E173</f>
        <v>0</v>
      </c>
      <c r="D182" s="2">
        <f t="shared" si="12"/>
        <v>-1.6222765713250287E-12</v>
      </c>
      <c r="E182" s="3">
        <f t="shared" si="13"/>
        <v>-3.5661340222065254</v>
      </c>
      <c r="H182" s="3"/>
    </row>
    <row r="183" spans="1:8" x14ac:dyDescent="0.3">
      <c r="B183" s="2">
        <f>Data!D174</f>
        <v>2.2428E-10</v>
      </c>
      <c r="C183" s="2">
        <f>Data!E174</f>
        <v>0</v>
      </c>
      <c r="D183" s="2">
        <f t="shared" si="12"/>
        <v>-1.6217760745409634E-12</v>
      </c>
      <c r="E183" s="3">
        <f t="shared" si="13"/>
        <v>-3.5650338160880324</v>
      </c>
      <c r="H183" s="3"/>
    </row>
    <row r="184" spans="1:8" x14ac:dyDescent="0.3">
      <c r="A184" t="str">
        <f>'30N2'!A184</f>
        <v>Calibrate_20C</v>
      </c>
      <c r="B184" s="2">
        <f>Data!D175</f>
        <v>2.442816E-10</v>
      </c>
      <c r="C184" s="2">
        <f>Data!E175</f>
        <v>0</v>
      </c>
      <c r="D184" s="2">
        <f t="shared" si="12"/>
        <v>-1.7703033219616888E-12</v>
      </c>
      <c r="E184" s="3">
        <f t="shared" si="13"/>
        <v>-3.891530592047213</v>
      </c>
      <c r="F184" s="21">
        <f>AVERAGE(E184:E186)</f>
        <v>-3.8897382681331103</v>
      </c>
      <c r="G184">
        <f>STDEV(E184:E186)</f>
        <v>1.5538588679124409E-3</v>
      </c>
      <c r="H184" s="3" t="str">
        <f>'30N2'!A184</f>
        <v>Calibrate_20C</v>
      </c>
    </row>
    <row r="185" spans="1:8" x14ac:dyDescent="0.3">
      <c r="B185" s="2">
        <f>Data!D176</f>
        <v>2.4411250000000002E-10</v>
      </c>
      <c r="C185" s="2">
        <f>Data!E176</f>
        <v>0</v>
      </c>
      <c r="D185" s="2">
        <f t="shared" si="12"/>
        <v>-1.7690476245405404E-12</v>
      </c>
      <c r="E185" s="3">
        <f t="shared" si="13"/>
        <v>-3.8887702826312318</v>
      </c>
      <c r="H185" s="3"/>
    </row>
    <row r="186" spans="1:8" x14ac:dyDescent="0.3">
      <c r="B186" s="2">
        <f>Data!D177</f>
        <v>2.4412129999999998E-10</v>
      </c>
      <c r="C186" s="2">
        <f>Data!E177</f>
        <v>0</v>
      </c>
      <c r="D186" s="2">
        <f t="shared" si="12"/>
        <v>-1.7691129713016644E-12</v>
      </c>
      <c r="E186" s="3">
        <f t="shared" si="13"/>
        <v>-3.8889139297208857</v>
      </c>
      <c r="H186" s="3"/>
    </row>
    <row r="187" spans="1:8" x14ac:dyDescent="0.3">
      <c r="A187" t="str">
        <f>'30N2'!A187</f>
        <v>Calibrate_30C</v>
      </c>
      <c r="B187" s="2">
        <f>Data!D178</f>
        <v>2.067794E-10</v>
      </c>
      <c r="C187" s="2">
        <f>Data!E178</f>
        <v>0</v>
      </c>
      <c r="D187" s="2">
        <f t="shared" si="12"/>
        <v>-1.4918206736624764E-12</v>
      </c>
      <c r="E187" s="3">
        <f t="shared" si="13"/>
        <v>-3.2793621959500823</v>
      </c>
      <c r="F187" s="21">
        <f>AVERAGE(E187:E189)</f>
        <v>-3.2782228133525924</v>
      </c>
      <c r="G187">
        <f>STDEV(E187:E189)</f>
        <v>1.0388284035401996E-3</v>
      </c>
      <c r="H187" s="3" t="str">
        <f>'30N2'!A187</f>
        <v>Calibrate_30C</v>
      </c>
    </row>
    <row r="188" spans="1:8" x14ac:dyDescent="0.3">
      <c r="B188" s="2">
        <f>Data!D179</f>
        <v>2.0665480000000001E-10</v>
      </c>
      <c r="C188" s="2">
        <f>Data!E179</f>
        <v>0</v>
      </c>
      <c r="D188" s="2">
        <f t="shared" si="12"/>
        <v>-1.490895422931104E-12</v>
      </c>
      <c r="E188" s="3">
        <f t="shared" si="13"/>
        <v>-3.2773282837488327</v>
      </c>
      <c r="H188" s="3"/>
    </row>
    <row r="189" spans="1:8" x14ac:dyDescent="0.3">
      <c r="B189" s="2">
        <f>Data!D180</f>
        <v>2.0669460000000001E-10</v>
      </c>
      <c r="C189" s="2">
        <f>Data!E180</f>
        <v>0</v>
      </c>
      <c r="D189" s="2">
        <f t="shared" si="12"/>
        <v>-1.4911909685098248E-12</v>
      </c>
      <c r="E189" s="3">
        <f t="shared" si="13"/>
        <v>-3.2779779603588626</v>
      </c>
      <c r="H189" s="3"/>
    </row>
    <row r="190" spans="1:8" x14ac:dyDescent="0.3">
      <c r="A190" t="str">
        <f>'30N2'!A190</f>
        <v>1_T2_1</v>
      </c>
      <c r="B190" s="2">
        <f>Data!D181</f>
        <v>2.1030160000000001E-10</v>
      </c>
      <c r="C190" s="2">
        <f>Data!E181</f>
        <v>0</v>
      </c>
      <c r="D190" s="2">
        <f t="shared" si="12"/>
        <v>-1.5179757148024493E-12</v>
      </c>
      <c r="E190" s="3">
        <f t="shared" si="13"/>
        <v>-3.3368569435844426</v>
      </c>
      <c r="F190" s="21">
        <f>AVERAGE(E190:E192)</f>
        <v>-3.3377019584716927</v>
      </c>
      <c r="G190">
        <f>STDEV(E190:E192)</f>
        <v>8.0570539887609425E-4</v>
      </c>
      <c r="H190" s="3" t="str">
        <f>'30N2'!A190</f>
        <v>1_T2_1</v>
      </c>
    </row>
    <row r="191" spans="1:8" x14ac:dyDescent="0.3">
      <c r="B191" s="2">
        <f>Data!D182</f>
        <v>2.103586E-10</v>
      </c>
      <c r="C191" s="2">
        <f>Data!E182</f>
        <v>0</v>
      </c>
      <c r="D191" s="2">
        <f t="shared" si="12"/>
        <v>-1.5183989835960947E-12</v>
      </c>
      <c r="E191" s="3">
        <f t="shared" si="13"/>
        <v>-3.3377873849606159</v>
      </c>
      <c r="H191" s="3"/>
    </row>
    <row r="192" spans="1:8" x14ac:dyDescent="0.3">
      <c r="B192" s="2">
        <f>Data!D183</f>
        <v>2.1039990000000001E-10</v>
      </c>
      <c r="C192" s="2">
        <f>Data!E183</f>
        <v>0</v>
      </c>
      <c r="D192" s="2">
        <f t="shared" si="12"/>
        <v>-1.51870566782728E-12</v>
      </c>
      <c r="E192" s="3">
        <f t="shared" si="13"/>
        <v>-3.3384615468700192</v>
      </c>
      <c r="H192" s="3"/>
    </row>
    <row r="193" spans="1:8" x14ac:dyDescent="0.3">
      <c r="A193" t="str">
        <f>'30N2'!A193</f>
        <v>2_T2_1</v>
      </c>
      <c r="B193" s="2">
        <f>Data!D184</f>
        <v>2.3567110000000001E-10</v>
      </c>
      <c r="C193" s="2">
        <f>Data!E184</f>
        <v>0</v>
      </c>
      <c r="D193" s="2">
        <f t="shared" si="12"/>
        <v>-1.7063637439321235E-12</v>
      </c>
      <c r="E193" s="3">
        <f t="shared" si="13"/>
        <v>-3.7509768118798004</v>
      </c>
      <c r="F193" s="21">
        <f>AVERAGE(E193:E195)</f>
        <v>-3.7514213560928606</v>
      </c>
      <c r="G193">
        <f>STDEV(E193:E195)</f>
        <v>5.5218517275702696E-4</v>
      </c>
      <c r="H193" s="3" t="str">
        <f>'30N2'!A193</f>
        <v>2_T2_1</v>
      </c>
    </row>
    <row r="194" spans="1:8" x14ac:dyDescent="0.3">
      <c r="B194" s="2">
        <f>Data!D185</f>
        <v>2.3573619999999998E-10</v>
      </c>
      <c r="C194" s="2">
        <f>Data!E185</f>
        <v>0</v>
      </c>
      <c r="D194" s="2">
        <f t="shared" si="12"/>
        <v>-1.7068471614490764E-12</v>
      </c>
      <c r="E194" s="3">
        <f t="shared" si="13"/>
        <v>-3.7520394738725877</v>
      </c>
      <c r="H194" s="3"/>
    </row>
    <row r="195" spans="1:8" x14ac:dyDescent="0.3">
      <c r="B195" s="2">
        <f>Data!D186</f>
        <v>2.3568769999999998E-10</v>
      </c>
      <c r="C195" s="2">
        <f>Data!E186</f>
        <v>0</v>
      </c>
      <c r="D195" s="2">
        <f t="shared" si="12"/>
        <v>-1.7064870116860622E-12</v>
      </c>
      <c r="E195" s="3">
        <f t="shared" si="13"/>
        <v>-3.7512477825261943</v>
      </c>
      <c r="H195" s="3"/>
    </row>
    <row r="196" spans="1:8" x14ac:dyDescent="0.3">
      <c r="A196" t="str">
        <f>'30N2'!A196</f>
        <v>3_T2_1</v>
      </c>
      <c r="B196" s="2">
        <f>Data!D187</f>
        <v>2.2246490000000001E-10</v>
      </c>
      <c r="C196" s="2">
        <f>Data!E187</f>
        <v>0</v>
      </c>
      <c r="D196" s="2">
        <f t="shared" si="12"/>
        <v>-1.6082975624822604E-12</v>
      </c>
      <c r="E196" s="3">
        <f t="shared" si="13"/>
        <v>-3.535404971493425</v>
      </c>
      <c r="F196" s="21">
        <f>AVERAGE(E196:E198)</f>
        <v>-3.5368387218011548</v>
      </c>
      <c r="G196">
        <f>STDEV(E196:E198)</f>
        <v>1.3480158235138634E-3</v>
      </c>
      <c r="H196" s="3" t="str">
        <f>'30N2'!A196</f>
        <v>3_T2_1</v>
      </c>
    </row>
    <row r="197" spans="1:8" x14ac:dyDescent="0.3">
      <c r="B197" s="2">
        <f>Data!D188</f>
        <v>2.2256449999999999E-10</v>
      </c>
      <c r="C197" s="2">
        <f>Data!E188</f>
        <v>0</v>
      </c>
      <c r="D197" s="2">
        <f t="shared" si="12"/>
        <v>-1.6090371690058934E-12</v>
      </c>
      <c r="E197" s="3">
        <f t="shared" si="13"/>
        <v>-3.5370307953717912</v>
      </c>
      <c r="H197" s="3"/>
    </row>
    <row r="198" spans="1:8" x14ac:dyDescent="0.3">
      <c r="B198" s="2">
        <f>Data!D189</f>
        <v>2.2262879999999999E-10</v>
      </c>
      <c r="C198" s="2">
        <f>Data!E189</f>
        <v>0</v>
      </c>
      <c r="D198" s="2">
        <f t="shared" si="12"/>
        <v>-1.609514645908199E-12</v>
      </c>
      <c r="E198" s="3">
        <f t="shared" si="13"/>
        <v>-3.5380803985382467</v>
      </c>
      <c r="H198" s="3"/>
    </row>
    <row r="199" spans="1:8" x14ac:dyDescent="0.3">
      <c r="A199" t="str">
        <f>'30N2'!A199</f>
        <v>Calibrate_20C</v>
      </c>
      <c r="B199" s="2">
        <f>Data!D190</f>
        <v>2.4528120000000003E-10</v>
      </c>
      <c r="C199" s="2">
        <f>Data!E190</f>
        <v>0</v>
      </c>
      <c r="D199" s="2">
        <f t="shared" si="12"/>
        <v>-1.7777261199639367E-12</v>
      </c>
      <c r="E199" s="3">
        <f t="shared" si="13"/>
        <v>-3.9078475955493737</v>
      </c>
      <c r="F199" s="21">
        <f>AVERAGE(E199:E201)</f>
        <v>-3.9055231244622308</v>
      </c>
      <c r="G199">
        <f>STDEV(E199:E201)</f>
        <v>2.1078990846677679E-3</v>
      </c>
      <c r="H199" s="3" t="str">
        <f>'30N2'!A199</f>
        <v>Calibrate_20C</v>
      </c>
    </row>
    <row r="200" spans="1:8" x14ac:dyDescent="0.3">
      <c r="B200" s="2">
        <f>Data!D191</f>
        <v>2.4510589999999998E-10</v>
      </c>
      <c r="C200" s="2">
        <f>Data!E191</f>
        <v>0</v>
      </c>
      <c r="D200" s="2">
        <f t="shared" si="12"/>
        <v>-1.7764243827792685E-12</v>
      </c>
      <c r="E200" s="3">
        <f t="shared" si="13"/>
        <v>-3.9049860802293157</v>
      </c>
      <c r="H200" s="3"/>
    </row>
    <row r="201" spans="1:8" x14ac:dyDescent="0.3">
      <c r="B201" s="2">
        <f>Data!D192</f>
        <v>2.4502930000000002E-10</v>
      </c>
      <c r="C201" s="2">
        <f>Data!E192</f>
        <v>0</v>
      </c>
      <c r="D201" s="2">
        <f t="shared" si="12"/>
        <v>-1.7758555689267555E-12</v>
      </c>
      <c r="E201" s="3">
        <f t="shared" si="13"/>
        <v>-3.9037356976080027</v>
      </c>
      <c r="H201" s="3"/>
    </row>
    <row r="202" spans="1:8" x14ac:dyDescent="0.3">
      <c r="A202" t="str">
        <f>'30N2'!A202</f>
        <v>Calibrate_30C</v>
      </c>
      <c r="B202" s="2">
        <f>Data!D193</f>
        <v>2.0733670000000001E-10</v>
      </c>
      <c r="C202" s="2">
        <f>Data!E193</f>
        <v>0</v>
      </c>
      <c r="D202" s="2">
        <f t="shared" si="12"/>
        <v>-1.4959590543414008E-12</v>
      </c>
      <c r="E202" s="3">
        <f t="shared" si="13"/>
        <v>-3.2884593008437935</v>
      </c>
      <c r="F202" s="21">
        <f>AVERAGE(E202:E204)</f>
        <v>-3.287597418305864</v>
      </c>
      <c r="G202">
        <f>STDEV(E202:E204)</f>
        <v>8.1081142194927612E-4</v>
      </c>
      <c r="H202" s="3" t="str">
        <f>'30N2'!A202</f>
        <v>Calibrate_30C</v>
      </c>
    </row>
    <row r="203" spans="1:8" x14ac:dyDescent="0.3">
      <c r="B203" s="2">
        <f>Data!D194</f>
        <v>2.072769E-10</v>
      </c>
      <c r="C203" s="2">
        <f>Data!E194</f>
        <v>0</v>
      </c>
      <c r="D203" s="2">
        <f t="shared" si="12"/>
        <v>-1.4955149933964883E-12</v>
      </c>
      <c r="E203" s="3">
        <f t="shared" si="13"/>
        <v>-3.2874831535754567</v>
      </c>
      <c r="H203" s="3"/>
    </row>
    <row r="204" spans="1:8" x14ac:dyDescent="0.3">
      <c r="B204" s="2">
        <f>Data!D195</f>
        <v>2.0723809999999999E-10</v>
      </c>
      <c r="C204" s="2">
        <f>Data!E195</f>
        <v>0</v>
      </c>
      <c r="D204" s="2">
        <f>C204-(B204*H$22+H$21)</f>
        <v>-1.4952268735860768E-12</v>
      </c>
      <c r="E204" s="3">
        <f>A$1*D204/A$2</f>
        <v>-3.286849800498342</v>
      </c>
      <c r="H204" s="3"/>
    </row>
    <row r="205" spans="1:8" x14ac:dyDescent="0.3">
      <c r="B205" s="2"/>
      <c r="C205" s="2"/>
      <c r="D205" s="2"/>
      <c r="E205" s="3"/>
      <c r="F205" s="21"/>
    </row>
    <row r="206" spans="1:8" x14ac:dyDescent="0.3">
      <c r="B206" s="2"/>
      <c r="C206" s="2"/>
      <c r="D206" s="2"/>
      <c r="E206" s="3"/>
    </row>
    <row r="207" spans="1:8" x14ac:dyDescent="0.3">
      <c r="B207" s="2"/>
      <c r="C207" s="2"/>
      <c r="D207" s="2"/>
      <c r="E207" s="3"/>
    </row>
    <row r="208" spans="1:8" x14ac:dyDescent="0.3">
      <c r="B208" s="2"/>
      <c r="C208" s="2"/>
      <c r="D208" s="2"/>
      <c r="E208" s="3"/>
      <c r="F208" s="21"/>
    </row>
    <row r="209" spans="2:6" x14ac:dyDescent="0.3">
      <c r="B209" s="2"/>
      <c r="C209" s="2"/>
      <c r="D209" s="2"/>
      <c r="E209" s="3"/>
    </row>
    <row r="210" spans="2:6" x14ac:dyDescent="0.3">
      <c r="B210" s="2"/>
      <c r="C210" s="2"/>
      <c r="D210" s="2"/>
      <c r="E210" s="3"/>
    </row>
    <row r="211" spans="2:6" x14ac:dyDescent="0.3">
      <c r="B211" s="2"/>
      <c r="C211" s="2"/>
      <c r="D211" s="2"/>
      <c r="E211" s="3"/>
      <c r="F211" s="21"/>
    </row>
    <row r="212" spans="2:6" x14ac:dyDescent="0.3">
      <c r="B212" s="2"/>
      <c r="C212" s="2"/>
      <c r="D212" s="2"/>
      <c r="E212" s="3"/>
    </row>
    <row r="213" spans="2:6" x14ac:dyDescent="0.3">
      <c r="B213" s="2"/>
      <c r="C213" s="2"/>
      <c r="D213" s="2"/>
      <c r="E213" s="3"/>
    </row>
    <row r="214" spans="2:6" x14ac:dyDescent="0.3">
      <c r="B214" s="2"/>
      <c r="C214" s="2"/>
      <c r="D214" s="2"/>
      <c r="E214" s="3"/>
      <c r="F214" s="21"/>
    </row>
    <row r="215" spans="2:6" x14ac:dyDescent="0.3">
      <c r="B215" s="2"/>
      <c r="C215" s="2"/>
      <c r="D215" s="2"/>
      <c r="E215" s="3"/>
    </row>
    <row r="216" spans="2:6" x14ac:dyDescent="0.3">
      <c r="B216" s="2"/>
      <c r="C216" s="2"/>
      <c r="D216" s="2"/>
      <c r="E216" s="3"/>
    </row>
    <row r="217" spans="2:6" x14ac:dyDescent="0.3">
      <c r="B217" s="2"/>
      <c r="C217" s="2"/>
      <c r="D217" s="2"/>
      <c r="E217" s="3"/>
      <c r="F217" s="21"/>
    </row>
    <row r="218" spans="2:6" x14ac:dyDescent="0.3">
      <c r="B218" s="2"/>
      <c r="C218" s="2"/>
      <c r="D218" s="2"/>
      <c r="E218" s="3"/>
    </row>
    <row r="219" spans="2:6" x14ac:dyDescent="0.3">
      <c r="B219" s="2"/>
      <c r="C219" s="2"/>
      <c r="D219" s="2"/>
      <c r="E219" s="3"/>
    </row>
    <row r="220" spans="2:6" x14ac:dyDescent="0.3">
      <c r="B220" s="2"/>
      <c r="C220" s="2"/>
      <c r="D220" s="2"/>
      <c r="E220" s="3"/>
    </row>
    <row r="221" spans="2:6" x14ac:dyDescent="0.3">
      <c r="B221" s="2"/>
      <c r="C221" s="2"/>
      <c r="D221" s="2"/>
      <c r="E221" s="3"/>
    </row>
    <row r="222" spans="2:6" x14ac:dyDescent="0.3">
      <c r="B222" s="2"/>
      <c r="C222" s="2"/>
      <c r="D222" s="2"/>
      <c r="E222" s="3"/>
    </row>
    <row r="223" spans="2:6" x14ac:dyDescent="0.3">
      <c r="B223" s="2"/>
      <c r="C223" s="2"/>
      <c r="D223" s="2"/>
      <c r="E223" s="3"/>
    </row>
    <row r="224" spans="2:6" x14ac:dyDescent="0.3">
      <c r="B224" s="2"/>
      <c r="C224" s="2"/>
      <c r="D224" s="2"/>
      <c r="E224" s="3"/>
    </row>
    <row r="225" spans="2:5" x14ac:dyDescent="0.3">
      <c r="B225" s="2"/>
      <c r="C225" s="2"/>
      <c r="D225" s="2"/>
      <c r="E225" s="3"/>
    </row>
    <row r="226" spans="2:5" x14ac:dyDescent="0.3">
      <c r="B226" s="2"/>
      <c r="C226" s="2"/>
      <c r="D226" s="2"/>
      <c r="E226" s="3"/>
    </row>
    <row r="227" spans="2:5" x14ac:dyDescent="0.3">
      <c r="B227" s="2"/>
      <c r="C227" s="2"/>
      <c r="D227" s="2"/>
      <c r="E227" s="3"/>
    </row>
    <row r="228" spans="2:5" x14ac:dyDescent="0.3">
      <c r="B228" s="2"/>
      <c r="C228" s="2"/>
      <c r="D228" s="2"/>
      <c r="E228" s="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Regs</vt:lpstr>
      <vt:lpstr>28N2-O2</vt:lpstr>
      <vt:lpstr>30N2</vt:lpstr>
      <vt:lpstr>29N2</vt:lpstr>
    </vt:vector>
  </TitlesOfParts>
  <Manager/>
  <Company>UTMSI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Wayne Gardner</dc:creator>
  <cp:keywords/>
  <dc:description/>
  <cp:lastModifiedBy>Mike Back</cp:lastModifiedBy>
  <cp:revision/>
  <dcterms:created xsi:type="dcterms:W3CDTF">2002-01-15T19:09:40Z</dcterms:created>
  <dcterms:modified xsi:type="dcterms:W3CDTF">2022-11-04T22:21:56Z</dcterms:modified>
  <cp:category/>
  <cp:contentStatus/>
</cp:coreProperties>
</file>