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uruturk/University of Michigan Dropbox/Berk Duruturk/Lab Data/Great Lakes Cyanos NSF/Lake Superior/1LS May 2021/MIMS/"/>
    </mc:Choice>
  </mc:AlternateContent>
  <xr:revisionPtr revIDLastSave="0" documentId="13_ncr:1_{2B5DDF8C-CB3B-6F4A-AD65-6B0761518350}" xr6:coauthVersionLast="47" xr6:coauthVersionMax="47" xr10:uidLastSave="{00000000-0000-0000-0000-000000000000}"/>
  <bookViews>
    <workbookView xWindow="0" yWindow="760" windowWidth="20220" windowHeight="17680" activeTab="2" xr2:uid="{00000000-000D-0000-FFFF-FFFF00000000}"/>
  </bookViews>
  <sheets>
    <sheet name="Data" sheetId="1" r:id="rId1"/>
    <sheet name="Regs" sheetId="4" r:id="rId2"/>
    <sheet name="28N2-O2" sheetId="5" r:id="rId3"/>
    <sheet name="30N2" sheetId="6" r:id="rId4"/>
    <sheet name="29N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5" l="1"/>
  <c r="C7" i="5" l="1"/>
  <c r="B7" i="5"/>
  <c r="C222" i="7"/>
  <c r="D222" i="7" s="1"/>
  <c r="E222" i="7" s="1"/>
  <c r="B222" i="7"/>
  <c r="C221" i="7"/>
  <c r="D221" i="7" s="1"/>
  <c r="E221" i="7" s="1"/>
  <c r="B221" i="7"/>
  <c r="C220" i="7"/>
  <c r="D220" i="7" s="1"/>
  <c r="E220" i="7" s="1"/>
  <c r="F220" i="7" s="1"/>
  <c r="B220" i="7"/>
  <c r="A220" i="7"/>
  <c r="C219" i="7"/>
  <c r="D219" i="7" s="1"/>
  <c r="E219" i="7" s="1"/>
  <c r="B219" i="7"/>
  <c r="C218" i="7"/>
  <c r="D218" i="7" s="1"/>
  <c r="E218" i="7" s="1"/>
  <c r="B218" i="7"/>
  <c r="D217" i="7"/>
  <c r="E217" i="7" s="1"/>
  <c r="C217" i="7"/>
  <c r="B217" i="7"/>
  <c r="A217" i="7"/>
  <c r="C216" i="7"/>
  <c r="D216" i="7" s="1"/>
  <c r="E216" i="7" s="1"/>
  <c r="B216" i="7"/>
  <c r="C215" i="7"/>
  <c r="D215" i="7" s="1"/>
  <c r="E215" i="7" s="1"/>
  <c r="B215" i="7"/>
  <c r="C214" i="7"/>
  <c r="D214" i="7" s="1"/>
  <c r="E214" i="7" s="1"/>
  <c r="F214" i="7" s="1"/>
  <c r="B214" i="7"/>
  <c r="A214" i="7"/>
  <c r="C213" i="7"/>
  <c r="D213" i="7" s="1"/>
  <c r="E213" i="7" s="1"/>
  <c r="B213" i="7"/>
  <c r="C212" i="7"/>
  <c r="D212" i="7" s="1"/>
  <c r="E212" i="7" s="1"/>
  <c r="B212" i="7"/>
  <c r="D211" i="7"/>
  <c r="E211" i="7" s="1"/>
  <c r="C211" i="7"/>
  <c r="B211" i="7"/>
  <c r="A211" i="7"/>
  <c r="C210" i="7"/>
  <c r="D210" i="7" s="1"/>
  <c r="E210" i="7" s="1"/>
  <c r="B210" i="7"/>
  <c r="C209" i="7"/>
  <c r="D209" i="7" s="1"/>
  <c r="E209" i="7" s="1"/>
  <c r="B209" i="7"/>
  <c r="C208" i="7"/>
  <c r="D208" i="7" s="1"/>
  <c r="E208" i="7" s="1"/>
  <c r="B208" i="7"/>
  <c r="A208" i="7"/>
  <c r="C207" i="7"/>
  <c r="D207" i="7" s="1"/>
  <c r="E207" i="7" s="1"/>
  <c r="B207" i="7"/>
  <c r="C206" i="7"/>
  <c r="D206" i="7" s="1"/>
  <c r="E206" i="7" s="1"/>
  <c r="B206" i="7"/>
  <c r="D205" i="7"/>
  <c r="E205" i="7" s="1"/>
  <c r="C205" i="7"/>
  <c r="B205" i="7"/>
  <c r="A205" i="7"/>
  <c r="C204" i="7"/>
  <c r="D204" i="7" s="1"/>
  <c r="E204" i="7" s="1"/>
  <c r="B204" i="7"/>
  <c r="C203" i="7"/>
  <c r="D203" i="7" s="1"/>
  <c r="E203" i="7" s="1"/>
  <c r="B203" i="7"/>
  <c r="C202" i="7"/>
  <c r="D202" i="7" s="1"/>
  <c r="E202" i="7" s="1"/>
  <c r="B202" i="7"/>
  <c r="A202" i="7"/>
  <c r="D201" i="7"/>
  <c r="E201" i="7" s="1"/>
  <c r="C201" i="7"/>
  <c r="B201" i="7"/>
  <c r="D200" i="7"/>
  <c r="E200" i="7" s="1"/>
  <c r="C200" i="7"/>
  <c r="B200" i="7"/>
  <c r="D199" i="7"/>
  <c r="E199" i="7" s="1"/>
  <c r="C199" i="7"/>
  <c r="B199" i="7"/>
  <c r="A199" i="7"/>
  <c r="C198" i="7"/>
  <c r="D198" i="7" s="1"/>
  <c r="E198" i="7" s="1"/>
  <c r="B198" i="7"/>
  <c r="C197" i="7"/>
  <c r="D197" i="7" s="1"/>
  <c r="E197" i="7" s="1"/>
  <c r="B197" i="7"/>
  <c r="C196" i="7"/>
  <c r="D196" i="7" s="1"/>
  <c r="E196" i="7" s="1"/>
  <c r="B196" i="7"/>
  <c r="A196" i="7"/>
  <c r="D195" i="7"/>
  <c r="E195" i="7" s="1"/>
  <c r="C195" i="7"/>
  <c r="B195" i="7"/>
  <c r="D194" i="7"/>
  <c r="E194" i="7" s="1"/>
  <c r="C194" i="7"/>
  <c r="B194" i="7"/>
  <c r="D193" i="7"/>
  <c r="E193" i="7" s="1"/>
  <c r="C193" i="7"/>
  <c r="B193" i="7"/>
  <c r="A193" i="7"/>
  <c r="C192" i="7"/>
  <c r="D192" i="7" s="1"/>
  <c r="E192" i="7" s="1"/>
  <c r="B192" i="7"/>
  <c r="C191" i="7"/>
  <c r="D191" i="7" s="1"/>
  <c r="E191" i="7" s="1"/>
  <c r="B191" i="7"/>
  <c r="C190" i="7"/>
  <c r="D190" i="7" s="1"/>
  <c r="E190" i="7" s="1"/>
  <c r="B190" i="7"/>
  <c r="A190" i="7"/>
  <c r="D189" i="7"/>
  <c r="E189" i="7" s="1"/>
  <c r="C189" i="7"/>
  <c r="B189" i="7"/>
  <c r="D188" i="7"/>
  <c r="E188" i="7" s="1"/>
  <c r="C188" i="7"/>
  <c r="B188" i="7"/>
  <c r="D187" i="7"/>
  <c r="E187" i="7" s="1"/>
  <c r="C187" i="7"/>
  <c r="B187" i="7"/>
  <c r="A187" i="7"/>
  <c r="C186" i="7"/>
  <c r="D186" i="7" s="1"/>
  <c r="E186" i="7" s="1"/>
  <c r="B186" i="7"/>
  <c r="C185" i="7"/>
  <c r="D185" i="7" s="1"/>
  <c r="E185" i="7" s="1"/>
  <c r="B185" i="7"/>
  <c r="C184" i="7"/>
  <c r="D184" i="7" s="1"/>
  <c r="E184" i="7" s="1"/>
  <c r="B184" i="7"/>
  <c r="A184" i="7"/>
  <c r="D183" i="7"/>
  <c r="E183" i="7" s="1"/>
  <c r="C183" i="7"/>
  <c r="B183" i="7"/>
  <c r="D182" i="7"/>
  <c r="E182" i="7" s="1"/>
  <c r="C182" i="7"/>
  <c r="B182" i="7"/>
  <c r="C181" i="7"/>
  <c r="D181" i="7" s="1"/>
  <c r="E181" i="7" s="1"/>
  <c r="B181" i="7"/>
  <c r="A181" i="7"/>
  <c r="C180" i="7"/>
  <c r="B180" i="7"/>
  <c r="D180" i="7" s="1"/>
  <c r="E180" i="7" s="1"/>
  <c r="C179" i="7"/>
  <c r="B179" i="7"/>
  <c r="D179" i="7" s="1"/>
  <c r="E179" i="7" s="1"/>
  <c r="C178" i="7"/>
  <c r="D178" i="7" s="1"/>
  <c r="E178" i="7" s="1"/>
  <c r="B178" i="7"/>
  <c r="A178" i="7"/>
  <c r="D177" i="7"/>
  <c r="E177" i="7" s="1"/>
  <c r="C177" i="7"/>
  <c r="B177" i="7"/>
  <c r="D176" i="7"/>
  <c r="E176" i="7" s="1"/>
  <c r="C176" i="7"/>
  <c r="B176" i="7"/>
  <c r="C175" i="7"/>
  <c r="D175" i="7" s="1"/>
  <c r="E175" i="7" s="1"/>
  <c r="B175" i="7"/>
  <c r="A175" i="7"/>
  <c r="C162" i="7"/>
  <c r="D162" i="7" s="1"/>
  <c r="B162" i="7"/>
  <c r="C161" i="7"/>
  <c r="B161" i="7"/>
  <c r="C160" i="7"/>
  <c r="D160" i="7" s="1"/>
  <c r="B160" i="7"/>
  <c r="A160" i="7"/>
  <c r="D159" i="7"/>
  <c r="C159" i="7"/>
  <c r="B159" i="7"/>
  <c r="C158" i="7"/>
  <c r="D158" i="7" s="1"/>
  <c r="B158" i="7"/>
  <c r="C157" i="7"/>
  <c r="B157" i="7"/>
  <c r="A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D38" i="7" s="1"/>
  <c r="C38" i="7"/>
  <c r="B39" i="7"/>
  <c r="C39" i="7"/>
  <c r="D39" i="7" s="1"/>
  <c r="B40" i="7"/>
  <c r="C40" i="7"/>
  <c r="B41" i="7"/>
  <c r="C41" i="7"/>
  <c r="D41" i="7" s="1"/>
  <c r="B42" i="7"/>
  <c r="C42" i="7"/>
  <c r="C37" i="7"/>
  <c r="B37" i="7"/>
  <c r="B32" i="7"/>
  <c r="C32" i="7"/>
  <c r="B33" i="7"/>
  <c r="C33" i="7"/>
  <c r="D33" i="7" s="1"/>
  <c r="B34" i="7"/>
  <c r="D34" i="7" s="1"/>
  <c r="C34" i="7"/>
  <c r="B35" i="7"/>
  <c r="C35" i="7"/>
  <c r="D35" i="7" s="1"/>
  <c r="B36" i="7"/>
  <c r="C36" i="7"/>
  <c r="C31" i="7"/>
  <c r="B31" i="7"/>
  <c r="A40" i="7"/>
  <c r="A37" i="7"/>
  <c r="A34" i="7"/>
  <c r="A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E222" i="6" s="1"/>
  <c r="F222" i="6" s="1"/>
  <c r="C222" i="6"/>
  <c r="B222" i="6"/>
  <c r="D221" i="6"/>
  <c r="E221" i="6" s="1"/>
  <c r="F221" i="6" s="1"/>
  <c r="C221" i="6"/>
  <c r="B221" i="6"/>
  <c r="D220" i="6"/>
  <c r="B220" i="6"/>
  <c r="C220" i="6" s="1"/>
  <c r="E220" i="6" s="1"/>
  <c r="F220" i="6" s="1"/>
  <c r="G220" i="6" s="1"/>
  <c r="A220" i="6"/>
  <c r="D219" i="6"/>
  <c r="E219" i="6" s="1"/>
  <c r="F219" i="6" s="1"/>
  <c r="C219" i="6"/>
  <c r="B219" i="6"/>
  <c r="D218" i="6"/>
  <c r="B218" i="6"/>
  <c r="C218" i="6" s="1"/>
  <c r="E218" i="6" s="1"/>
  <c r="F218" i="6" s="1"/>
  <c r="D217" i="6"/>
  <c r="E217" i="6" s="1"/>
  <c r="F217" i="6" s="1"/>
  <c r="G217" i="6" s="1"/>
  <c r="C217" i="6"/>
  <c r="B217" i="6"/>
  <c r="A217" i="6"/>
  <c r="D216" i="6"/>
  <c r="B216" i="6"/>
  <c r="C216" i="6" s="1"/>
  <c r="E216" i="6" s="1"/>
  <c r="F216" i="6" s="1"/>
  <c r="D215" i="6"/>
  <c r="B215" i="6"/>
  <c r="C215" i="6" s="1"/>
  <c r="E215" i="6" s="1"/>
  <c r="F215" i="6" s="1"/>
  <c r="D214" i="6"/>
  <c r="E214" i="6" s="1"/>
  <c r="F214" i="6" s="1"/>
  <c r="C214" i="6"/>
  <c r="B214" i="6"/>
  <c r="A214" i="6"/>
  <c r="D213" i="6"/>
  <c r="B213" i="6"/>
  <c r="C213" i="6" s="1"/>
  <c r="E213" i="6" s="1"/>
  <c r="F213" i="6" s="1"/>
  <c r="D212" i="6"/>
  <c r="E212" i="6" s="1"/>
  <c r="F212" i="6" s="1"/>
  <c r="C212" i="6"/>
  <c r="B212" i="6"/>
  <c r="D211" i="6"/>
  <c r="B211" i="6"/>
  <c r="C211" i="6" s="1"/>
  <c r="E211" i="6" s="1"/>
  <c r="F211" i="6" s="1"/>
  <c r="A211" i="6"/>
  <c r="D210" i="6"/>
  <c r="E210" i="6" s="1"/>
  <c r="F210" i="6" s="1"/>
  <c r="C210" i="6"/>
  <c r="B210" i="6"/>
  <c r="D209" i="6"/>
  <c r="E209" i="6" s="1"/>
  <c r="F209" i="6" s="1"/>
  <c r="C209" i="6"/>
  <c r="B209" i="6"/>
  <c r="D208" i="6"/>
  <c r="B208" i="6"/>
  <c r="C208" i="6" s="1"/>
  <c r="E208" i="6" s="1"/>
  <c r="F208" i="6" s="1"/>
  <c r="A208" i="6"/>
  <c r="D207" i="6"/>
  <c r="E207" i="6" s="1"/>
  <c r="F207" i="6" s="1"/>
  <c r="C207" i="6"/>
  <c r="B207" i="6"/>
  <c r="D206" i="6"/>
  <c r="B206" i="6"/>
  <c r="C206" i="6" s="1"/>
  <c r="E206" i="6" s="1"/>
  <c r="F206" i="6" s="1"/>
  <c r="D205" i="6"/>
  <c r="E205" i="6" s="1"/>
  <c r="F205" i="6" s="1"/>
  <c r="C205" i="6"/>
  <c r="B205" i="6"/>
  <c r="A205" i="6"/>
  <c r="D204" i="6"/>
  <c r="E204" i="6" s="1"/>
  <c r="F204" i="6" s="1"/>
  <c r="C204" i="6"/>
  <c r="B204" i="6"/>
  <c r="D203" i="6"/>
  <c r="E203" i="6" s="1"/>
  <c r="F203" i="6" s="1"/>
  <c r="B203" i="6"/>
  <c r="C203" i="6" s="1"/>
  <c r="D202" i="6"/>
  <c r="B202" i="6"/>
  <c r="C202" i="6" s="1"/>
  <c r="A202" i="6"/>
  <c r="D201" i="6"/>
  <c r="E201" i="6" s="1"/>
  <c r="F201" i="6" s="1"/>
  <c r="C201" i="6"/>
  <c r="B201" i="6"/>
  <c r="D200" i="6"/>
  <c r="B200" i="6"/>
  <c r="C200" i="6" s="1"/>
  <c r="E200" i="6" s="1"/>
  <c r="F200" i="6" s="1"/>
  <c r="D199" i="6"/>
  <c r="E199" i="6" s="1"/>
  <c r="F199" i="6" s="1"/>
  <c r="G199" i="6" s="1"/>
  <c r="C199" i="6"/>
  <c r="B199" i="6"/>
  <c r="A199" i="6"/>
  <c r="D198" i="6"/>
  <c r="B198" i="6"/>
  <c r="C198" i="6" s="1"/>
  <c r="E198" i="6" s="1"/>
  <c r="F198" i="6" s="1"/>
  <c r="D197" i="6"/>
  <c r="B197" i="6"/>
  <c r="C197" i="6" s="1"/>
  <c r="E197" i="6" s="1"/>
  <c r="F197" i="6" s="1"/>
  <c r="D196" i="6"/>
  <c r="E196" i="6" s="1"/>
  <c r="F196" i="6" s="1"/>
  <c r="C196" i="6"/>
  <c r="B196" i="6"/>
  <c r="A196" i="6"/>
  <c r="D195" i="6"/>
  <c r="B195" i="6"/>
  <c r="C195" i="6" s="1"/>
  <c r="E195" i="6" s="1"/>
  <c r="F195" i="6" s="1"/>
  <c r="D194" i="6"/>
  <c r="E194" i="6" s="1"/>
  <c r="F194" i="6" s="1"/>
  <c r="C194" i="6"/>
  <c r="B194" i="6"/>
  <c r="D193" i="6"/>
  <c r="B193" i="6"/>
  <c r="C193" i="6" s="1"/>
  <c r="E193" i="6" s="1"/>
  <c r="F193" i="6" s="1"/>
  <c r="G193" i="6" s="1"/>
  <c r="A193" i="6"/>
  <c r="D192" i="6"/>
  <c r="E192" i="6" s="1"/>
  <c r="F192" i="6" s="1"/>
  <c r="C192" i="6"/>
  <c r="B192" i="6"/>
  <c r="D191" i="6"/>
  <c r="E191" i="6" s="1"/>
  <c r="F191" i="6" s="1"/>
  <c r="C191" i="6"/>
  <c r="B191" i="6"/>
  <c r="D190" i="6"/>
  <c r="B190" i="6"/>
  <c r="C190" i="6" s="1"/>
  <c r="E190" i="6" s="1"/>
  <c r="F190" i="6" s="1"/>
  <c r="A190" i="6"/>
  <c r="D189" i="6"/>
  <c r="E189" i="6" s="1"/>
  <c r="F189" i="6" s="1"/>
  <c r="C189" i="6"/>
  <c r="B189" i="6"/>
  <c r="D188" i="6"/>
  <c r="B188" i="6"/>
  <c r="C188" i="6" s="1"/>
  <c r="E188" i="6" s="1"/>
  <c r="F188" i="6" s="1"/>
  <c r="D187" i="6"/>
  <c r="E187" i="6" s="1"/>
  <c r="F187" i="6" s="1"/>
  <c r="G187" i="6" s="1"/>
  <c r="C187" i="6"/>
  <c r="B187" i="6"/>
  <c r="A187" i="6"/>
  <c r="D186" i="6"/>
  <c r="B186" i="6"/>
  <c r="C186" i="6" s="1"/>
  <c r="D185" i="6"/>
  <c r="B185" i="6"/>
  <c r="C185" i="6" s="1"/>
  <c r="E185" i="6" s="1"/>
  <c r="F185" i="6" s="1"/>
  <c r="D184" i="6"/>
  <c r="E184" i="6" s="1"/>
  <c r="F184" i="6" s="1"/>
  <c r="C184" i="6"/>
  <c r="B184" i="6"/>
  <c r="A184" i="6"/>
  <c r="E183" i="6"/>
  <c r="F183" i="6" s="1"/>
  <c r="D183" i="6"/>
  <c r="C183" i="6"/>
  <c r="B183" i="6"/>
  <c r="D182" i="6"/>
  <c r="B182" i="6"/>
  <c r="C182" i="6" s="1"/>
  <c r="D181" i="6"/>
  <c r="B181" i="6"/>
  <c r="C181" i="6" s="1"/>
  <c r="A181" i="6"/>
  <c r="D180" i="6"/>
  <c r="E180" i="6" s="1"/>
  <c r="F180" i="6" s="1"/>
  <c r="C180" i="6"/>
  <c r="B180" i="6"/>
  <c r="D179" i="6"/>
  <c r="E179" i="6" s="1"/>
  <c r="F179" i="6" s="1"/>
  <c r="B179" i="6"/>
  <c r="C179" i="6" s="1"/>
  <c r="D178" i="6"/>
  <c r="B178" i="6"/>
  <c r="C178" i="6" s="1"/>
  <c r="A178" i="6"/>
  <c r="D177" i="6"/>
  <c r="E177" i="6" s="1"/>
  <c r="F177" i="6" s="1"/>
  <c r="C177" i="6"/>
  <c r="B177" i="6"/>
  <c r="D176" i="6"/>
  <c r="B176" i="6"/>
  <c r="C176" i="6" s="1"/>
  <c r="E176" i="6" s="1"/>
  <c r="F176" i="6" s="1"/>
  <c r="D175" i="6"/>
  <c r="E175" i="6" s="1"/>
  <c r="F175" i="6" s="1"/>
  <c r="C175" i="6"/>
  <c r="B175" i="6"/>
  <c r="A175" i="6"/>
  <c r="D162" i="6"/>
  <c r="B162" i="6"/>
  <c r="C162" i="6" s="1"/>
  <c r="D161" i="6"/>
  <c r="B161" i="6"/>
  <c r="C161" i="6" s="1"/>
  <c r="D160" i="6"/>
  <c r="B160" i="6"/>
  <c r="C160" i="6" s="1"/>
  <c r="E160" i="6" s="1"/>
  <c r="A160" i="6"/>
  <c r="D159" i="6"/>
  <c r="B159" i="6"/>
  <c r="C159" i="6" s="1"/>
  <c r="D158" i="6"/>
  <c r="B158" i="6"/>
  <c r="C158" i="6" s="1"/>
  <c r="E158" i="6" s="1"/>
  <c r="D157" i="6"/>
  <c r="C157" i="6"/>
  <c r="B157" i="6"/>
  <c r="A157" i="6"/>
  <c r="D114" i="6"/>
  <c r="B114" i="6"/>
  <c r="C114" i="6" s="1"/>
  <c r="D113" i="6"/>
  <c r="B113" i="6"/>
  <c r="C113" i="6" s="1"/>
  <c r="D112" i="6"/>
  <c r="B112" i="6"/>
  <c r="C112" i="6" s="1"/>
  <c r="E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B46" i="6"/>
  <c r="C46" i="6" s="1"/>
  <c r="B47" i="6"/>
  <c r="C47" i="6" s="1"/>
  <c r="B48" i="6"/>
  <c r="C48" i="6" s="1"/>
  <c r="B49" i="6"/>
  <c r="C49" i="6" s="1"/>
  <c r="E49" i="6" s="1"/>
  <c r="B50" i="6"/>
  <c r="C50" i="6" s="1"/>
  <c r="B51" i="6"/>
  <c r="C51" i="6" s="1"/>
  <c r="E51" i="6" s="1"/>
  <c r="B52" i="6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C52" i="6"/>
  <c r="E52" i="6" s="1"/>
  <c r="A52" i="6"/>
  <c r="A49" i="6"/>
  <c r="A46" i="6"/>
  <c r="A43" i="6"/>
  <c r="C45" i="6"/>
  <c r="A40" i="6"/>
  <c r="A37" i="6"/>
  <c r="A34" i="6"/>
  <c r="A31" i="6"/>
  <c r="A28" i="6"/>
  <c r="A25" i="6"/>
  <c r="A22" i="6"/>
  <c r="A19" i="6"/>
  <c r="A2" i="6"/>
  <c r="F228" i="5"/>
  <c r="F227" i="5"/>
  <c r="F226" i="5"/>
  <c r="F225" i="5"/>
  <c r="F224" i="5"/>
  <c r="F223" i="5"/>
  <c r="F222" i="5"/>
  <c r="F221" i="5"/>
  <c r="F220" i="5"/>
  <c r="F219" i="5"/>
  <c r="F218" i="5"/>
  <c r="F217" i="5"/>
  <c r="F162" i="5"/>
  <c r="F161" i="5"/>
  <c r="F160" i="5"/>
  <c r="F159" i="5"/>
  <c r="F158" i="5"/>
  <c r="F157" i="5"/>
  <c r="F102" i="5"/>
  <c r="F101" i="5"/>
  <c r="F100" i="5"/>
  <c r="F99" i="5"/>
  <c r="F98" i="5"/>
  <c r="F97" i="5"/>
  <c r="F96" i="5"/>
  <c r="F95" i="5"/>
  <c r="F94" i="5"/>
  <c r="F93" i="5"/>
  <c r="F92" i="5"/>
  <c r="F91" i="5"/>
  <c r="F66" i="5"/>
  <c r="F65" i="5"/>
  <c r="F64" i="5"/>
  <c r="F63" i="5"/>
  <c r="F62" i="5"/>
  <c r="F61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162" i="5"/>
  <c r="D161" i="5"/>
  <c r="D160" i="5"/>
  <c r="D159" i="5"/>
  <c r="D158" i="5"/>
  <c r="D157" i="5"/>
  <c r="D102" i="5"/>
  <c r="D101" i="5"/>
  <c r="D100" i="5"/>
  <c r="D99" i="5"/>
  <c r="D98" i="5"/>
  <c r="D97" i="5"/>
  <c r="D96" i="5"/>
  <c r="D95" i="5"/>
  <c r="D94" i="5"/>
  <c r="D93" i="5"/>
  <c r="D92" i="5"/>
  <c r="D91" i="5"/>
  <c r="D66" i="5"/>
  <c r="D65" i="5"/>
  <c r="D64" i="5"/>
  <c r="D63" i="5"/>
  <c r="D62" i="5"/>
  <c r="D61" i="5"/>
  <c r="G228" i="5"/>
  <c r="E228" i="5"/>
  <c r="H228" i="5" s="1"/>
  <c r="J228" i="5" s="1"/>
  <c r="L228" i="5" s="1"/>
  <c r="C228" i="5"/>
  <c r="B228" i="5"/>
  <c r="E227" i="5"/>
  <c r="C227" i="5"/>
  <c r="B227" i="5"/>
  <c r="G227" i="5" s="1"/>
  <c r="O226" i="5"/>
  <c r="E226" i="5"/>
  <c r="C226" i="5"/>
  <c r="B226" i="5"/>
  <c r="G226" i="5" s="1"/>
  <c r="A226" i="5"/>
  <c r="E225" i="5"/>
  <c r="H225" i="5" s="1"/>
  <c r="C225" i="5"/>
  <c r="G225" i="5" s="1"/>
  <c r="B225" i="5"/>
  <c r="G224" i="5"/>
  <c r="E224" i="5"/>
  <c r="H224" i="5" s="1"/>
  <c r="C224" i="5"/>
  <c r="B224" i="5"/>
  <c r="O223" i="5"/>
  <c r="G223" i="5"/>
  <c r="E223" i="5"/>
  <c r="H223" i="5" s="1"/>
  <c r="J223" i="5" s="1"/>
  <c r="L223" i="5" s="1"/>
  <c r="C223" i="5"/>
  <c r="B223" i="5"/>
  <c r="A223" i="5"/>
  <c r="E222" i="5"/>
  <c r="C222" i="5"/>
  <c r="G222" i="5" s="1"/>
  <c r="B222" i="5"/>
  <c r="H222" i="5" s="1"/>
  <c r="E221" i="5"/>
  <c r="H221" i="5" s="1"/>
  <c r="C221" i="5"/>
  <c r="G221" i="5" s="1"/>
  <c r="B221" i="5"/>
  <c r="O220" i="5"/>
  <c r="E220" i="5"/>
  <c r="H220" i="5" s="1"/>
  <c r="C220" i="5"/>
  <c r="G220" i="5" s="1"/>
  <c r="B220" i="5"/>
  <c r="A220" i="5"/>
  <c r="E219" i="5"/>
  <c r="C219" i="5"/>
  <c r="B219" i="5"/>
  <c r="G219" i="5" s="1"/>
  <c r="E218" i="5"/>
  <c r="C218" i="5"/>
  <c r="G218" i="5" s="1"/>
  <c r="B218" i="5"/>
  <c r="H218" i="5" s="1"/>
  <c r="J218" i="5" s="1"/>
  <c r="L218" i="5" s="1"/>
  <c r="O217" i="5"/>
  <c r="E217" i="5"/>
  <c r="C217" i="5"/>
  <c r="G217" i="5" s="1"/>
  <c r="B217" i="5"/>
  <c r="H217" i="5" s="1"/>
  <c r="J217" i="5" s="1"/>
  <c r="L217" i="5" s="1"/>
  <c r="A217" i="5"/>
  <c r="E216" i="5"/>
  <c r="H216" i="5" s="1"/>
  <c r="C216" i="5"/>
  <c r="G216" i="5" s="1"/>
  <c r="B216" i="5"/>
  <c r="G215" i="5"/>
  <c r="E215" i="5"/>
  <c r="H215" i="5" s="1"/>
  <c r="C215" i="5"/>
  <c r="B215" i="5"/>
  <c r="O214" i="5"/>
  <c r="G214" i="5"/>
  <c r="E214" i="5"/>
  <c r="H214" i="5" s="1"/>
  <c r="C214" i="5"/>
  <c r="B214" i="5"/>
  <c r="A214" i="5"/>
  <c r="E213" i="5"/>
  <c r="C213" i="5"/>
  <c r="G213" i="5" s="1"/>
  <c r="B213" i="5"/>
  <c r="H213" i="5" s="1"/>
  <c r="J213" i="5" s="1"/>
  <c r="L213" i="5" s="1"/>
  <c r="E212" i="5"/>
  <c r="H212" i="5" s="1"/>
  <c r="C212" i="5"/>
  <c r="G212" i="5" s="1"/>
  <c r="B212" i="5"/>
  <c r="O211" i="5"/>
  <c r="E211" i="5"/>
  <c r="H211" i="5" s="1"/>
  <c r="C211" i="5"/>
  <c r="G211" i="5" s="1"/>
  <c r="B211" i="5"/>
  <c r="A211" i="5"/>
  <c r="G210" i="5"/>
  <c r="E210" i="5"/>
  <c r="C210" i="5"/>
  <c r="B210" i="5"/>
  <c r="H210" i="5" s="1"/>
  <c r="J210" i="5" s="1"/>
  <c r="L210" i="5" s="1"/>
  <c r="E209" i="5"/>
  <c r="C209" i="5"/>
  <c r="G209" i="5" s="1"/>
  <c r="B209" i="5"/>
  <c r="H209" i="5" s="1"/>
  <c r="J209" i="5" s="1"/>
  <c r="L209" i="5" s="1"/>
  <c r="O208" i="5"/>
  <c r="E208" i="5"/>
  <c r="C208" i="5"/>
  <c r="G208" i="5" s="1"/>
  <c r="B208" i="5"/>
  <c r="H208" i="5" s="1"/>
  <c r="J208" i="5" s="1"/>
  <c r="L208" i="5" s="1"/>
  <c r="A208" i="5"/>
  <c r="G207" i="5"/>
  <c r="E207" i="5"/>
  <c r="H207" i="5" s="1"/>
  <c r="J207" i="5" s="1"/>
  <c r="L207" i="5" s="1"/>
  <c r="C207" i="5"/>
  <c r="B207" i="5"/>
  <c r="G206" i="5"/>
  <c r="E206" i="5"/>
  <c r="C206" i="5"/>
  <c r="B206" i="5"/>
  <c r="H206" i="5" s="1"/>
  <c r="J206" i="5" s="1"/>
  <c r="L206" i="5" s="1"/>
  <c r="O205" i="5"/>
  <c r="G205" i="5"/>
  <c r="E205" i="5"/>
  <c r="C205" i="5"/>
  <c r="B205" i="5"/>
  <c r="H205" i="5" s="1"/>
  <c r="J205" i="5" s="1"/>
  <c r="L205" i="5" s="1"/>
  <c r="A205" i="5"/>
  <c r="E204" i="5"/>
  <c r="H204" i="5" s="1"/>
  <c r="J204" i="5" s="1"/>
  <c r="L204" i="5" s="1"/>
  <c r="C204" i="5"/>
  <c r="G204" i="5" s="1"/>
  <c r="B204" i="5"/>
  <c r="G203" i="5"/>
  <c r="E203" i="5"/>
  <c r="H203" i="5" s="1"/>
  <c r="J203" i="5" s="1"/>
  <c r="L203" i="5" s="1"/>
  <c r="C203" i="5"/>
  <c r="B203" i="5"/>
  <c r="O202" i="5"/>
  <c r="G202" i="5"/>
  <c r="E202" i="5"/>
  <c r="H202" i="5" s="1"/>
  <c r="J202" i="5" s="1"/>
  <c r="L202" i="5" s="1"/>
  <c r="C202" i="5"/>
  <c r="B202" i="5"/>
  <c r="A202" i="5"/>
  <c r="E201" i="5"/>
  <c r="C201" i="5"/>
  <c r="G201" i="5" s="1"/>
  <c r="B201" i="5"/>
  <c r="H201" i="5" s="1"/>
  <c r="J201" i="5" s="1"/>
  <c r="L201" i="5" s="1"/>
  <c r="E200" i="5"/>
  <c r="H200" i="5" s="1"/>
  <c r="J200" i="5" s="1"/>
  <c r="L200" i="5" s="1"/>
  <c r="C200" i="5"/>
  <c r="G200" i="5" s="1"/>
  <c r="B200" i="5"/>
  <c r="O199" i="5"/>
  <c r="E199" i="5"/>
  <c r="H199" i="5" s="1"/>
  <c r="J199" i="5" s="1"/>
  <c r="L199" i="5" s="1"/>
  <c r="C199" i="5"/>
  <c r="G199" i="5" s="1"/>
  <c r="B199" i="5"/>
  <c r="A199" i="5"/>
  <c r="E198" i="5"/>
  <c r="H198" i="5" s="1"/>
  <c r="J198" i="5" s="1"/>
  <c r="L198" i="5" s="1"/>
  <c r="C198" i="5"/>
  <c r="G198" i="5" s="1"/>
  <c r="B198" i="5"/>
  <c r="E197" i="5"/>
  <c r="H197" i="5" s="1"/>
  <c r="J197" i="5" s="1"/>
  <c r="L197" i="5" s="1"/>
  <c r="C197" i="5"/>
  <c r="G197" i="5" s="1"/>
  <c r="B197" i="5"/>
  <c r="O196" i="5"/>
  <c r="E196" i="5"/>
  <c r="H196" i="5" s="1"/>
  <c r="J196" i="5" s="1"/>
  <c r="L196" i="5" s="1"/>
  <c r="C196" i="5"/>
  <c r="G196" i="5" s="1"/>
  <c r="B196" i="5"/>
  <c r="A196" i="5"/>
  <c r="E195" i="5"/>
  <c r="C195" i="5"/>
  <c r="B195" i="5"/>
  <c r="G195" i="5" s="1"/>
  <c r="E194" i="5"/>
  <c r="C194" i="5"/>
  <c r="G194" i="5" s="1"/>
  <c r="B194" i="5"/>
  <c r="H194" i="5" s="1"/>
  <c r="J194" i="5" s="1"/>
  <c r="L194" i="5" s="1"/>
  <c r="O193" i="5"/>
  <c r="E193" i="5"/>
  <c r="C193" i="5"/>
  <c r="G193" i="5" s="1"/>
  <c r="B193" i="5"/>
  <c r="H193" i="5" s="1"/>
  <c r="J193" i="5" s="1"/>
  <c r="L193" i="5" s="1"/>
  <c r="A193" i="5"/>
  <c r="G192" i="5"/>
  <c r="E192" i="5"/>
  <c r="H192" i="5" s="1"/>
  <c r="J192" i="5" s="1"/>
  <c r="L192" i="5" s="1"/>
  <c r="C192" i="5"/>
  <c r="B192" i="5"/>
  <c r="H191" i="5"/>
  <c r="J191" i="5" s="1"/>
  <c r="L191" i="5" s="1"/>
  <c r="E191" i="5"/>
  <c r="C191" i="5"/>
  <c r="G191" i="5" s="1"/>
  <c r="B191" i="5"/>
  <c r="O190" i="5"/>
  <c r="E190" i="5"/>
  <c r="C190" i="5"/>
  <c r="B190" i="5"/>
  <c r="G190" i="5" s="1"/>
  <c r="A190" i="5"/>
  <c r="E189" i="5"/>
  <c r="H189" i="5" s="1"/>
  <c r="J189" i="5" s="1"/>
  <c r="L189" i="5" s="1"/>
  <c r="C189" i="5"/>
  <c r="G189" i="5" s="1"/>
  <c r="B189" i="5"/>
  <c r="G188" i="5"/>
  <c r="E188" i="5"/>
  <c r="H188" i="5" s="1"/>
  <c r="J188" i="5" s="1"/>
  <c r="L188" i="5" s="1"/>
  <c r="C188" i="5"/>
  <c r="B188" i="5"/>
  <c r="O187" i="5"/>
  <c r="G187" i="5"/>
  <c r="E187" i="5"/>
  <c r="H187" i="5" s="1"/>
  <c r="J187" i="5" s="1"/>
  <c r="L187" i="5" s="1"/>
  <c r="C187" i="5"/>
  <c r="B187" i="5"/>
  <c r="A187" i="5"/>
  <c r="E186" i="5"/>
  <c r="C186" i="5"/>
  <c r="G186" i="5" s="1"/>
  <c r="B186" i="5"/>
  <c r="H186" i="5" s="1"/>
  <c r="J186" i="5" s="1"/>
  <c r="L186" i="5" s="1"/>
  <c r="E185" i="5"/>
  <c r="H185" i="5" s="1"/>
  <c r="J185" i="5" s="1"/>
  <c r="L185" i="5" s="1"/>
  <c r="C185" i="5"/>
  <c r="G185" i="5" s="1"/>
  <c r="B185" i="5"/>
  <c r="O184" i="5"/>
  <c r="E184" i="5"/>
  <c r="H184" i="5" s="1"/>
  <c r="J184" i="5" s="1"/>
  <c r="L184" i="5" s="1"/>
  <c r="C184" i="5"/>
  <c r="G184" i="5" s="1"/>
  <c r="B184" i="5"/>
  <c r="A184" i="5"/>
  <c r="E183" i="5"/>
  <c r="C183" i="5"/>
  <c r="B183" i="5"/>
  <c r="G183" i="5" s="1"/>
  <c r="E182" i="5"/>
  <c r="C182" i="5"/>
  <c r="G182" i="5" s="1"/>
  <c r="B182" i="5"/>
  <c r="H182" i="5" s="1"/>
  <c r="J182" i="5" s="1"/>
  <c r="L182" i="5" s="1"/>
  <c r="O181" i="5"/>
  <c r="E181" i="5"/>
  <c r="H181" i="5" s="1"/>
  <c r="J181" i="5" s="1"/>
  <c r="L181" i="5" s="1"/>
  <c r="C181" i="5"/>
  <c r="G181" i="5" s="1"/>
  <c r="B181" i="5"/>
  <c r="A181" i="5"/>
  <c r="B6" i="5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B137" i="4"/>
  <c r="A138" i="4"/>
  <c r="B138" i="4"/>
  <c r="B136" i="4"/>
  <c r="A136" i="4"/>
  <c r="A134" i="4"/>
  <c r="B134" i="4"/>
  <c r="A135" i="4"/>
  <c r="B135" i="4"/>
  <c r="B133" i="4"/>
  <c r="A133" i="4"/>
  <c r="A131" i="4"/>
  <c r="B131" i="4"/>
  <c r="A132" i="4"/>
  <c r="B132" i="4"/>
  <c r="B130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B97" i="4"/>
  <c r="A98" i="4"/>
  <c r="B98" i="4"/>
  <c r="B96" i="4"/>
  <c r="A96" i="4"/>
  <c r="A94" i="4"/>
  <c r="B94" i="4"/>
  <c r="A95" i="4"/>
  <c r="B95" i="4"/>
  <c r="B93" i="4"/>
  <c r="A93" i="4"/>
  <c r="A91" i="4"/>
  <c r="B91" i="4"/>
  <c r="A92" i="4"/>
  <c r="B92" i="4"/>
  <c r="B90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B57" i="4"/>
  <c r="A58" i="4"/>
  <c r="B58" i="4"/>
  <c r="B56" i="4"/>
  <c r="A56" i="4"/>
  <c r="A54" i="4"/>
  <c r="B54" i="4"/>
  <c r="A55" i="4"/>
  <c r="B55" i="4"/>
  <c r="B53" i="4"/>
  <c r="A53" i="4"/>
  <c r="A51" i="4"/>
  <c r="B51" i="4"/>
  <c r="A52" i="4"/>
  <c r="B52" i="4"/>
  <c r="B50" i="4"/>
  <c r="A50" i="4"/>
  <c r="N184" i="5" l="1"/>
  <c r="F193" i="7"/>
  <c r="F196" i="7"/>
  <c r="F208" i="7"/>
  <c r="F190" i="7"/>
  <c r="F202" i="7"/>
  <c r="F211" i="7"/>
  <c r="F217" i="7"/>
  <c r="F205" i="7"/>
  <c r="F187" i="7"/>
  <c r="F199" i="7"/>
  <c r="F181" i="7"/>
  <c r="F184" i="7"/>
  <c r="F175" i="7"/>
  <c r="F178" i="7"/>
  <c r="D161" i="7"/>
  <c r="D157" i="7"/>
  <c r="D36" i="7"/>
  <c r="D32" i="7"/>
  <c r="D42" i="7"/>
  <c r="D40" i="7"/>
  <c r="D37" i="7"/>
  <c r="D31" i="7"/>
  <c r="G175" i="6"/>
  <c r="G196" i="6"/>
  <c r="G190" i="6"/>
  <c r="G214" i="6"/>
  <c r="G208" i="6"/>
  <c r="G205" i="6"/>
  <c r="G211" i="6"/>
  <c r="E202" i="6"/>
  <c r="F202" i="6" s="1"/>
  <c r="G202" i="6" s="1"/>
  <c r="E181" i="6"/>
  <c r="F181" i="6" s="1"/>
  <c r="E182" i="6"/>
  <c r="F182" i="6" s="1"/>
  <c r="E186" i="6"/>
  <c r="F186" i="6" s="1"/>
  <c r="G184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F51" i="6"/>
  <c r="E111" i="6"/>
  <c r="F111" i="6" s="1"/>
  <c r="E109" i="6"/>
  <c r="F109" i="6" s="1"/>
  <c r="E114" i="6"/>
  <c r="F114" i="6" s="1"/>
  <c r="G112" i="6" s="1"/>
  <c r="F49" i="6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N196" i="5"/>
  <c r="J214" i="5"/>
  <c r="L214" i="5" s="1"/>
  <c r="J220" i="5"/>
  <c r="L220" i="5" s="1"/>
  <c r="J221" i="5"/>
  <c r="L221" i="5" s="1"/>
  <c r="J224" i="5"/>
  <c r="L224" i="5" s="1"/>
  <c r="J225" i="5"/>
  <c r="L225" i="5" s="1"/>
  <c r="J211" i="5"/>
  <c r="L211" i="5" s="1"/>
  <c r="J212" i="5"/>
  <c r="L212" i="5" s="1"/>
  <c r="N211" i="5" s="1"/>
  <c r="J215" i="5"/>
  <c r="L215" i="5" s="1"/>
  <c r="J216" i="5"/>
  <c r="L216" i="5" s="1"/>
  <c r="J222" i="5"/>
  <c r="L222" i="5" s="1"/>
  <c r="N202" i="5"/>
  <c r="H219" i="5"/>
  <c r="J219" i="5" s="1"/>
  <c r="L219" i="5" s="1"/>
  <c r="H227" i="5"/>
  <c r="J227" i="5" s="1"/>
  <c r="L227" i="5" s="1"/>
  <c r="H226" i="5"/>
  <c r="J226" i="5" s="1"/>
  <c r="L226" i="5" s="1"/>
  <c r="N199" i="5"/>
  <c r="N208" i="5"/>
  <c r="N205" i="5"/>
  <c r="N187" i="5"/>
  <c r="H183" i="5"/>
  <c r="J183" i="5" s="1"/>
  <c r="L183" i="5" s="1"/>
  <c r="N181" i="5" s="1"/>
  <c r="H190" i="5"/>
  <c r="J190" i="5" s="1"/>
  <c r="L190" i="5" s="1"/>
  <c r="N190" i="5" s="1"/>
  <c r="H195" i="5"/>
  <c r="J195" i="5" s="1"/>
  <c r="L195" i="5" s="1"/>
  <c r="N193" i="5" s="1"/>
  <c r="G181" i="6" l="1"/>
  <c r="G157" i="6"/>
  <c r="G160" i="6"/>
  <c r="G109" i="6"/>
  <c r="N214" i="5"/>
  <c r="A26" i="4" l="1"/>
  <c r="B26" i="4"/>
  <c r="A27" i="4"/>
  <c r="B27" i="4"/>
  <c r="B25" i="4"/>
  <c r="A25" i="4"/>
  <c r="A23" i="4"/>
  <c r="B23" i="4"/>
  <c r="A24" i="4"/>
  <c r="B24" i="4"/>
  <c r="B22" i="4"/>
  <c r="A22" i="4"/>
  <c r="A20" i="4"/>
  <c r="B20" i="4"/>
  <c r="A21" i="4"/>
  <c r="B21" i="4"/>
  <c r="B19" i="4"/>
  <c r="A19" i="4"/>
  <c r="A17" i="4"/>
  <c r="B17" i="4"/>
  <c r="A18" i="4"/>
  <c r="B18" i="4"/>
  <c r="B16" i="4"/>
  <c r="A16" i="4"/>
  <c r="A14" i="4"/>
  <c r="B14" i="4"/>
  <c r="A15" i="4"/>
  <c r="B15" i="4"/>
  <c r="B13" i="4"/>
  <c r="A13" i="4"/>
  <c r="A11" i="4"/>
  <c r="B11" i="4"/>
  <c r="A12" i="4"/>
  <c r="B12" i="4"/>
  <c r="B10" i="4"/>
  <c r="A10" i="4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9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8" i="1"/>
  <c r="B164" i="7"/>
  <c r="C164" i="7"/>
  <c r="B165" i="7"/>
  <c r="C165" i="7"/>
  <c r="D165" i="7" s="1"/>
  <c r="B166" i="7"/>
  <c r="C166" i="7"/>
  <c r="B167" i="7"/>
  <c r="C167" i="7"/>
  <c r="D167" i="7" s="1"/>
  <c r="B168" i="7"/>
  <c r="C168" i="7"/>
  <c r="B169" i="7"/>
  <c r="C169" i="7"/>
  <c r="D169" i="7" s="1"/>
  <c r="B170" i="7"/>
  <c r="C170" i="7"/>
  <c r="B171" i="7"/>
  <c r="C171" i="7"/>
  <c r="D171" i="7" s="1"/>
  <c r="B172" i="7"/>
  <c r="C172" i="7"/>
  <c r="B173" i="7"/>
  <c r="C173" i="7"/>
  <c r="D173" i="7" s="1"/>
  <c r="B174" i="7"/>
  <c r="C174" i="7"/>
  <c r="C163" i="7"/>
  <c r="B163" i="7"/>
  <c r="D166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E171" i="6" s="1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E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D117" i="7" l="1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E145" i="6"/>
  <c r="E120" i="6"/>
  <c r="F120" i="6" s="1"/>
  <c r="E132" i="6"/>
  <c r="F132" i="6" s="1"/>
  <c r="E142" i="6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F171" i="6"/>
  <c r="D115" i="7"/>
  <c r="E153" i="6"/>
  <c r="F153" i="6" s="1"/>
  <c r="E170" i="6"/>
  <c r="F170" i="6" s="1"/>
  <c r="D116" i="7"/>
  <c r="D137" i="7"/>
  <c r="D155" i="7"/>
  <c r="F142" i="6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F145" i="6"/>
  <c r="E146" i="6"/>
  <c r="F146" i="6" s="1"/>
  <c r="E156" i="6"/>
  <c r="F156" i="6" s="1"/>
  <c r="F115" i="6"/>
  <c r="E116" i="6"/>
  <c r="F116" i="6" s="1"/>
  <c r="E123" i="6"/>
  <c r="F123" i="6" s="1"/>
  <c r="F136" i="6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E180" i="5" l="1"/>
  <c r="C180" i="5"/>
  <c r="E179" i="5"/>
  <c r="C179" i="5"/>
  <c r="O178" i="5"/>
  <c r="E178" i="5"/>
  <c r="C178" i="5"/>
  <c r="A178" i="5"/>
  <c r="E177" i="5"/>
  <c r="C177" i="5"/>
  <c r="E176" i="5"/>
  <c r="C176" i="5"/>
  <c r="O175" i="5"/>
  <c r="E175" i="5"/>
  <c r="C175" i="5"/>
  <c r="A175" i="5"/>
  <c r="E174" i="5"/>
  <c r="C174" i="5"/>
  <c r="E173" i="5"/>
  <c r="C173" i="5"/>
  <c r="O172" i="5"/>
  <c r="E172" i="5"/>
  <c r="C172" i="5"/>
  <c r="A172" i="5"/>
  <c r="E171" i="5"/>
  <c r="C171" i="5"/>
  <c r="E170" i="5"/>
  <c r="C170" i="5"/>
  <c r="O169" i="5"/>
  <c r="E169" i="5"/>
  <c r="C169" i="5"/>
  <c r="A169" i="5"/>
  <c r="E168" i="5"/>
  <c r="C168" i="5"/>
  <c r="E167" i="5"/>
  <c r="C167" i="5"/>
  <c r="O166" i="5"/>
  <c r="E166" i="5"/>
  <c r="C166" i="5"/>
  <c r="A166" i="5"/>
  <c r="E165" i="5"/>
  <c r="C165" i="5"/>
  <c r="E164" i="5"/>
  <c r="C164" i="5"/>
  <c r="O163" i="5"/>
  <c r="E163" i="5"/>
  <c r="C163" i="5"/>
  <c r="A163" i="5"/>
  <c r="E162" i="5"/>
  <c r="C162" i="5"/>
  <c r="E161" i="5"/>
  <c r="C161" i="5"/>
  <c r="O160" i="5"/>
  <c r="E160" i="5"/>
  <c r="C160" i="5"/>
  <c r="A160" i="5"/>
  <c r="E159" i="5"/>
  <c r="C159" i="5"/>
  <c r="E158" i="5"/>
  <c r="C158" i="5"/>
  <c r="O157" i="5"/>
  <c r="E157" i="5"/>
  <c r="C157" i="5"/>
  <c r="A157" i="5"/>
  <c r="E156" i="5"/>
  <c r="C156" i="5"/>
  <c r="E155" i="5"/>
  <c r="C155" i="5"/>
  <c r="O154" i="5"/>
  <c r="E154" i="5"/>
  <c r="C154" i="5"/>
  <c r="A154" i="5"/>
  <c r="E153" i="5"/>
  <c r="C153" i="5"/>
  <c r="E152" i="5"/>
  <c r="C152" i="5"/>
  <c r="O151" i="5"/>
  <c r="E151" i="5"/>
  <c r="C151" i="5"/>
  <c r="A151" i="5"/>
  <c r="E150" i="5"/>
  <c r="C150" i="5"/>
  <c r="E149" i="5"/>
  <c r="C149" i="5"/>
  <c r="O148" i="5"/>
  <c r="E148" i="5"/>
  <c r="C148" i="5"/>
  <c r="A148" i="5"/>
  <c r="E147" i="5"/>
  <c r="C147" i="5"/>
  <c r="E146" i="5"/>
  <c r="C146" i="5"/>
  <c r="O145" i="5"/>
  <c r="E145" i="5"/>
  <c r="C145" i="5"/>
  <c r="A145" i="5"/>
  <c r="E144" i="5"/>
  <c r="C144" i="5"/>
  <c r="E143" i="5"/>
  <c r="C143" i="5"/>
  <c r="O142" i="5"/>
  <c r="E142" i="5"/>
  <c r="C142" i="5"/>
  <c r="A142" i="5"/>
  <c r="E141" i="5"/>
  <c r="C141" i="5"/>
  <c r="E140" i="5"/>
  <c r="C140" i="5"/>
  <c r="O139" i="5"/>
  <c r="E139" i="5"/>
  <c r="C139" i="5"/>
  <c r="A139" i="5"/>
  <c r="E138" i="5"/>
  <c r="C138" i="5"/>
  <c r="E137" i="5"/>
  <c r="C137" i="5"/>
  <c r="O136" i="5"/>
  <c r="E136" i="5"/>
  <c r="C136" i="5"/>
  <c r="A136" i="5"/>
  <c r="E135" i="5"/>
  <c r="C135" i="5"/>
  <c r="E134" i="5"/>
  <c r="C134" i="5"/>
  <c r="O133" i="5"/>
  <c r="E133" i="5"/>
  <c r="C133" i="5"/>
  <c r="A133" i="5"/>
  <c r="E132" i="5"/>
  <c r="C132" i="5"/>
  <c r="E131" i="5"/>
  <c r="C131" i="5"/>
  <c r="O130" i="5"/>
  <c r="E130" i="5"/>
  <c r="C130" i="5"/>
  <c r="A130" i="5"/>
  <c r="E129" i="5"/>
  <c r="C129" i="5"/>
  <c r="E128" i="5"/>
  <c r="C128" i="5"/>
  <c r="O127" i="5"/>
  <c r="E127" i="5"/>
  <c r="C127" i="5"/>
  <c r="A127" i="5"/>
  <c r="E126" i="5"/>
  <c r="C126" i="5"/>
  <c r="E125" i="5"/>
  <c r="C125" i="5"/>
  <c r="O124" i="5"/>
  <c r="E124" i="5"/>
  <c r="C124" i="5"/>
  <c r="A124" i="5"/>
  <c r="E123" i="5"/>
  <c r="C123" i="5"/>
  <c r="E122" i="5"/>
  <c r="C122" i="5"/>
  <c r="O121" i="5"/>
  <c r="E121" i="5"/>
  <c r="C121" i="5"/>
  <c r="A121" i="5"/>
  <c r="E120" i="5"/>
  <c r="C120" i="5"/>
  <c r="E119" i="5"/>
  <c r="C119" i="5"/>
  <c r="O118" i="5"/>
  <c r="E118" i="5"/>
  <c r="C118" i="5"/>
  <c r="A118" i="5"/>
  <c r="E117" i="5"/>
  <c r="C117" i="5"/>
  <c r="E116" i="5"/>
  <c r="C116" i="5"/>
  <c r="O115" i="5"/>
  <c r="E115" i="5"/>
  <c r="C115" i="5"/>
  <c r="A115" i="5"/>
  <c r="E114" i="5"/>
  <c r="C114" i="5"/>
  <c r="E113" i="5"/>
  <c r="C113" i="5"/>
  <c r="O112" i="5"/>
  <c r="E112" i="5"/>
  <c r="C112" i="5"/>
  <c r="A112" i="5"/>
  <c r="E111" i="5"/>
  <c r="C111" i="5"/>
  <c r="E110" i="5"/>
  <c r="C110" i="5"/>
  <c r="O109" i="5"/>
  <c r="E109" i="5"/>
  <c r="C109" i="5"/>
  <c r="A109" i="5"/>
  <c r="H104" i="1" l="1"/>
  <c r="B109" i="5" s="1"/>
  <c r="H105" i="1"/>
  <c r="B110" i="5" s="1"/>
  <c r="H106" i="1"/>
  <c r="B111" i="5" s="1"/>
  <c r="H107" i="1"/>
  <c r="B112" i="5" s="1"/>
  <c r="H108" i="1"/>
  <c r="B113" i="5" s="1"/>
  <c r="H109" i="1"/>
  <c r="B114" i="5" s="1"/>
  <c r="H110" i="1"/>
  <c r="B115" i="5" s="1"/>
  <c r="H111" i="1"/>
  <c r="B116" i="5" s="1"/>
  <c r="H112" i="1"/>
  <c r="B117" i="5" s="1"/>
  <c r="H113" i="1"/>
  <c r="B118" i="5" s="1"/>
  <c r="H114" i="1"/>
  <c r="B119" i="5" s="1"/>
  <c r="H115" i="1"/>
  <c r="B120" i="5" s="1"/>
  <c r="H116" i="1"/>
  <c r="B121" i="5" s="1"/>
  <c r="H117" i="1"/>
  <c r="B122" i="5" s="1"/>
  <c r="H118" i="1"/>
  <c r="B123" i="5" s="1"/>
  <c r="H119" i="1"/>
  <c r="B124" i="5" s="1"/>
  <c r="H120" i="1"/>
  <c r="B125" i="5" s="1"/>
  <c r="H121" i="1"/>
  <c r="B126" i="5" s="1"/>
  <c r="H122" i="1"/>
  <c r="B127" i="5" s="1"/>
  <c r="H123" i="1"/>
  <c r="B128" i="5" s="1"/>
  <c r="H124" i="1"/>
  <c r="B129" i="5" s="1"/>
  <c r="H125" i="1"/>
  <c r="B130" i="5" s="1"/>
  <c r="H126" i="1"/>
  <c r="B131" i="5" s="1"/>
  <c r="H127" i="1"/>
  <c r="B132" i="5" s="1"/>
  <c r="H128" i="1"/>
  <c r="B133" i="5" s="1"/>
  <c r="H129" i="1"/>
  <c r="B134" i="5" s="1"/>
  <c r="H130" i="1"/>
  <c r="B135" i="5" s="1"/>
  <c r="H131" i="1"/>
  <c r="B136" i="5" s="1"/>
  <c r="H132" i="1"/>
  <c r="B137" i="5" s="1"/>
  <c r="H133" i="1"/>
  <c r="B138" i="5" s="1"/>
  <c r="H134" i="1"/>
  <c r="B139" i="5" s="1"/>
  <c r="H135" i="1"/>
  <c r="B140" i="5" s="1"/>
  <c r="H136" i="1"/>
  <c r="B141" i="5" s="1"/>
  <c r="H137" i="1"/>
  <c r="B142" i="5" s="1"/>
  <c r="H138" i="1"/>
  <c r="B143" i="5" s="1"/>
  <c r="H139" i="1"/>
  <c r="B144" i="5" s="1"/>
  <c r="H140" i="1"/>
  <c r="H141" i="1"/>
  <c r="H142" i="1"/>
  <c r="H143" i="1"/>
  <c r="H144" i="1"/>
  <c r="H145" i="1"/>
  <c r="H146" i="1"/>
  <c r="B151" i="5" s="1"/>
  <c r="H147" i="1"/>
  <c r="B152" i="5" s="1"/>
  <c r="H148" i="1"/>
  <c r="B153" i="5" s="1"/>
  <c r="H149" i="1"/>
  <c r="B154" i="5" s="1"/>
  <c r="H150" i="1"/>
  <c r="B155" i="5" s="1"/>
  <c r="H151" i="1"/>
  <c r="B156" i="5" s="1"/>
  <c r="H152" i="1"/>
  <c r="B157" i="5" s="1"/>
  <c r="H153" i="1"/>
  <c r="B158" i="5" s="1"/>
  <c r="H154" i="1"/>
  <c r="B159" i="5" s="1"/>
  <c r="H155" i="1"/>
  <c r="B160" i="5" s="1"/>
  <c r="H156" i="1"/>
  <c r="B161" i="5" s="1"/>
  <c r="H157" i="1"/>
  <c r="B162" i="5" s="1"/>
  <c r="H158" i="1"/>
  <c r="B163" i="5" s="1"/>
  <c r="H159" i="1"/>
  <c r="B164" i="5" s="1"/>
  <c r="H160" i="1"/>
  <c r="B165" i="5" s="1"/>
  <c r="H161" i="1"/>
  <c r="B166" i="5" s="1"/>
  <c r="H162" i="1"/>
  <c r="B167" i="5" s="1"/>
  <c r="H163" i="1"/>
  <c r="B168" i="5" s="1"/>
  <c r="H164" i="1"/>
  <c r="H165" i="1"/>
  <c r="H166" i="1"/>
  <c r="H167" i="1"/>
  <c r="H168" i="1"/>
  <c r="H169" i="1"/>
  <c r="H170" i="1"/>
  <c r="H171" i="1"/>
  <c r="H172" i="1"/>
  <c r="H173" i="1"/>
  <c r="H174" i="1"/>
  <c r="H175" i="1"/>
  <c r="O76" i="5"/>
  <c r="O79" i="5"/>
  <c r="B177" i="5" l="1"/>
  <c r="B173" i="5"/>
  <c r="B180" i="5"/>
  <c r="B176" i="5"/>
  <c r="B172" i="5"/>
  <c r="B148" i="5"/>
  <c r="B179" i="5"/>
  <c r="B175" i="5"/>
  <c r="B171" i="5"/>
  <c r="B147" i="5"/>
  <c r="B178" i="5"/>
  <c r="B174" i="5"/>
  <c r="B170" i="5"/>
  <c r="B150" i="5"/>
  <c r="B146" i="5"/>
  <c r="B169" i="5"/>
  <c r="B149" i="5"/>
  <c r="B145" i="5"/>
  <c r="D114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H8" i="1"/>
  <c r="H33" i="1"/>
  <c r="H41" i="1"/>
  <c r="H49" i="1"/>
  <c r="H57" i="1"/>
  <c r="H65" i="1"/>
  <c r="H73" i="1"/>
  <c r="H81" i="1"/>
  <c r="H89" i="1"/>
  <c r="H97" i="1"/>
  <c r="H21" i="1" l="1"/>
  <c r="H100" i="1"/>
  <c r="H84" i="1"/>
  <c r="H68" i="1"/>
  <c r="H56" i="1"/>
  <c r="H44" i="1"/>
  <c r="H32" i="1"/>
  <c r="H62" i="1"/>
  <c r="H103" i="1"/>
  <c r="H91" i="1"/>
  <c r="H87" i="1"/>
  <c r="H75" i="1"/>
  <c r="H71" i="1"/>
  <c r="H67" i="1"/>
  <c r="H63" i="1"/>
  <c r="H59" i="1"/>
  <c r="H55" i="1"/>
  <c r="H51" i="1"/>
  <c r="H47" i="1"/>
  <c r="H43" i="1"/>
  <c r="H39" i="1"/>
  <c r="H35" i="1"/>
  <c r="H31" i="1"/>
  <c r="H19" i="1"/>
  <c r="H15" i="1"/>
  <c r="H92" i="1"/>
  <c r="H80" i="1"/>
  <c r="H72" i="1"/>
  <c r="H64" i="1"/>
  <c r="H52" i="1"/>
  <c r="H36" i="1"/>
  <c r="H102" i="1"/>
  <c r="H86" i="1"/>
  <c r="H70" i="1"/>
  <c r="H46" i="1"/>
  <c r="H30" i="1"/>
  <c r="H25" i="1"/>
  <c r="H11" i="1"/>
  <c r="H99" i="1"/>
  <c r="H79" i="1"/>
  <c r="H101" i="1"/>
  <c r="H93" i="1"/>
  <c r="H85" i="1"/>
  <c r="H77" i="1"/>
  <c r="H69" i="1"/>
  <c r="H61" i="1"/>
  <c r="H53" i="1"/>
  <c r="H45" i="1"/>
  <c r="H37" i="1"/>
  <c r="H29" i="1"/>
  <c r="H23" i="1"/>
  <c r="H17" i="1"/>
  <c r="H10" i="1"/>
  <c r="H26" i="1"/>
  <c r="H13" i="1"/>
  <c r="H96" i="1"/>
  <c r="H88" i="1"/>
  <c r="H76" i="1"/>
  <c r="H60" i="1"/>
  <c r="H48" i="1"/>
  <c r="H40" i="1"/>
  <c r="H94" i="1"/>
  <c r="H78" i="1"/>
  <c r="H54" i="1"/>
  <c r="H38" i="1"/>
  <c r="H18" i="1"/>
  <c r="H95" i="1"/>
  <c r="H83" i="1"/>
  <c r="H98" i="1"/>
  <c r="H90" i="1"/>
  <c r="H82" i="1"/>
  <c r="H74" i="1"/>
  <c r="H66" i="1"/>
  <c r="H58" i="1"/>
  <c r="H50" i="1"/>
  <c r="H42" i="1"/>
  <c r="H34" i="1"/>
  <c r="H27" i="1"/>
  <c r="H22" i="1"/>
  <c r="H14" i="1"/>
  <c r="H9" i="1"/>
  <c r="H28" i="1"/>
  <c r="H24" i="1"/>
  <c r="H20" i="1"/>
  <c r="H16" i="1"/>
  <c r="H12" i="1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E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5" i="6" l="1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F76" i="6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E108" i="5"/>
  <c r="C108" i="5"/>
  <c r="B108" i="5"/>
  <c r="E107" i="5"/>
  <c r="C107" i="5"/>
  <c r="B107" i="5"/>
  <c r="O106" i="5"/>
  <c r="E106" i="5"/>
  <c r="C106" i="5"/>
  <c r="B106" i="5"/>
  <c r="A106" i="5"/>
  <c r="E105" i="5"/>
  <c r="C105" i="5"/>
  <c r="B105" i="5"/>
  <c r="E104" i="5"/>
  <c r="C104" i="5"/>
  <c r="B104" i="5"/>
  <c r="O103" i="5"/>
  <c r="E103" i="5"/>
  <c r="C103" i="5"/>
  <c r="B103" i="5"/>
  <c r="A103" i="5"/>
  <c r="E102" i="5"/>
  <c r="C102" i="5"/>
  <c r="B102" i="5"/>
  <c r="E101" i="5"/>
  <c r="C101" i="5"/>
  <c r="B101" i="5"/>
  <c r="O100" i="5"/>
  <c r="E100" i="5"/>
  <c r="C100" i="5"/>
  <c r="B100" i="5"/>
  <c r="A100" i="5"/>
  <c r="E99" i="5"/>
  <c r="C99" i="5"/>
  <c r="B99" i="5"/>
  <c r="E98" i="5"/>
  <c r="C98" i="5"/>
  <c r="B98" i="5"/>
  <c r="O97" i="5"/>
  <c r="E97" i="5"/>
  <c r="C97" i="5"/>
  <c r="B97" i="5"/>
  <c r="A97" i="5"/>
  <c r="E96" i="5"/>
  <c r="C96" i="5"/>
  <c r="B96" i="5"/>
  <c r="E95" i="5"/>
  <c r="C95" i="5"/>
  <c r="B95" i="5"/>
  <c r="O94" i="5"/>
  <c r="E94" i="5"/>
  <c r="C94" i="5"/>
  <c r="B94" i="5"/>
  <c r="A94" i="5"/>
  <c r="E93" i="5"/>
  <c r="C93" i="5"/>
  <c r="B93" i="5"/>
  <c r="E92" i="5"/>
  <c r="C92" i="5"/>
  <c r="B92" i="5"/>
  <c r="O91" i="5"/>
  <c r="E91" i="5"/>
  <c r="C91" i="5"/>
  <c r="B91" i="5"/>
  <c r="A91" i="5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9" i="5"/>
  <c r="B53" i="5"/>
  <c r="B60" i="5"/>
  <c r="B61" i="5"/>
  <c r="B64" i="5"/>
  <c r="B65" i="5"/>
  <c r="B69" i="5"/>
  <c r="B73" i="5"/>
  <c r="B48" i="5"/>
  <c r="B52" i="5"/>
  <c r="B72" i="5"/>
  <c r="B76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A29" i="4"/>
  <c r="A30" i="4"/>
  <c r="B28" i="4"/>
  <c r="A28" i="4"/>
  <c r="B86" i="4"/>
  <c r="B125" i="4"/>
  <c r="B27" i="5"/>
  <c r="B31" i="5"/>
  <c r="B32" i="5"/>
  <c r="B35" i="5"/>
  <c r="B39" i="5"/>
  <c r="B44" i="5"/>
  <c r="B47" i="5"/>
  <c r="B51" i="5"/>
  <c r="B55" i="5"/>
  <c r="B59" i="5"/>
  <c r="B63" i="5"/>
  <c r="B67" i="5"/>
  <c r="B71" i="5"/>
  <c r="B75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A38" i="4"/>
  <c r="B38" i="4"/>
  <c r="A39" i="4"/>
  <c r="B39" i="4"/>
  <c r="B37" i="4"/>
  <c r="A37" i="4"/>
  <c r="A35" i="4"/>
  <c r="B35" i="4"/>
  <c r="A36" i="4"/>
  <c r="B36" i="4"/>
  <c r="B34" i="4"/>
  <c r="A34" i="4"/>
  <c r="A32" i="4"/>
  <c r="B32" i="4"/>
  <c r="A33" i="4"/>
  <c r="B33" i="4"/>
  <c r="B31" i="4"/>
  <c r="A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48" i="4"/>
  <c r="B38" i="5"/>
  <c r="B41" i="5"/>
  <c r="B42" i="5"/>
  <c r="B43" i="5"/>
  <c r="B46" i="5"/>
  <c r="B50" i="5"/>
  <c r="B54" i="5"/>
  <c r="B68" i="5"/>
  <c r="B70" i="5"/>
  <c r="B74" i="5"/>
  <c r="B13" i="5"/>
  <c r="E13" i="5"/>
  <c r="F13" i="5" s="1"/>
  <c r="E14" i="5"/>
  <c r="F14" i="5" s="1"/>
  <c r="E15" i="5"/>
  <c r="F15" i="5" s="1"/>
  <c r="E19" i="5"/>
  <c r="E20" i="5"/>
  <c r="F20" i="5" s="1"/>
  <c r="E21" i="5"/>
  <c r="F21" i="5" s="1"/>
  <c r="E79" i="5"/>
  <c r="E80" i="5"/>
  <c r="E81" i="5"/>
  <c r="C13" i="5"/>
  <c r="D13" i="5" s="1"/>
  <c r="C14" i="5"/>
  <c r="D14" i="5" s="1"/>
  <c r="C15" i="5"/>
  <c r="D15" i="5" s="1"/>
  <c r="C19" i="5"/>
  <c r="D19" i="5" s="1"/>
  <c r="C20" i="5"/>
  <c r="D20" i="5" s="1"/>
  <c r="C21" i="5"/>
  <c r="D21" i="5" s="1"/>
  <c r="C79" i="5"/>
  <c r="C80" i="5"/>
  <c r="C81" i="5"/>
  <c r="E84" i="5"/>
  <c r="E83" i="5"/>
  <c r="E82" i="5"/>
  <c r="C84" i="5"/>
  <c r="C83" i="5"/>
  <c r="C82" i="5"/>
  <c r="H3" i="5"/>
  <c r="H4" i="5"/>
  <c r="G3" i="5"/>
  <c r="G4" i="5"/>
  <c r="E67" i="5"/>
  <c r="E68" i="5"/>
  <c r="E69" i="5"/>
  <c r="C67" i="5"/>
  <c r="C68" i="5"/>
  <c r="C69" i="5"/>
  <c r="E64" i="5"/>
  <c r="E65" i="5"/>
  <c r="E66" i="5"/>
  <c r="C64" i="5"/>
  <c r="C65" i="5"/>
  <c r="C66" i="5"/>
  <c r="E61" i="5"/>
  <c r="E62" i="5"/>
  <c r="E63" i="5"/>
  <c r="C61" i="5"/>
  <c r="C62" i="5"/>
  <c r="C63" i="5"/>
  <c r="E76" i="5"/>
  <c r="E77" i="5"/>
  <c r="E78" i="5"/>
  <c r="C76" i="5"/>
  <c r="C77" i="5"/>
  <c r="C78" i="5"/>
  <c r="E73" i="5"/>
  <c r="E74" i="5"/>
  <c r="E75" i="5"/>
  <c r="C73" i="5"/>
  <c r="C74" i="5"/>
  <c r="C75" i="5"/>
  <c r="O16" i="5"/>
  <c r="O19" i="5"/>
  <c r="O22" i="5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82" i="5"/>
  <c r="O85" i="5"/>
  <c r="O88" i="5"/>
  <c r="O13" i="5"/>
  <c r="E88" i="5"/>
  <c r="E89" i="5"/>
  <c r="E90" i="5"/>
  <c r="C88" i="5"/>
  <c r="C89" i="5"/>
  <c r="C90" i="5"/>
  <c r="E85" i="5"/>
  <c r="E86" i="5"/>
  <c r="E87" i="5"/>
  <c r="C85" i="5"/>
  <c r="C86" i="5"/>
  <c r="C87" i="5"/>
  <c r="E70" i="5"/>
  <c r="E71" i="5"/>
  <c r="E72" i="5"/>
  <c r="C70" i="5"/>
  <c r="C71" i="5"/>
  <c r="C72" i="5"/>
  <c r="E58" i="5"/>
  <c r="E59" i="5"/>
  <c r="E60" i="5"/>
  <c r="C58" i="5"/>
  <c r="C59" i="5"/>
  <c r="C60" i="5"/>
  <c r="E55" i="5"/>
  <c r="E56" i="5"/>
  <c r="E57" i="5"/>
  <c r="C55" i="5"/>
  <c r="C56" i="5"/>
  <c r="C57" i="5"/>
  <c r="E52" i="5"/>
  <c r="E53" i="5"/>
  <c r="E54" i="5"/>
  <c r="C52" i="5"/>
  <c r="C53" i="5"/>
  <c r="C54" i="5"/>
  <c r="E49" i="5"/>
  <c r="E50" i="5"/>
  <c r="E51" i="5"/>
  <c r="C49" i="5"/>
  <c r="C50" i="5"/>
  <c r="C51" i="5"/>
  <c r="E46" i="5"/>
  <c r="E47" i="5"/>
  <c r="E48" i="5"/>
  <c r="C46" i="5"/>
  <c r="C47" i="5"/>
  <c r="C48" i="5"/>
  <c r="E43" i="5"/>
  <c r="E44" i="5"/>
  <c r="E45" i="5"/>
  <c r="C43" i="5"/>
  <c r="C44" i="5"/>
  <c r="C45" i="5"/>
  <c r="E40" i="5"/>
  <c r="E41" i="5"/>
  <c r="E42" i="5"/>
  <c r="C40" i="5"/>
  <c r="C41" i="5"/>
  <c r="C42" i="5"/>
  <c r="E37" i="5"/>
  <c r="E38" i="5"/>
  <c r="E39" i="5"/>
  <c r="C37" i="5"/>
  <c r="C38" i="5"/>
  <c r="C39" i="5"/>
  <c r="E34" i="5"/>
  <c r="E35" i="5"/>
  <c r="E36" i="5"/>
  <c r="C34" i="5"/>
  <c r="C35" i="5"/>
  <c r="C36" i="5"/>
  <c r="E31" i="5"/>
  <c r="E32" i="5"/>
  <c r="E33" i="5"/>
  <c r="C31" i="5"/>
  <c r="C32" i="5"/>
  <c r="C33" i="5"/>
  <c r="E28" i="5"/>
  <c r="E29" i="5"/>
  <c r="E30" i="5"/>
  <c r="C28" i="5"/>
  <c r="C29" i="5"/>
  <c r="C30" i="5"/>
  <c r="E25" i="5"/>
  <c r="E26" i="5"/>
  <c r="E27" i="5"/>
  <c r="C25" i="5"/>
  <c r="C26" i="5"/>
  <c r="C27" i="5"/>
  <c r="C16" i="5"/>
  <c r="D16" i="5" s="1"/>
  <c r="C17" i="5"/>
  <c r="D17" i="5" s="1"/>
  <c r="C18" i="5"/>
  <c r="D18" i="5" s="1"/>
  <c r="C22" i="5"/>
  <c r="D22" i="5" s="1"/>
  <c r="C23" i="5"/>
  <c r="D23" i="5" s="1"/>
  <c r="C24" i="5"/>
  <c r="D24" i="5" s="1"/>
  <c r="G2" i="5"/>
  <c r="E16" i="5"/>
  <c r="F16" i="5" s="1"/>
  <c r="E17" i="5"/>
  <c r="F17" i="5" s="1"/>
  <c r="E18" i="5"/>
  <c r="F18" i="5" s="1"/>
  <c r="E22" i="5"/>
  <c r="F22" i="5" s="1"/>
  <c r="E23" i="5"/>
  <c r="F23" i="5" s="1"/>
  <c r="E24" i="5"/>
  <c r="F24" i="5" s="1"/>
  <c r="H2" i="5"/>
  <c r="A16" i="5"/>
  <c r="A19" i="5"/>
  <c r="A22" i="5"/>
  <c r="A25" i="5"/>
  <c r="A28" i="5"/>
  <c r="A31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A13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A48" i="4"/>
  <c r="A49" i="4"/>
  <c r="A47" i="4"/>
  <c r="A45" i="4"/>
  <c r="A46" i="4"/>
  <c r="A44" i="4"/>
  <c r="A8" i="4"/>
  <c r="A9" i="4"/>
  <c r="A7" i="4"/>
  <c r="A5" i="4"/>
  <c r="A6" i="4"/>
  <c r="A4" i="4"/>
  <c r="B150" i="4"/>
  <c r="B70" i="4"/>
  <c r="B109" i="4"/>
  <c r="B29" i="4"/>
  <c r="B68" i="4"/>
  <c r="B148" i="4"/>
  <c r="B30" i="4"/>
  <c r="B69" i="4"/>
  <c r="A2" i="7"/>
  <c r="D74" i="7"/>
  <c r="B127" i="4"/>
  <c r="B30" i="5"/>
  <c r="B56" i="5"/>
  <c r="B58" i="5"/>
  <c r="B66" i="5"/>
  <c r="B78" i="5"/>
  <c r="B126" i="4"/>
  <c r="B26" i="5"/>
  <c r="B34" i="5"/>
  <c r="B36" i="5"/>
  <c r="B62" i="5"/>
  <c r="B77" i="5"/>
  <c r="B57" i="5"/>
  <c r="B89" i="4"/>
  <c r="D72" i="7"/>
  <c r="B47" i="4"/>
  <c r="E158" i="7" l="1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H111" i="5"/>
  <c r="H160" i="5"/>
  <c r="H132" i="5"/>
  <c r="H116" i="5"/>
  <c r="H159" i="5"/>
  <c r="H143" i="5"/>
  <c r="H127" i="5"/>
  <c r="H154" i="5"/>
  <c r="H142" i="5"/>
  <c r="H126" i="5"/>
  <c r="H110" i="5"/>
  <c r="H157" i="5"/>
  <c r="H129" i="5"/>
  <c r="H113" i="5"/>
  <c r="H156" i="5"/>
  <c r="H144" i="5"/>
  <c r="H128" i="5"/>
  <c r="H112" i="5"/>
  <c r="H155" i="5"/>
  <c r="H139" i="5"/>
  <c r="H123" i="5"/>
  <c r="H166" i="5"/>
  <c r="H138" i="5"/>
  <c r="H122" i="5"/>
  <c r="H153" i="5"/>
  <c r="H141" i="5"/>
  <c r="H125" i="5"/>
  <c r="H109" i="5"/>
  <c r="H168" i="5"/>
  <c r="H152" i="5"/>
  <c r="H140" i="5"/>
  <c r="H124" i="5"/>
  <c r="H167" i="5"/>
  <c r="H151" i="5"/>
  <c r="H135" i="5"/>
  <c r="H119" i="5"/>
  <c r="H162" i="5"/>
  <c r="H134" i="5"/>
  <c r="H118" i="5"/>
  <c r="H165" i="5"/>
  <c r="H137" i="5"/>
  <c r="H121" i="5"/>
  <c r="H164" i="5"/>
  <c r="H136" i="5"/>
  <c r="H120" i="5"/>
  <c r="H163" i="5"/>
  <c r="H131" i="5"/>
  <c r="H115" i="5"/>
  <c r="H158" i="5"/>
  <c r="H130" i="5"/>
  <c r="H114" i="5"/>
  <c r="H161" i="5"/>
  <c r="H133" i="5"/>
  <c r="H117" i="5"/>
  <c r="H180" i="5"/>
  <c r="H171" i="5"/>
  <c r="H169" i="5"/>
  <c r="H172" i="5"/>
  <c r="H177" i="5"/>
  <c r="H179" i="5"/>
  <c r="H150" i="5"/>
  <c r="H173" i="5"/>
  <c r="H146" i="5"/>
  <c r="H145" i="5"/>
  <c r="H148" i="5"/>
  <c r="H170" i="5"/>
  <c r="H174" i="5"/>
  <c r="H175" i="5"/>
  <c r="H147" i="5"/>
  <c r="H149" i="5"/>
  <c r="H178" i="5"/>
  <c r="H176" i="5"/>
  <c r="G111" i="5"/>
  <c r="G160" i="5"/>
  <c r="G152" i="5"/>
  <c r="G140" i="5"/>
  <c r="G163" i="5"/>
  <c r="G131" i="5"/>
  <c r="G123" i="5"/>
  <c r="G115" i="5"/>
  <c r="G142" i="5"/>
  <c r="G126" i="5"/>
  <c r="G118" i="5"/>
  <c r="G110" i="5"/>
  <c r="G165" i="5"/>
  <c r="G157" i="5"/>
  <c r="G141" i="5"/>
  <c r="G133" i="5"/>
  <c r="G125" i="5"/>
  <c r="G132" i="5"/>
  <c r="G116" i="5"/>
  <c r="G135" i="5"/>
  <c r="G158" i="5"/>
  <c r="G129" i="5"/>
  <c r="G168" i="5"/>
  <c r="G144" i="5"/>
  <c r="G136" i="5"/>
  <c r="G128" i="5"/>
  <c r="G120" i="5"/>
  <c r="G155" i="5"/>
  <c r="G139" i="5"/>
  <c r="G162" i="5"/>
  <c r="G154" i="5"/>
  <c r="G138" i="5"/>
  <c r="G114" i="5"/>
  <c r="G117" i="5"/>
  <c r="G109" i="5"/>
  <c r="G166" i="5"/>
  <c r="G137" i="5"/>
  <c r="G164" i="5"/>
  <c r="G112" i="5"/>
  <c r="G167" i="5"/>
  <c r="G151" i="5"/>
  <c r="G143" i="5"/>
  <c r="G127" i="5"/>
  <c r="G130" i="5"/>
  <c r="G122" i="5"/>
  <c r="G161" i="5"/>
  <c r="G153" i="5"/>
  <c r="G121" i="5"/>
  <c r="G156" i="5"/>
  <c r="G124" i="5"/>
  <c r="G159" i="5"/>
  <c r="G119" i="5"/>
  <c r="G134" i="5"/>
  <c r="G113" i="5"/>
  <c r="G146" i="5"/>
  <c r="G180" i="5"/>
  <c r="G145" i="5"/>
  <c r="G169" i="5"/>
  <c r="G174" i="5"/>
  <c r="G147" i="5"/>
  <c r="G173" i="5"/>
  <c r="G171" i="5"/>
  <c r="G148" i="5"/>
  <c r="G170" i="5"/>
  <c r="G172" i="5"/>
  <c r="G176" i="5"/>
  <c r="G177" i="5"/>
  <c r="G149" i="5"/>
  <c r="G150" i="5"/>
  <c r="G178" i="5"/>
  <c r="G175" i="5"/>
  <c r="G179" i="5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H106" i="5"/>
  <c r="H96" i="5"/>
  <c r="H92" i="5"/>
  <c r="H108" i="5"/>
  <c r="H107" i="5"/>
  <c r="H97" i="5"/>
  <c r="H99" i="5"/>
  <c r="H103" i="5"/>
  <c r="H98" i="5"/>
  <c r="H95" i="5"/>
  <c r="H102" i="5"/>
  <c r="H93" i="5"/>
  <c r="H100" i="5"/>
  <c r="H101" i="5"/>
  <c r="H94" i="5"/>
  <c r="H91" i="5"/>
  <c r="H105" i="5"/>
  <c r="H104" i="5"/>
  <c r="G108" i="5"/>
  <c r="G106" i="5"/>
  <c r="G100" i="5"/>
  <c r="G92" i="5"/>
  <c r="G93" i="5"/>
  <c r="G104" i="5"/>
  <c r="G94" i="5"/>
  <c r="G97" i="5"/>
  <c r="G102" i="5"/>
  <c r="G96" i="5"/>
  <c r="G98" i="5"/>
  <c r="G95" i="5"/>
  <c r="G103" i="5"/>
  <c r="G91" i="5"/>
  <c r="G107" i="5"/>
  <c r="G99" i="5"/>
  <c r="G105" i="5"/>
  <c r="G101" i="5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H66" i="5"/>
  <c r="E56" i="6"/>
  <c r="F56" i="6" s="1"/>
  <c r="D86" i="7"/>
  <c r="E86" i="7" s="1"/>
  <c r="D78" i="7"/>
  <c r="E78" i="7" s="1"/>
  <c r="D76" i="7"/>
  <c r="E76" i="7" s="1"/>
  <c r="H77" i="5"/>
  <c r="E13" i="6"/>
  <c r="F13" i="6" s="1"/>
  <c r="D75" i="7"/>
  <c r="E75" i="7" s="1"/>
  <c r="D73" i="7"/>
  <c r="E73" i="7" s="1"/>
  <c r="D71" i="7"/>
  <c r="E71" i="7" s="1"/>
  <c r="D69" i="7"/>
  <c r="E69" i="7" s="1"/>
  <c r="H78" i="5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H70" i="5"/>
  <c r="B85" i="5"/>
  <c r="H85" i="5" s="1"/>
  <c r="B90" i="5"/>
  <c r="H90" i="5" s="1"/>
  <c r="B80" i="5"/>
  <c r="H80" i="5" s="1"/>
  <c r="B22" i="5"/>
  <c r="H22" i="5" s="1"/>
  <c r="H31" i="5"/>
  <c r="B87" i="5"/>
  <c r="G87" i="5" s="1"/>
  <c r="B83" i="5"/>
  <c r="G83" i="5" s="1"/>
  <c r="B84" i="5"/>
  <c r="H84" i="5" s="1"/>
  <c r="B82" i="5"/>
  <c r="G82" i="5" s="1"/>
  <c r="B89" i="5"/>
  <c r="G89" i="5" s="1"/>
  <c r="H55" i="5"/>
  <c r="B86" i="5"/>
  <c r="H86" i="5" s="1"/>
  <c r="B79" i="5"/>
  <c r="H79" i="5" s="1"/>
  <c r="B88" i="5"/>
  <c r="H88" i="5" s="1"/>
  <c r="B81" i="5"/>
  <c r="H81" i="5" s="1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71" i="5"/>
  <c r="H36" i="5"/>
  <c r="H56" i="5"/>
  <c r="H35" i="5"/>
  <c r="H68" i="5"/>
  <c r="H43" i="5"/>
  <c r="H73" i="5"/>
  <c r="H69" i="5"/>
  <c r="H65" i="5"/>
  <c r="H61" i="5"/>
  <c r="H29" i="5"/>
  <c r="H25" i="5"/>
  <c r="H54" i="5"/>
  <c r="H27" i="5"/>
  <c r="H13" i="5"/>
  <c r="H74" i="5"/>
  <c r="H41" i="5"/>
  <c r="H67" i="5"/>
  <c r="H51" i="5"/>
  <c r="H76" i="5"/>
  <c r="H46" i="5"/>
  <c r="H63" i="5"/>
  <c r="H32" i="5"/>
  <c r="G39" i="5"/>
  <c r="B20" i="5"/>
  <c r="H20" i="5" s="1"/>
  <c r="B88" i="4"/>
  <c r="B49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H60" i="5"/>
  <c r="B16" i="5"/>
  <c r="B4" i="4"/>
  <c r="H75" i="5"/>
  <c r="G75" i="5"/>
  <c r="B18" i="5"/>
  <c r="H18" i="5" s="1"/>
  <c r="H50" i="5"/>
  <c r="H45" i="5"/>
  <c r="B8" i="4"/>
  <c r="H49" i="5"/>
  <c r="H53" i="5"/>
  <c r="G53" i="5"/>
  <c r="H34" i="5"/>
  <c r="B9" i="4"/>
  <c r="B6" i="4"/>
  <c r="H38" i="5"/>
  <c r="H52" i="5"/>
  <c r="H58" i="5"/>
  <c r="B44" i="4"/>
  <c r="B15" i="5"/>
  <c r="H15" i="5" s="1"/>
  <c r="B7" i="4"/>
  <c r="B23" i="5"/>
  <c r="H23" i="5" s="1"/>
  <c r="H64" i="5"/>
  <c r="D20" i="7"/>
  <c r="E20" i="7" s="1"/>
  <c r="H57" i="5"/>
  <c r="H62" i="5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H72" i="5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5" i="4"/>
  <c r="B85" i="4"/>
  <c r="F19" i="5"/>
  <c r="H19" i="5"/>
  <c r="G65" i="5"/>
  <c r="G44" i="5"/>
  <c r="G61" i="5"/>
  <c r="G58" i="5"/>
  <c r="G25" i="5"/>
  <c r="G45" i="5"/>
  <c r="H44" i="5"/>
  <c r="G46" i="5"/>
  <c r="G36" i="5"/>
  <c r="G56" i="5"/>
  <c r="G30" i="5"/>
  <c r="G51" i="5"/>
  <c r="G52" i="5"/>
  <c r="G64" i="5"/>
  <c r="G63" i="5"/>
  <c r="G67" i="5"/>
  <c r="G47" i="5"/>
  <c r="G68" i="5"/>
  <c r="G69" i="5"/>
  <c r="G26" i="5"/>
  <c r="G19" i="5"/>
  <c r="G78" i="5"/>
  <c r="G70" i="5"/>
  <c r="G32" i="5"/>
  <c r="G42" i="5"/>
  <c r="G60" i="5"/>
  <c r="G38" i="5"/>
  <c r="G34" i="5"/>
  <c r="G72" i="5"/>
  <c r="G59" i="5"/>
  <c r="G33" i="5"/>
  <c r="G41" i="5"/>
  <c r="G13" i="5"/>
  <c r="G76" i="5"/>
  <c r="G49" i="5"/>
  <c r="G77" i="5"/>
  <c r="G54" i="5"/>
  <c r="G50" i="5"/>
  <c r="G74" i="5"/>
  <c r="G57" i="5"/>
  <c r="G55" i="5"/>
  <c r="G66" i="5"/>
  <c r="G62" i="5"/>
  <c r="G73" i="5"/>
  <c r="G43" i="5"/>
  <c r="G71" i="5"/>
  <c r="G29" i="5"/>
  <c r="G35" i="5"/>
  <c r="E17" i="6"/>
  <c r="F17" i="6" s="1"/>
  <c r="D12" i="7"/>
  <c r="E12" i="7" s="1"/>
  <c r="G31" i="5"/>
  <c r="G37" i="5"/>
  <c r="G27" i="5"/>
  <c r="H59" i="5"/>
  <c r="H47" i="5"/>
  <c r="F157" i="7" l="1"/>
  <c r="F166" i="7"/>
  <c r="F160" i="7"/>
  <c r="F148" i="7"/>
  <c r="F121" i="7"/>
  <c r="F163" i="7"/>
  <c r="F169" i="7"/>
  <c r="F172" i="7"/>
  <c r="J149" i="5"/>
  <c r="L149" i="5" s="1"/>
  <c r="J173" i="5"/>
  <c r="L173" i="5" s="1"/>
  <c r="J160" i="5"/>
  <c r="L160" i="5" s="1"/>
  <c r="J125" i="5"/>
  <c r="L125" i="5" s="1"/>
  <c r="J155" i="5"/>
  <c r="L155" i="5" s="1"/>
  <c r="J144" i="5"/>
  <c r="L144" i="5" s="1"/>
  <c r="J130" i="5"/>
  <c r="L130" i="5" s="1"/>
  <c r="J142" i="5"/>
  <c r="L142" i="5" s="1"/>
  <c r="J164" i="5"/>
  <c r="L164" i="5" s="1"/>
  <c r="J110" i="5"/>
  <c r="L110" i="5" s="1"/>
  <c r="J112" i="5"/>
  <c r="L112" i="5" s="1"/>
  <c r="J140" i="5"/>
  <c r="L140" i="5" s="1"/>
  <c r="J138" i="5"/>
  <c r="L138" i="5" s="1"/>
  <c r="J169" i="5"/>
  <c r="L169" i="5" s="1"/>
  <c r="J170" i="5"/>
  <c r="L170" i="5" s="1"/>
  <c r="J179" i="5"/>
  <c r="L179" i="5" s="1"/>
  <c r="J150" i="5"/>
  <c r="L150" i="5" s="1"/>
  <c r="J134" i="5"/>
  <c r="L134" i="5" s="1"/>
  <c r="J129" i="5"/>
  <c r="L129" i="5" s="1"/>
  <c r="J141" i="5"/>
  <c r="L141" i="5" s="1"/>
  <c r="J133" i="5"/>
  <c r="L133" i="5" s="1"/>
  <c r="J168" i="5"/>
  <c r="L168" i="5" s="1"/>
  <c r="J178" i="5"/>
  <c r="L178" i="5" s="1"/>
  <c r="J148" i="5"/>
  <c r="L148" i="5" s="1"/>
  <c r="J109" i="5"/>
  <c r="L109" i="5" s="1"/>
  <c r="J136" i="5"/>
  <c r="L136" i="5" s="1"/>
  <c r="J157" i="5"/>
  <c r="L157" i="5" s="1"/>
  <c r="J113" i="5"/>
  <c r="L113" i="5" s="1"/>
  <c r="J156" i="5"/>
  <c r="L156" i="5" s="1"/>
  <c r="J131" i="5"/>
  <c r="L131" i="5" s="1"/>
  <c r="J143" i="5"/>
  <c r="L143" i="5" s="1"/>
  <c r="J161" i="5"/>
  <c r="L161" i="5" s="1"/>
  <c r="J167" i="5"/>
  <c r="L167" i="5" s="1"/>
  <c r="J120" i="5"/>
  <c r="L120" i="5" s="1"/>
  <c r="J116" i="5"/>
  <c r="L116" i="5" s="1"/>
  <c r="J154" i="5"/>
  <c r="L154" i="5" s="1"/>
  <c r="J127" i="5"/>
  <c r="L127" i="5" s="1"/>
  <c r="J139" i="5"/>
  <c r="L139" i="5" s="1"/>
  <c r="J175" i="5"/>
  <c r="L175" i="5" s="1"/>
  <c r="J171" i="5"/>
  <c r="L171" i="5" s="1"/>
  <c r="J124" i="5"/>
  <c r="L124" i="5" s="1"/>
  <c r="J163" i="5"/>
  <c r="L163" i="5" s="1"/>
  <c r="J153" i="5"/>
  <c r="L153" i="5" s="1"/>
  <c r="J115" i="5"/>
  <c r="L115" i="5" s="1"/>
  <c r="J137" i="5"/>
  <c r="L137" i="5" s="1"/>
  <c r="J159" i="5"/>
  <c r="L159" i="5" s="1"/>
  <c r="J117" i="5"/>
  <c r="L117" i="5" s="1"/>
  <c r="J166" i="5"/>
  <c r="L166" i="5" s="1"/>
  <c r="J146" i="5"/>
  <c r="L146" i="5" s="1"/>
  <c r="J162" i="5"/>
  <c r="L162" i="5" s="1"/>
  <c r="J158" i="5"/>
  <c r="L158" i="5" s="1"/>
  <c r="J126" i="5"/>
  <c r="L126" i="5" s="1"/>
  <c r="J128" i="5"/>
  <c r="L128" i="5" s="1"/>
  <c r="J176" i="5"/>
  <c r="L176" i="5" s="1"/>
  <c r="J174" i="5"/>
  <c r="L174" i="5" s="1"/>
  <c r="J145" i="5"/>
  <c r="L145" i="5" s="1"/>
  <c r="J172" i="5"/>
  <c r="L172" i="5" s="1"/>
  <c r="J180" i="5"/>
  <c r="L180" i="5" s="1"/>
  <c r="J121" i="5"/>
  <c r="L121" i="5" s="1"/>
  <c r="J132" i="5"/>
  <c r="L132" i="5" s="1"/>
  <c r="J152" i="5"/>
  <c r="L152" i="5" s="1"/>
  <c r="J122" i="5"/>
  <c r="L122" i="5" s="1"/>
  <c r="J118" i="5"/>
  <c r="L118" i="5" s="1"/>
  <c r="J119" i="5"/>
  <c r="L119" i="5" s="1"/>
  <c r="J151" i="5"/>
  <c r="L151" i="5" s="1"/>
  <c r="J177" i="5"/>
  <c r="L177" i="5" s="1"/>
  <c r="J111" i="5"/>
  <c r="L111" i="5" s="1"/>
  <c r="J147" i="5"/>
  <c r="L147" i="5" s="1"/>
  <c r="J123" i="5"/>
  <c r="L123" i="5" s="1"/>
  <c r="J135" i="5"/>
  <c r="L135" i="5" s="1"/>
  <c r="J114" i="5"/>
  <c r="L114" i="5" s="1"/>
  <c r="J165" i="5"/>
  <c r="L165" i="5" s="1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J105" i="5"/>
  <c r="L105" i="5" s="1"/>
  <c r="J103" i="5"/>
  <c r="L103" i="5" s="1"/>
  <c r="J93" i="5"/>
  <c r="L93" i="5" s="1"/>
  <c r="J100" i="5"/>
  <c r="L100" i="5" s="1"/>
  <c r="J106" i="5"/>
  <c r="L106" i="5" s="1"/>
  <c r="J94" i="5"/>
  <c r="L94" i="5" s="1"/>
  <c r="J95" i="5"/>
  <c r="L95" i="5" s="1"/>
  <c r="J102" i="5"/>
  <c r="L102" i="5" s="1"/>
  <c r="J92" i="5"/>
  <c r="L92" i="5" s="1"/>
  <c r="J96" i="5"/>
  <c r="L96" i="5" s="1"/>
  <c r="J98" i="5"/>
  <c r="L98" i="5" s="1"/>
  <c r="J97" i="5"/>
  <c r="L97" i="5" s="1"/>
  <c r="J107" i="5"/>
  <c r="L107" i="5" s="1"/>
  <c r="J99" i="5"/>
  <c r="L99" i="5" s="1"/>
  <c r="J104" i="5"/>
  <c r="L104" i="5" s="1"/>
  <c r="J108" i="5"/>
  <c r="L108" i="5" s="1"/>
  <c r="J101" i="5"/>
  <c r="L101" i="5" s="1"/>
  <c r="J91" i="5"/>
  <c r="L91" i="5" s="1"/>
  <c r="G86" i="5"/>
  <c r="G22" i="5"/>
  <c r="G88" i="5"/>
  <c r="G17" i="5"/>
  <c r="G85" i="5"/>
  <c r="G55" i="6"/>
  <c r="G40" i="5"/>
  <c r="G20" i="5"/>
  <c r="H82" i="5"/>
  <c r="F73" i="7"/>
  <c r="B24" i="5"/>
  <c r="H24" i="5" s="1"/>
  <c r="G79" i="5"/>
  <c r="G84" i="5"/>
  <c r="F70" i="7"/>
  <c r="F85" i="7"/>
  <c r="F76" i="7"/>
  <c r="F55" i="7"/>
  <c r="F79" i="7"/>
  <c r="B129" i="4"/>
  <c r="G81" i="5"/>
  <c r="H83" i="5"/>
  <c r="G14" i="5"/>
  <c r="H28" i="5"/>
  <c r="H89" i="5"/>
  <c r="H87" i="5"/>
  <c r="G80" i="5"/>
  <c r="G90" i="5"/>
  <c r="F58" i="7"/>
  <c r="F88" i="7"/>
  <c r="F64" i="7"/>
  <c r="F61" i="7"/>
  <c r="F67" i="7"/>
  <c r="G15" i="5"/>
  <c r="G18" i="5"/>
  <c r="G21" i="5"/>
  <c r="G23" i="5"/>
  <c r="H16" i="5"/>
  <c r="G16" i="5"/>
  <c r="F82" i="7"/>
  <c r="B8" i="5"/>
  <c r="B9" i="5" s="1"/>
  <c r="J19" i="5"/>
  <c r="L19" i="5" s="1"/>
  <c r="N109" i="5" l="1"/>
  <c r="N169" i="5"/>
  <c r="N148" i="5"/>
  <c r="N151" i="5"/>
  <c r="N175" i="5"/>
  <c r="N178" i="5"/>
  <c r="N172" i="5"/>
  <c r="I186" i="5"/>
  <c r="K186" i="5" s="1"/>
  <c r="I227" i="5"/>
  <c r="K227" i="5" s="1"/>
  <c r="I191" i="5"/>
  <c r="K191" i="5" s="1"/>
  <c r="I213" i="5"/>
  <c r="K213" i="5" s="1"/>
  <c r="I183" i="5"/>
  <c r="K183" i="5" s="1"/>
  <c r="I222" i="5"/>
  <c r="K222" i="5" s="1"/>
  <c r="I187" i="5"/>
  <c r="K187" i="5" s="1"/>
  <c r="M187" i="5" s="1"/>
  <c r="I205" i="5"/>
  <c r="K205" i="5" s="1"/>
  <c r="M205" i="5" s="1"/>
  <c r="I212" i="5"/>
  <c r="K212" i="5" s="1"/>
  <c r="I223" i="5"/>
  <c r="K223" i="5" s="1"/>
  <c r="I188" i="5"/>
  <c r="K188" i="5" s="1"/>
  <c r="I207" i="5"/>
  <c r="K207" i="5" s="1"/>
  <c r="I215" i="5"/>
  <c r="K215" i="5" s="1"/>
  <c r="I203" i="5"/>
  <c r="K203" i="5" s="1"/>
  <c r="I218" i="5"/>
  <c r="K218" i="5" s="1"/>
  <c r="I206" i="5"/>
  <c r="K206" i="5" s="1"/>
  <c r="I198" i="5"/>
  <c r="K198" i="5" s="1"/>
  <c r="I184" i="5"/>
  <c r="K184" i="5" s="1"/>
  <c r="I196" i="5"/>
  <c r="K196" i="5" s="1"/>
  <c r="I220" i="5"/>
  <c r="K220" i="5" s="1"/>
  <c r="I195" i="5"/>
  <c r="K195" i="5" s="1"/>
  <c r="I226" i="5"/>
  <c r="K226" i="5" s="1"/>
  <c r="I193" i="5"/>
  <c r="K193" i="5" s="1"/>
  <c r="I208" i="5"/>
  <c r="K208" i="5" s="1"/>
  <c r="I216" i="5"/>
  <c r="K216" i="5" s="1"/>
  <c r="I228" i="5"/>
  <c r="K228" i="5" s="1"/>
  <c r="I192" i="5"/>
  <c r="K192" i="5" s="1"/>
  <c r="I210" i="5"/>
  <c r="K210" i="5" s="1"/>
  <c r="I204" i="5"/>
  <c r="K204" i="5" s="1"/>
  <c r="I185" i="5"/>
  <c r="K185" i="5" s="1"/>
  <c r="I197" i="5"/>
  <c r="K197" i="5" s="1"/>
  <c r="I221" i="5"/>
  <c r="K221" i="5" s="1"/>
  <c r="I199" i="5"/>
  <c r="K199" i="5" s="1"/>
  <c r="I181" i="5"/>
  <c r="K181" i="5" s="1"/>
  <c r="I194" i="5"/>
  <c r="K194" i="5" s="1"/>
  <c r="I209" i="5"/>
  <c r="K209" i="5" s="1"/>
  <c r="I217" i="5"/>
  <c r="K217" i="5" s="1"/>
  <c r="I190" i="5"/>
  <c r="K190" i="5" s="1"/>
  <c r="I201" i="5"/>
  <c r="K201" i="5" s="1"/>
  <c r="I214" i="5"/>
  <c r="K214" i="5" s="1"/>
  <c r="M214" i="5" s="1"/>
  <c r="I219" i="5"/>
  <c r="K219" i="5" s="1"/>
  <c r="I189" i="5"/>
  <c r="K189" i="5" s="1"/>
  <c r="I202" i="5"/>
  <c r="K202" i="5" s="1"/>
  <c r="M202" i="5" s="1"/>
  <c r="I225" i="5"/>
  <c r="K225" i="5" s="1"/>
  <c r="I182" i="5"/>
  <c r="K182" i="5" s="1"/>
  <c r="I211" i="5"/>
  <c r="K211" i="5" s="1"/>
  <c r="I200" i="5"/>
  <c r="K200" i="5" s="1"/>
  <c r="I224" i="5"/>
  <c r="K224" i="5" s="1"/>
  <c r="N145" i="5"/>
  <c r="N121" i="5"/>
  <c r="N118" i="5"/>
  <c r="N139" i="5"/>
  <c r="N124" i="5"/>
  <c r="N115" i="5"/>
  <c r="N154" i="5"/>
  <c r="N142" i="5"/>
  <c r="N112" i="5"/>
  <c r="N130" i="5"/>
  <c r="N163" i="5"/>
  <c r="N136" i="5"/>
  <c r="N166" i="5"/>
  <c r="N127" i="5"/>
  <c r="N133" i="5"/>
  <c r="N103" i="5"/>
  <c r="N106" i="5"/>
  <c r="I150" i="5"/>
  <c r="K150" i="5" s="1"/>
  <c r="I158" i="5"/>
  <c r="K158" i="5" s="1"/>
  <c r="I116" i="5"/>
  <c r="K116" i="5" s="1"/>
  <c r="I139" i="5"/>
  <c r="K139" i="5" s="1"/>
  <c r="I111" i="5"/>
  <c r="K111" i="5" s="1"/>
  <c r="I165" i="5"/>
  <c r="K165" i="5" s="1"/>
  <c r="I117" i="5"/>
  <c r="K117" i="5" s="1"/>
  <c r="I133" i="5"/>
  <c r="K133" i="5" s="1"/>
  <c r="I145" i="5"/>
  <c r="K145" i="5" s="1"/>
  <c r="I154" i="5"/>
  <c r="K154" i="5" s="1"/>
  <c r="I164" i="5"/>
  <c r="K164" i="5" s="1"/>
  <c r="I173" i="5"/>
  <c r="K173" i="5" s="1"/>
  <c r="I127" i="5"/>
  <c r="K127" i="5" s="1"/>
  <c r="I156" i="5"/>
  <c r="K156" i="5" s="1"/>
  <c r="I124" i="5"/>
  <c r="K124" i="5" s="1"/>
  <c r="I177" i="5"/>
  <c r="K177" i="5" s="1"/>
  <c r="I120" i="5"/>
  <c r="K120" i="5" s="1"/>
  <c r="I142" i="5"/>
  <c r="K142" i="5" s="1"/>
  <c r="I159" i="5"/>
  <c r="K159" i="5" s="1"/>
  <c r="I176" i="5"/>
  <c r="K176" i="5" s="1"/>
  <c r="I174" i="5"/>
  <c r="K174" i="5" s="1"/>
  <c r="I137" i="5"/>
  <c r="K137" i="5" s="1"/>
  <c r="I109" i="5"/>
  <c r="K109" i="5" s="1"/>
  <c r="I129" i="5"/>
  <c r="K129" i="5" s="1"/>
  <c r="I143" i="5"/>
  <c r="K143" i="5" s="1"/>
  <c r="I166" i="5"/>
  <c r="K166" i="5" s="1"/>
  <c r="I128" i="5"/>
  <c r="K128" i="5" s="1"/>
  <c r="I161" i="5"/>
  <c r="K161" i="5" s="1"/>
  <c r="I125" i="5"/>
  <c r="K125" i="5" s="1"/>
  <c r="I112" i="5"/>
  <c r="K112" i="5" s="1"/>
  <c r="I122" i="5"/>
  <c r="K122" i="5" s="1"/>
  <c r="I141" i="5"/>
  <c r="K141" i="5" s="1"/>
  <c r="I149" i="5"/>
  <c r="K149" i="5" s="1"/>
  <c r="I162" i="5"/>
  <c r="K162" i="5" s="1"/>
  <c r="I171" i="5"/>
  <c r="K171" i="5" s="1"/>
  <c r="I179" i="5"/>
  <c r="K179" i="5" s="1"/>
  <c r="I140" i="5"/>
  <c r="K140" i="5" s="1"/>
  <c r="I114" i="5"/>
  <c r="K114" i="5" s="1"/>
  <c r="I152" i="5"/>
  <c r="K152" i="5" s="1"/>
  <c r="I110" i="5"/>
  <c r="K110" i="5" s="1"/>
  <c r="I130" i="5"/>
  <c r="K130" i="5" s="1"/>
  <c r="I146" i="5"/>
  <c r="K146" i="5" s="1"/>
  <c r="I169" i="5"/>
  <c r="K169" i="5" s="1"/>
  <c r="I138" i="5"/>
  <c r="K138" i="5" s="1"/>
  <c r="I170" i="5"/>
  <c r="K170" i="5" s="1"/>
  <c r="I135" i="5"/>
  <c r="K135" i="5" s="1"/>
  <c r="I113" i="5"/>
  <c r="K113" i="5" s="1"/>
  <c r="I132" i="5"/>
  <c r="K132" i="5" s="1"/>
  <c r="I144" i="5"/>
  <c r="K144" i="5" s="1"/>
  <c r="I153" i="5"/>
  <c r="K153" i="5" s="1"/>
  <c r="I163" i="5"/>
  <c r="K163" i="5" s="1"/>
  <c r="I172" i="5"/>
  <c r="K172" i="5" s="1"/>
  <c r="I123" i="5"/>
  <c r="K123" i="5" s="1"/>
  <c r="I148" i="5"/>
  <c r="K148" i="5" s="1"/>
  <c r="I118" i="5"/>
  <c r="K118" i="5" s="1"/>
  <c r="I168" i="5"/>
  <c r="K168" i="5" s="1"/>
  <c r="I115" i="5"/>
  <c r="K115" i="5" s="1"/>
  <c r="I131" i="5"/>
  <c r="K131" i="5" s="1"/>
  <c r="I157" i="5"/>
  <c r="K157" i="5" s="1"/>
  <c r="I175" i="5"/>
  <c r="K175" i="5" s="1"/>
  <c r="M175" i="5" s="1"/>
  <c r="I126" i="5"/>
  <c r="K126" i="5" s="1"/>
  <c r="I151" i="5"/>
  <c r="K151" i="5" s="1"/>
  <c r="I119" i="5"/>
  <c r="K119" i="5" s="1"/>
  <c r="I180" i="5"/>
  <c r="K180" i="5" s="1"/>
  <c r="I121" i="5"/>
  <c r="K121" i="5" s="1"/>
  <c r="I134" i="5"/>
  <c r="K134" i="5" s="1"/>
  <c r="I147" i="5"/>
  <c r="K147" i="5" s="1"/>
  <c r="I160" i="5"/>
  <c r="K160" i="5" s="1"/>
  <c r="I167" i="5"/>
  <c r="K167" i="5" s="1"/>
  <c r="I178" i="5"/>
  <c r="K178" i="5" s="1"/>
  <c r="I136" i="5"/>
  <c r="K136" i="5" s="1"/>
  <c r="I155" i="5"/>
  <c r="K155" i="5" s="1"/>
  <c r="I22" i="5"/>
  <c r="K22" i="5" s="1"/>
  <c r="I94" i="5"/>
  <c r="K94" i="5" s="1"/>
  <c r="I104" i="5"/>
  <c r="K104" i="5" s="1"/>
  <c r="I93" i="5"/>
  <c r="K93" i="5" s="1"/>
  <c r="I108" i="5"/>
  <c r="K108" i="5" s="1"/>
  <c r="I98" i="5"/>
  <c r="K98" i="5" s="1"/>
  <c r="I107" i="5"/>
  <c r="K107" i="5" s="1"/>
  <c r="I95" i="5"/>
  <c r="K95" i="5" s="1"/>
  <c r="I101" i="5"/>
  <c r="K101" i="5" s="1"/>
  <c r="I100" i="5"/>
  <c r="K100" i="5" s="1"/>
  <c r="I92" i="5"/>
  <c r="K92" i="5" s="1"/>
  <c r="I105" i="5"/>
  <c r="K105" i="5" s="1"/>
  <c r="I103" i="5"/>
  <c r="K103" i="5" s="1"/>
  <c r="I106" i="5"/>
  <c r="K106" i="5" s="1"/>
  <c r="I91" i="5"/>
  <c r="K91" i="5" s="1"/>
  <c r="I99" i="5"/>
  <c r="K99" i="5" s="1"/>
  <c r="I96" i="5"/>
  <c r="K96" i="5" s="1"/>
  <c r="I97" i="5"/>
  <c r="K97" i="5" s="1"/>
  <c r="I102" i="5"/>
  <c r="K102" i="5" s="1"/>
  <c r="G24" i="5"/>
  <c r="I24" i="5" s="1"/>
  <c r="K24" i="5" s="1"/>
  <c r="I33" i="5"/>
  <c r="K33" i="5" s="1"/>
  <c r="I19" i="5"/>
  <c r="K19" i="5" s="1"/>
  <c r="I40" i="5"/>
  <c r="K40" i="5" s="1"/>
  <c r="I58" i="5"/>
  <c r="K58" i="5" s="1"/>
  <c r="J44" i="5"/>
  <c r="L44" i="5" s="1"/>
  <c r="J14" i="5"/>
  <c r="L14" i="5" s="1"/>
  <c r="I64" i="5"/>
  <c r="K64" i="5" s="1"/>
  <c r="I32" i="5"/>
  <c r="K32" i="5" s="1"/>
  <c r="I76" i="5"/>
  <c r="K76" i="5" s="1"/>
  <c r="I79" i="5"/>
  <c r="K79" i="5" s="1"/>
  <c r="I45" i="5"/>
  <c r="K45" i="5" s="1"/>
  <c r="I47" i="5"/>
  <c r="K47" i="5" s="1"/>
  <c r="I38" i="5"/>
  <c r="K38" i="5" s="1"/>
  <c r="I54" i="5"/>
  <c r="K54" i="5" s="1"/>
  <c r="I27" i="5"/>
  <c r="K27" i="5" s="1"/>
  <c r="I65" i="5"/>
  <c r="K65" i="5" s="1"/>
  <c r="I36" i="5"/>
  <c r="K36" i="5" s="1"/>
  <c r="I80" i="5"/>
  <c r="K80" i="5" s="1"/>
  <c r="I55" i="5"/>
  <c r="K55" i="5" s="1"/>
  <c r="I83" i="5"/>
  <c r="K83" i="5" s="1"/>
  <c r="I85" i="5"/>
  <c r="K85" i="5" s="1"/>
  <c r="I66" i="5"/>
  <c r="K66" i="5" s="1"/>
  <c r="I37" i="5"/>
  <c r="K37" i="5" s="1"/>
  <c r="I57" i="5"/>
  <c r="K57" i="5" s="1"/>
  <c r="I41" i="5"/>
  <c r="K41" i="5" s="1"/>
  <c r="I73" i="5"/>
  <c r="K73" i="5" s="1"/>
  <c r="I71" i="5"/>
  <c r="K71" i="5" s="1"/>
  <c r="I67" i="5"/>
  <c r="K67" i="5" s="1"/>
  <c r="I56" i="5"/>
  <c r="K56" i="5" s="1"/>
  <c r="I69" i="5"/>
  <c r="K69" i="5" s="1"/>
  <c r="I25" i="5"/>
  <c r="K25" i="5" s="1"/>
  <c r="I51" i="5"/>
  <c r="K51" i="5" s="1"/>
  <c r="I78" i="5"/>
  <c r="K78" i="5" s="1"/>
  <c r="I28" i="5"/>
  <c r="K28" i="5" s="1"/>
  <c r="I35" i="5"/>
  <c r="K35" i="5" s="1"/>
  <c r="I63" i="5"/>
  <c r="K63" i="5" s="1"/>
  <c r="I42" i="5"/>
  <c r="K42" i="5" s="1"/>
  <c r="I86" i="5"/>
  <c r="K86" i="5" s="1"/>
  <c r="I82" i="5"/>
  <c r="K82" i="5" s="1"/>
  <c r="I18" i="5"/>
  <c r="K18" i="5" s="1"/>
  <c r="I59" i="5"/>
  <c r="K59" i="5" s="1"/>
  <c r="I21" i="5"/>
  <c r="K21" i="5" s="1"/>
  <c r="I62" i="5"/>
  <c r="K62" i="5" s="1"/>
  <c r="I15" i="5"/>
  <c r="K15" i="5" s="1"/>
  <c r="I13" i="5"/>
  <c r="K13" i="5" s="1"/>
  <c r="I77" i="5"/>
  <c r="K77" i="5" s="1"/>
  <c r="I52" i="5"/>
  <c r="K52" i="5" s="1"/>
  <c r="I74" i="5"/>
  <c r="K74" i="5" s="1"/>
  <c r="I68" i="5"/>
  <c r="K68" i="5" s="1"/>
  <c r="I87" i="5"/>
  <c r="K87" i="5" s="1"/>
  <c r="I84" i="5"/>
  <c r="K84" i="5" s="1"/>
  <c r="I50" i="5"/>
  <c r="K50" i="5" s="1"/>
  <c r="I29" i="5"/>
  <c r="K29" i="5" s="1"/>
  <c r="I46" i="5"/>
  <c r="K46" i="5" s="1"/>
  <c r="I60" i="5"/>
  <c r="K60" i="5" s="1"/>
  <c r="I20" i="5"/>
  <c r="K20" i="5" s="1"/>
  <c r="I34" i="5"/>
  <c r="K34" i="5" s="1"/>
  <c r="I81" i="5"/>
  <c r="K81" i="5" s="1"/>
  <c r="I61" i="5"/>
  <c r="K61" i="5" s="1"/>
  <c r="I43" i="5"/>
  <c r="K43" i="5" s="1"/>
  <c r="I30" i="5"/>
  <c r="K30" i="5" s="1"/>
  <c r="I16" i="5"/>
  <c r="K16" i="5" s="1"/>
  <c r="I23" i="5"/>
  <c r="K23" i="5" s="1"/>
  <c r="I70" i="5"/>
  <c r="K70" i="5" s="1"/>
  <c r="I49" i="5"/>
  <c r="K49" i="5" s="1"/>
  <c r="I48" i="5"/>
  <c r="K48" i="5" s="1"/>
  <c r="I88" i="5"/>
  <c r="K88" i="5" s="1"/>
  <c r="I90" i="5"/>
  <c r="K90" i="5" s="1"/>
  <c r="I44" i="5"/>
  <c r="K44" i="5" s="1"/>
  <c r="I26" i="5"/>
  <c r="K26" i="5" s="1"/>
  <c r="I72" i="5"/>
  <c r="K72" i="5" s="1"/>
  <c r="I14" i="5"/>
  <c r="K14" i="5" s="1"/>
  <c r="I89" i="5"/>
  <c r="K89" i="5" s="1"/>
  <c r="I17" i="5"/>
  <c r="K17" i="5" s="1"/>
  <c r="I39" i="5"/>
  <c r="K39" i="5" s="1"/>
  <c r="J59" i="5"/>
  <c r="L59" i="5" s="1"/>
  <c r="I31" i="5"/>
  <c r="K31" i="5" s="1"/>
  <c r="J60" i="5"/>
  <c r="L60" i="5" s="1"/>
  <c r="J35" i="5"/>
  <c r="L35" i="5" s="1"/>
  <c r="J67" i="5"/>
  <c r="L67" i="5" s="1"/>
  <c r="J49" i="5"/>
  <c r="L49" i="5" s="1"/>
  <c r="J28" i="5"/>
  <c r="L28" i="5" s="1"/>
  <c r="J76" i="5"/>
  <c r="L76" i="5" s="1"/>
  <c r="J86" i="5"/>
  <c r="L86" i="5" s="1"/>
  <c r="J27" i="5"/>
  <c r="L27" i="5" s="1"/>
  <c r="J45" i="5"/>
  <c r="L45" i="5" s="1"/>
  <c r="J17" i="5"/>
  <c r="L17" i="5" s="1"/>
  <c r="J48" i="5"/>
  <c r="L48" i="5" s="1"/>
  <c r="J64" i="5"/>
  <c r="L64" i="5" s="1"/>
  <c r="J41" i="5"/>
  <c r="L41" i="5" s="1"/>
  <c r="J50" i="5"/>
  <c r="L50" i="5" s="1"/>
  <c r="J74" i="5"/>
  <c r="L74" i="5" s="1"/>
  <c r="J42" i="5"/>
  <c r="L42" i="5" s="1"/>
  <c r="J85" i="5"/>
  <c r="L85" i="5" s="1"/>
  <c r="J46" i="5"/>
  <c r="L46" i="5" s="1"/>
  <c r="J88" i="5"/>
  <c r="L88" i="5" s="1"/>
  <c r="J20" i="5"/>
  <c r="L20" i="5" s="1"/>
  <c r="J39" i="5"/>
  <c r="L39" i="5" s="1"/>
  <c r="J55" i="5"/>
  <c r="L55" i="5" s="1"/>
  <c r="J54" i="5"/>
  <c r="L54" i="5" s="1"/>
  <c r="J69" i="5"/>
  <c r="L69" i="5" s="1"/>
  <c r="J33" i="5"/>
  <c r="L33" i="5" s="1"/>
  <c r="J24" i="5"/>
  <c r="L24" i="5" s="1"/>
  <c r="J78" i="5"/>
  <c r="L78" i="5" s="1"/>
  <c r="J66" i="5"/>
  <c r="L66" i="5" s="1"/>
  <c r="J87" i="5"/>
  <c r="L87" i="5" s="1"/>
  <c r="J31" i="5"/>
  <c r="L31" i="5" s="1"/>
  <c r="J84" i="5"/>
  <c r="L84" i="5" s="1"/>
  <c r="J37" i="5"/>
  <c r="L37" i="5" s="1"/>
  <c r="J71" i="5"/>
  <c r="L71" i="5" s="1"/>
  <c r="J61" i="5"/>
  <c r="L61" i="5" s="1"/>
  <c r="J22" i="5"/>
  <c r="L22" i="5" s="1"/>
  <c r="J68" i="5"/>
  <c r="L68" i="5" s="1"/>
  <c r="J53" i="5"/>
  <c r="L53" i="5" s="1"/>
  <c r="J26" i="5"/>
  <c r="L26" i="5" s="1"/>
  <c r="J70" i="5"/>
  <c r="L70" i="5" s="1"/>
  <c r="J34" i="5"/>
  <c r="L34" i="5" s="1"/>
  <c r="J56" i="5"/>
  <c r="L56" i="5" s="1"/>
  <c r="J21" i="5"/>
  <c r="L21" i="5" s="1"/>
  <c r="J15" i="5"/>
  <c r="L15" i="5" s="1"/>
  <c r="J29" i="5"/>
  <c r="L29" i="5" s="1"/>
  <c r="J81" i="5"/>
  <c r="L81" i="5" s="1"/>
  <c r="J40" i="5"/>
  <c r="L40" i="5" s="1"/>
  <c r="J58" i="5"/>
  <c r="L58" i="5" s="1"/>
  <c r="J52" i="5"/>
  <c r="L52" i="5" s="1"/>
  <c r="J79" i="5"/>
  <c r="L79" i="5" s="1"/>
  <c r="J90" i="5"/>
  <c r="L90" i="5" s="1"/>
  <c r="J57" i="5"/>
  <c r="L57" i="5" s="1"/>
  <c r="J65" i="5"/>
  <c r="L65" i="5" s="1"/>
  <c r="J43" i="5"/>
  <c r="L43" i="5" s="1"/>
  <c r="J32" i="5"/>
  <c r="L32" i="5" s="1"/>
  <c r="J62" i="5"/>
  <c r="L62" i="5" s="1"/>
  <c r="J13" i="5"/>
  <c r="L13" i="5" s="1"/>
  <c r="J89" i="5"/>
  <c r="L89" i="5" s="1"/>
  <c r="J82" i="5"/>
  <c r="L82" i="5" s="1"/>
  <c r="J72" i="5"/>
  <c r="L72" i="5" s="1"/>
  <c r="J77" i="5"/>
  <c r="L77" i="5" s="1"/>
  <c r="J30" i="5"/>
  <c r="L30" i="5" s="1"/>
  <c r="J38" i="5"/>
  <c r="L38" i="5" s="1"/>
  <c r="J73" i="5"/>
  <c r="L73" i="5" s="1"/>
  <c r="J25" i="5"/>
  <c r="L25" i="5" s="1"/>
  <c r="J63" i="5"/>
  <c r="L63" i="5" s="1"/>
  <c r="J18" i="5"/>
  <c r="L18" i="5" s="1"/>
  <c r="J23" i="5"/>
  <c r="L23" i="5" s="1"/>
  <c r="J36" i="5"/>
  <c r="L36" i="5" s="1"/>
  <c r="J75" i="5"/>
  <c r="L75" i="5" s="1"/>
  <c r="J80" i="5"/>
  <c r="L80" i="5" s="1"/>
  <c r="J16" i="5"/>
  <c r="L16" i="5" s="1"/>
  <c r="J51" i="5"/>
  <c r="L51" i="5" s="1"/>
  <c r="J83" i="5"/>
  <c r="L83" i="5" s="1"/>
  <c r="J47" i="5"/>
  <c r="L47" i="5" s="1"/>
  <c r="I75" i="5"/>
  <c r="K75" i="5" s="1"/>
  <c r="I53" i="5"/>
  <c r="K53" i="5" s="1"/>
  <c r="M172" i="5" l="1"/>
  <c r="M178" i="5"/>
  <c r="M169" i="5"/>
  <c r="M196" i="5"/>
  <c r="M211" i="5"/>
  <c r="M190" i="5"/>
  <c r="M181" i="5"/>
  <c r="M184" i="5"/>
  <c r="M208" i="5"/>
  <c r="M193" i="5"/>
  <c r="M199" i="5"/>
  <c r="N79" i="5"/>
  <c r="M148" i="5"/>
  <c r="M145" i="5"/>
  <c r="N82" i="5"/>
  <c r="M79" i="5"/>
  <c r="M82" i="5"/>
  <c r="N88" i="5"/>
  <c r="N85" i="5"/>
  <c r="M85" i="5"/>
  <c r="M88" i="5"/>
  <c r="M121" i="5"/>
  <c r="M115" i="5"/>
  <c r="M163" i="5"/>
  <c r="M130" i="5"/>
  <c r="M133" i="5"/>
  <c r="M106" i="5"/>
  <c r="M139" i="5"/>
  <c r="M103" i="5"/>
  <c r="M136" i="5"/>
  <c r="M118" i="5"/>
  <c r="M109" i="5"/>
  <c r="M124" i="5"/>
  <c r="M151" i="5"/>
  <c r="M112" i="5"/>
  <c r="M166" i="5"/>
  <c r="M142" i="5"/>
  <c r="M154" i="5"/>
  <c r="M127" i="5"/>
  <c r="N25" i="5"/>
  <c r="M40" i="5"/>
  <c r="M49" i="5"/>
  <c r="M76" i="5"/>
  <c r="M43" i="5"/>
  <c r="N52" i="5"/>
  <c r="M31" i="5"/>
  <c r="M25" i="5"/>
  <c r="M55" i="5"/>
  <c r="M34" i="5"/>
  <c r="M58" i="5"/>
  <c r="M52" i="5"/>
  <c r="M46" i="5"/>
  <c r="M37" i="5"/>
  <c r="M67" i="5"/>
  <c r="M70" i="5"/>
  <c r="M73" i="5"/>
  <c r="N40" i="5"/>
  <c r="N43" i="5"/>
  <c r="N37" i="5"/>
  <c r="N46" i="5"/>
  <c r="N49" i="5"/>
  <c r="N73" i="5"/>
  <c r="N67" i="5"/>
  <c r="N58" i="5"/>
  <c r="N34" i="5"/>
  <c r="N55" i="5"/>
  <c r="N76" i="5"/>
  <c r="N70" i="5"/>
  <c r="N31" i="5"/>
  <c r="N28" i="5"/>
</calcChain>
</file>

<file path=xl/sharedStrings.xml><?xml version="1.0" encoding="utf-8"?>
<sst xmlns="http://schemas.openxmlformats.org/spreadsheetml/2006/main" count="300" uniqueCount="103">
  <si>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</si>
  <si>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</si>
  <si>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</si>
  <si>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</si>
  <si>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</si>
  <si>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</si>
  <si>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</si>
  <si>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</si>
  <si>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</si>
  <si>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</si>
  <si>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</si>
  <si>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</si>
  <si>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</si>
  <si>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</si>
  <si>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</si>
  <si>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</si>
  <si>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</si>
  <si>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</si>
  <si>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</si>
  <si>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</si>
  <si>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</si>
  <si>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</si>
  <si>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</si>
  <si>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</si>
  <si>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</si>
  <si>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</si>
  <si>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</si>
  <si>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</si>
  <si>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</si>
  <si>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</si>
  <si>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</si>
  <si>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</si>
  <si>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</si>
  <si>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</si>
  <si>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</si>
  <si>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</si>
  <si>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</si>
  <si>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</si>
  <si>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</si>
  <si>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</si>
  <si>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</si>
  <si>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</si>
  <si>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</si>
  <si>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</si>
  <si>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</si>
  <si>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</si>
  <si>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</si>
  <si>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</si>
  <si>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</si>
  <si>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</si>
  <si>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</si>
  <si>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</si>
  <si>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</si>
  <si>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</si>
  <si>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</si>
  <si>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</si>
  <si>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</si>
  <si>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</si>
  <si>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</si>
  <si>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</si>
  <si>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</si>
  <si>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</si>
  <si>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</si>
  <si>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</si>
  <si>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</si>
  <si>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</si>
  <si>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</si>
  <si>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</si>
  <si>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</si>
  <si>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</si>
  <si>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</si>
  <si>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</si>
  <si>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</si>
  <si>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</si>
  <si>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</si>
  <si>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051221-LS-WM-5m-To</t>
  </si>
  <si>
    <t>051221-LS-WM-35m-To</t>
  </si>
  <si>
    <t>051221-LS-WM-163m-To</t>
  </si>
  <si>
    <t>051321-LS-WM-5m-Tf</t>
  </si>
  <si>
    <t>051321-LS-WM-35m-Tf</t>
  </si>
  <si>
    <t>051321-LS-WM-163m-Tf</t>
  </si>
  <si>
    <t>051321-LS-SB-5m-To</t>
  </si>
  <si>
    <t>051321-LS-SB-33m-To</t>
  </si>
  <si>
    <t>051421-LS-SB-5m-Tf</t>
  </si>
  <si>
    <t>051421-LS-SB-33m-Tf</t>
  </si>
  <si>
    <t>051421-LS-WM-C-IN-To</t>
  </si>
  <si>
    <t>051521-LS-WM-C-IN-T1</t>
  </si>
  <si>
    <t>051621-LS-WM-C-IN-T2</t>
  </si>
  <si>
    <t>051421-LS-SB-C-IN-To</t>
  </si>
  <si>
    <t>051521-LS-SB-C-IN-T1</t>
  </si>
  <si>
    <t>051621-LS-SB-C-IN-T2</t>
  </si>
  <si>
    <t>051421-LS-WM-C-1-To</t>
  </si>
  <si>
    <t>051521-LS-WM-C-1-T1</t>
  </si>
  <si>
    <t>051621-LS-WM-C-1-T2</t>
  </si>
  <si>
    <t>051421-LS-SB-C-1-To</t>
  </si>
  <si>
    <t>051521-LS-SB-C-1-T1</t>
  </si>
  <si>
    <t>051621-LS-SB-C-1-T2</t>
  </si>
  <si>
    <t>051421-LS-WM-C-2-To</t>
  </si>
  <si>
    <t>051521-LS-WM-C-2-T1</t>
  </si>
  <si>
    <t>051621-LS-WM-C-2-T2</t>
  </si>
  <si>
    <t>051421-LS-SB-C-2-To</t>
  </si>
  <si>
    <t>051521-LS-SB-C-2-T1</t>
  </si>
  <si>
    <t>051621-LS-SB-C-2-T2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</si>
</sst>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E+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9" fontId="0" fillId="0" borderId="0" xfId="0" applyNumberForma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9"/>
  <sheetViews>
    <sheetView topLeftCell="A177" zoomScaleNormal="100" workbookViewId="0">
      <selection activeCell="M98" sqref="M98"/>
    </sheetView>
  </sheetViews>
  <sheetFormatPr baseColWidth="10" defaultColWidth="8.83203125" defaultRowHeight="13" x14ac:dyDescent="0.15"/>
  <cols>
    <col min="1" max="1" width="10.1640625" bestFit="1" customWidth="1"/>
    <col min="2" max="2" width="14" customWidth="1"/>
    <col min="3" max="3" width="10.33203125" customWidth="1"/>
    <col min="4" max="4" width="11.1640625" customWidth="1"/>
    <col min="5" max="5" width="10.5" customWidth="1"/>
    <col min="6" max="7" width="10.1640625" customWidth="1"/>
    <col min="8" max="8" width="9.1640625" customWidth="1"/>
    <col min="9" max="9" width="13.5" customWidth="1"/>
    <col min="10" max="10" width="3.5" customWidth="1"/>
    <col min="11" max="12" width="5.33203125" customWidth="1"/>
  </cols>
  <sheetData>
    <row r="1" spans="1:13" x14ac:dyDescent="0.15">
      <c r="A1" t="s">
        <v>74</v>
      </c>
      <c r="B1" s="15"/>
    </row>
    <row r="3" spans="1:13" x14ac:dyDescent="0.15">
      <c r="A3" s="12"/>
    </row>
    <row r="6" spans="1:13" x14ac:dyDescent="0.1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1</v>
      </c>
    </row>
    <row r="8" spans="1:13" x14ac:dyDescent="0.15">
      <c r="A8" t="s">
        <v>64</v>
      </c>
      <c r="B8" s="19">
        <v>0.42827546296296298</v>
      </c>
      <c r="C8" s="11">
        <v>6.2416560000000001E-8</v>
      </c>
      <c r="D8" s="11">
        <v>4.3927970000000001E-10</v>
      </c>
      <c r="E8" s="11">
        <v>1.1340010000000001E-11</v>
      </c>
      <c r="F8" s="11">
        <v>1.235414E-9</v>
      </c>
      <c r="G8" s="11">
        <v>3.008099E-8</v>
      </c>
      <c r="H8" s="3">
        <f>M8-M$8</f>
        <v>0</v>
      </c>
      <c r="I8" s="19">
        <v>0.42827546296296298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15">
      <c r="B9" s="19">
        <v>0.42836805555555557</v>
      </c>
      <c r="C9" s="11">
        <v>6.2495660000000003E-8</v>
      </c>
      <c r="D9" s="11">
        <v>4.3965840000000002E-10</v>
      </c>
      <c r="E9" s="11">
        <v>1.1507380000000001E-11</v>
      </c>
      <c r="F9" s="11">
        <v>1.236902E-9</v>
      </c>
      <c r="G9" s="11">
        <v>3.0091040000000001E-8</v>
      </c>
      <c r="H9" s="3">
        <f t="shared" ref="H9:H72" si="0">M9-M$8</f>
        <v>0.13333333333332575</v>
      </c>
      <c r="I9" s="19">
        <v>0.42836805555555557</v>
      </c>
      <c r="J9">
        <v>10</v>
      </c>
      <c r="K9">
        <v>16</v>
      </c>
      <c r="L9">
        <v>51</v>
      </c>
      <c r="M9">
        <f t="shared" ref="M9:M72" si="1">J9*60+K9+L9/60</f>
        <v>616.85</v>
      </c>
    </row>
    <row r="10" spans="1:13" x14ac:dyDescent="0.15">
      <c r="B10" s="19">
        <v>0.42848379629629635</v>
      </c>
      <c r="C10" s="11">
        <v>6.2393889999999994E-8</v>
      </c>
      <c r="D10" s="11">
        <v>4.4069280000000002E-10</v>
      </c>
      <c r="E10" s="11">
        <v>1.144119E-11</v>
      </c>
      <c r="F10" s="11">
        <v>1.236542E-9</v>
      </c>
      <c r="G10" s="11">
        <v>3.0066949999999998E-8</v>
      </c>
      <c r="H10" s="3">
        <f t="shared" si="0"/>
        <v>0.29999999999995453</v>
      </c>
      <c r="I10" s="19">
        <v>0.42848379629629635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15">
      <c r="A11" t="s">
        <v>65</v>
      </c>
      <c r="B11" s="19">
        <v>0.43180555555555555</v>
      </c>
      <c r="C11" s="11">
        <v>5.2823250000000003E-8</v>
      </c>
      <c r="D11" s="11">
        <v>3.7174819999999998E-10</v>
      </c>
      <c r="E11" s="11">
        <v>1.067302E-11</v>
      </c>
      <c r="F11" s="11">
        <v>1.029773E-9</v>
      </c>
      <c r="G11" s="11">
        <v>2.5081219999999999E-8</v>
      </c>
      <c r="H11" s="3">
        <f t="shared" si="0"/>
        <v>5.0833333333332575</v>
      </c>
      <c r="I11" s="19">
        <v>0.43180555555555555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15">
      <c r="B12" s="19">
        <v>0.43189814814814814</v>
      </c>
      <c r="C12" s="11">
        <v>5.2773450000000003E-8</v>
      </c>
      <c r="D12" s="11">
        <v>3.7152859999999998E-10</v>
      </c>
      <c r="E12" s="11">
        <v>1.037504E-11</v>
      </c>
      <c r="F12" s="11">
        <v>1.031077E-9</v>
      </c>
      <c r="G12" s="11">
        <v>2.510491E-8</v>
      </c>
      <c r="H12" s="3">
        <f t="shared" si="0"/>
        <v>5.2166666666665833</v>
      </c>
      <c r="I12" s="19">
        <v>0.43189814814814814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15">
      <c r="B13" s="19">
        <v>0.43199074074074079</v>
      </c>
      <c r="C13" s="11">
        <v>5.278764E-8</v>
      </c>
      <c r="D13" s="11">
        <v>3.7179639999999999E-10</v>
      </c>
      <c r="E13" s="11">
        <v>1.0317779999999999E-11</v>
      </c>
      <c r="F13" s="11">
        <v>1.0314529999999999E-9</v>
      </c>
      <c r="G13" s="11">
        <v>2.505815E-8</v>
      </c>
      <c r="H13" s="3">
        <f t="shared" si="0"/>
        <v>5.3500000000000227</v>
      </c>
      <c r="I13" s="19">
        <v>0.43199074074074079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15">
      <c r="A14" t="s">
        <v>64</v>
      </c>
      <c r="B14" s="19">
        <v>0.435</v>
      </c>
      <c r="C14" s="11">
        <v>6.2116140000000003E-8</v>
      </c>
      <c r="D14" s="11">
        <v>4.3657489999999998E-10</v>
      </c>
      <c r="E14" s="11">
        <v>1.131205E-11</v>
      </c>
      <c r="F14" s="11">
        <v>1.227347E-9</v>
      </c>
      <c r="G14" s="11">
        <v>2.991718E-8</v>
      </c>
      <c r="H14" s="3">
        <f t="shared" si="0"/>
        <v>9.6833333333332803</v>
      </c>
      <c r="I14" s="19">
        <v>0.435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15">
      <c r="B15" s="19">
        <v>0.43509259259259259</v>
      </c>
      <c r="C15" s="11">
        <v>6.2185530000000001E-8</v>
      </c>
      <c r="D15" s="11">
        <v>4.370271E-10</v>
      </c>
      <c r="E15" s="11">
        <v>1.1409809999999999E-11</v>
      </c>
      <c r="F15" s="11">
        <v>1.2247699999999999E-9</v>
      </c>
      <c r="G15" s="11">
        <v>2.9915360000000002E-8</v>
      </c>
      <c r="H15" s="3">
        <f t="shared" si="0"/>
        <v>9.816666666666606</v>
      </c>
      <c r="I15" s="19">
        <v>0.43509259259259259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15">
      <c r="B16" s="19">
        <v>0.43524305555555554</v>
      </c>
      <c r="C16" s="11">
        <v>6.2141500000000001E-8</v>
      </c>
      <c r="D16" s="11">
        <v>4.3811850000000002E-10</v>
      </c>
      <c r="E16" s="11">
        <v>1.137642E-11</v>
      </c>
      <c r="F16" s="11">
        <v>1.2257430000000001E-9</v>
      </c>
      <c r="G16" s="11">
        <v>2.9930140000000002E-8</v>
      </c>
      <c r="H16" s="3">
        <f t="shared" si="0"/>
        <v>10.033333333333303</v>
      </c>
      <c r="I16" s="19">
        <v>0.43524305555555554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15">
      <c r="A17" t="s">
        <v>65</v>
      </c>
      <c r="B17" s="19">
        <v>0.43967592592592591</v>
      </c>
      <c r="C17" s="11">
        <v>5.2555339999999999E-8</v>
      </c>
      <c r="D17" s="11">
        <v>3.704886E-10</v>
      </c>
      <c r="E17" s="11">
        <v>1.021252E-11</v>
      </c>
      <c r="F17" s="11">
        <v>1.0239569999999999E-9</v>
      </c>
      <c r="G17" s="11">
        <v>2.4951639999999998E-8</v>
      </c>
      <c r="H17" s="3">
        <f t="shared" si="0"/>
        <v>16.416666666666629</v>
      </c>
      <c r="I17" s="19">
        <v>0.43967592592592591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15">
      <c r="B18" s="19">
        <v>0.4397685185185185</v>
      </c>
      <c r="C18" s="11">
        <v>5.2479319999999999E-8</v>
      </c>
      <c r="D18" s="11">
        <v>3.6980689999999998E-10</v>
      </c>
      <c r="E18" s="11">
        <v>1.027509E-11</v>
      </c>
      <c r="F18" s="11">
        <v>1.0244480000000001E-9</v>
      </c>
      <c r="G18" s="11">
        <v>2.4980539999999999E-8</v>
      </c>
      <c r="H18" s="3">
        <f t="shared" si="0"/>
        <v>16.549999999999955</v>
      </c>
      <c r="I18" s="19">
        <v>0.4397685185185185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15">
      <c r="B19" s="19">
        <v>0.43986111111111109</v>
      </c>
      <c r="C19" s="11">
        <v>5.2458050000000002E-8</v>
      </c>
      <c r="D19" s="11">
        <v>3.6898659999999999E-10</v>
      </c>
      <c r="E19" s="11">
        <v>1.0445889999999999E-11</v>
      </c>
      <c r="F19" s="11">
        <v>1.024887E-9</v>
      </c>
      <c r="G19" s="11">
        <v>2.493537E-8</v>
      </c>
      <c r="H19" s="3">
        <f t="shared" si="0"/>
        <v>16.68333333333328</v>
      </c>
      <c r="I19" s="19">
        <v>0.43986111111111109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15">
      <c r="A20" t="s">
        <v>75</v>
      </c>
      <c r="B20" s="19">
        <v>0.44369212962962962</v>
      </c>
      <c r="C20" s="11">
        <v>8.3693350000000006E-8</v>
      </c>
      <c r="D20" s="11">
        <v>5.8850649999999999E-10</v>
      </c>
      <c r="E20" s="11">
        <v>1.373352E-11</v>
      </c>
      <c r="F20" s="11">
        <v>1.702544E-9</v>
      </c>
      <c r="G20" s="11">
        <v>4.0959189999999997E-8</v>
      </c>
      <c r="H20" s="3">
        <f t="shared" si="0"/>
        <v>22.199999999999932</v>
      </c>
      <c r="I20" s="19">
        <v>0.44369212962962962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15">
      <c r="B21" s="19">
        <v>0.44378472222222221</v>
      </c>
      <c r="C21" s="11">
        <v>8.3663150000000001E-8</v>
      </c>
      <c r="D21" s="11">
        <v>5.8941840000000003E-10</v>
      </c>
      <c r="E21" s="11">
        <v>1.338887E-11</v>
      </c>
      <c r="F21" s="11">
        <v>1.703002E-9</v>
      </c>
      <c r="G21" s="11">
        <v>4.096912E-8</v>
      </c>
      <c r="H21" s="3">
        <f t="shared" si="0"/>
        <v>22.333333333333258</v>
      </c>
      <c r="I21" s="19">
        <v>0.44378472222222221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15">
      <c r="B22" s="19">
        <v>0.44387731481481479</v>
      </c>
      <c r="C22" s="11">
        <v>8.3683480000000003E-8</v>
      </c>
      <c r="D22" s="11">
        <v>5.8745129999999997E-10</v>
      </c>
      <c r="E22" s="11">
        <v>1.347484E-11</v>
      </c>
      <c r="F22" s="11">
        <v>1.704461E-9</v>
      </c>
      <c r="G22" s="11">
        <v>4.099073E-8</v>
      </c>
      <c r="H22" s="3">
        <f t="shared" si="0"/>
        <v>22.466666666666583</v>
      </c>
      <c r="I22" s="19">
        <v>0.44387731481481479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15">
      <c r="A23" t="s">
        <v>75</v>
      </c>
      <c r="B23" s="19">
        <v>0.44821759259259258</v>
      </c>
      <c r="C23" s="11">
        <v>8.7724650000000001E-8</v>
      </c>
      <c r="D23" s="11">
        <v>6.1635629999999999E-10</v>
      </c>
      <c r="E23" s="11">
        <v>1.407899E-11</v>
      </c>
      <c r="F23" s="11">
        <v>1.748913E-9</v>
      </c>
      <c r="G23" s="11">
        <v>4.2394060000000002E-8</v>
      </c>
      <c r="H23" s="3">
        <f t="shared" si="0"/>
        <v>28.716666666666583</v>
      </c>
      <c r="I23" s="19">
        <v>0.44821759259259258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15">
      <c r="B24" s="19">
        <v>0.448275462962963</v>
      </c>
      <c r="C24" s="11">
        <v>8.7760439999999994E-8</v>
      </c>
      <c r="D24" s="11">
        <v>6.1755080000000005E-10</v>
      </c>
      <c r="E24" s="11">
        <v>1.4061219999999999E-11</v>
      </c>
      <c r="F24" s="11">
        <v>1.750506E-9</v>
      </c>
      <c r="G24" s="11">
        <v>4.2414340000000001E-8</v>
      </c>
      <c r="H24" s="3">
        <f t="shared" si="0"/>
        <v>28.799999999999955</v>
      </c>
      <c r="I24" s="19">
        <v>0.448275462962963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15">
      <c r="B25" s="19">
        <v>0.44842592592592595</v>
      </c>
      <c r="C25" s="11">
        <v>8.769108E-8</v>
      </c>
      <c r="D25" s="11">
        <v>6.1607840000000001E-10</v>
      </c>
      <c r="E25" s="11">
        <v>1.3977670000000001E-11</v>
      </c>
      <c r="F25" s="11">
        <v>1.746226E-9</v>
      </c>
      <c r="G25" s="11">
        <v>4.2331689999999999E-8</v>
      </c>
      <c r="H25" s="3">
        <f t="shared" si="0"/>
        <v>29.016666666666652</v>
      </c>
      <c r="I25" s="19">
        <v>0.44842592592592595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15">
      <c r="A26" t="s">
        <v>76</v>
      </c>
      <c r="B26" s="19">
        <v>0.45291666666666663</v>
      </c>
      <c r="C26" s="11">
        <v>9.918642E-8</v>
      </c>
      <c r="D26" s="11">
        <v>6.7157340000000004E-10</v>
      </c>
      <c r="E26" s="11">
        <v>1.4912129999999999E-11</v>
      </c>
      <c r="F26" s="11">
        <v>1.796851E-9</v>
      </c>
      <c r="G26" s="11">
        <v>4.3720490000000001E-8</v>
      </c>
      <c r="H26" s="3">
        <f t="shared" si="0"/>
        <v>35.483333333333348</v>
      </c>
      <c r="I26" s="19">
        <v>0.45291666666666663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15">
      <c r="B27" s="19">
        <v>0.45300925925925922</v>
      </c>
      <c r="C27" s="11">
        <v>9.9081199999999997E-8</v>
      </c>
      <c r="D27" s="11">
        <v>6.7241030000000005E-10</v>
      </c>
      <c r="E27" s="11">
        <v>1.4890120000000001E-11</v>
      </c>
      <c r="F27" s="11">
        <v>1.7970830000000001E-9</v>
      </c>
      <c r="G27" s="11">
        <v>4.3640090000000001E-8</v>
      </c>
      <c r="H27" s="3">
        <f t="shared" si="0"/>
        <v>35.616666666666674</v>
      </c>
      <c r="I27" s="19">
        <v>0.45300925925925922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15">
      <c r="B28" s="19">
        <v>0.45306712962962964</v>
      </c>
      <c r="C28" s="11">
        <v>9.9154359999999998E-8</v>
      </c>
      <c r="D28" s="11">
        <v>6.7150820000000004E-10</v>
      </c>
      <c r="E28" s="11">
        <v>1.4776610000000001E-11</v>
      </c>
      <c r="F28" s="11">
        <v>1.797481E-9</v>
      </c>
      <c r="G28" s="11">
        <v>4.364976E-8</v>
      </c>
      <c r="H28" s="3">
        <f t="shared" si="0"/>
        <v>35.699999999999932</v>
      </c>
      <c r="I28" s="19">
        <v>0.45306712962962964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15">
      <c r="A29" t="s">
        <v>76</v>
      </c>
      <c r="B29" s="19">
        <v>0.45687499999999998</v>
      </c>
      <c r="C29" s="11">
        <v>8.2747050000000002E-8</v>
      </c>
      <c r="D29" s="11">
        <v>5.8212410000000002E-10</v>
      </c>
      <c r="E29" s="11">
        <v>1.379609E-11</v>
      </c>
      <c r="F29" s="11">
        <v>1.683016E-9</v>
      </c>
      <c r="G29" s="11">
        <v>4.0559090000000002E-8</v>
      </c>
      <c r="H29" s="3">
        <f t="shared" si="0"/>
        <v>41.18333333333328</v>
      </c>
      <c r="I29" s="19">
        <v>0.45687499999999998</v>
      </c>
      <c r="J29">
        <v>10</v>
      </c>
      <c r="K29">
        <v>57</v>
      </c>
      <c r="L29">
        <v>54</v>
      </c>
      <c r="M29">
        <f t="shared" si="1"/>
        <v>657.9</v>
      </c>
    </row>
    <row r="30" spans="1:13" x14ac:dyDescent="0.15">
      <c r="B30" s="19">
        <v>0.45696759259259262</v>
      </c>
      <c r="C30" s="11">
        <v>8.2639949999999995E-8</v>
      </c>
      <c r="D30" s="11">
        <v>5.8041029999999996E-10</v>
      </c>
      <c r="E30" s="11">
        <v>1.3605360000000001E-11</v>
      </c>
      <c r="F30" s="11">
        <v>1.6811180000000001E-9</v>
      </c>
      <c r="G30" s="11">
        <v>4.054422E-8</v>
      </c>
      <c r="H30" s="3">
        <f t="shared" si="0"/>
        <v>41.316666666666606</v>
      </c>
      <c r="I30" s="19">
        <v>0.45696759259259262</v>
      </c>
      <c r="J30">
        <v>10</v>
      </c>
      <c r="K30">
        <v>58</v>
      </c>
      <c r="L30">
        <v>2</v>
      </c>
      <c r="M30">
        <f t="shared" si="1"/>
        <v>658.0333333333333</v>
      </c>
    </row>
    <row r="31" spans="1:13" x14ac:dyDescent="0.15">
      <c r="B31" s="19">
        <v>0.45711805555555557</v>
      </c>
      <c r="C31" s="11">
        <v>8.2576119999999996E-8</v>
      </c>
      <c r="D31" s="11">
        <v>5.8151920000000003E-10</v>
      </c>
      <c r="E31" s="11">
        <v>1.400818E-11</v>
      </c>
      <c r="F31" s="11">
        <v>1.6813879999999999E-9</v>
      </c>
      <c r="G31" s="11">
        <v>4.058659E-8</v>
      </c>
      <c r="H31" s="3">
        <f t="shared" si="0"/>
        <v>41.533333333333303</v>
      </c>
      <c r="I31" s="19">
        <v>0.45711805555555557</v>
      </c>
      <c r="J31">
        <v>10</v>
      </c>
      <c r="K31">
        <v>58</v>
      </c>
      <c r="L31">
        <v>15</v>
      </c>
      <c r="M31">
        <f t="shared" si="1"/>
        <v>658.25</v>
      </c>
    </row>
    <row r="32" spans="1:13" x14ac:dyDescent="0.15">
      <c r="A32" t="s">
        <v>77</v>
      </c>
      <c r="B32" s="19">
        <v>0.45880787037037035</v>
      </c>
      <c r="C32" s="11">
        <v>8.3209100000000006E-8</v>
      </c>
      <c r="D32" s="11">
        <v>5.8444620000000001E-10</v>
      </c>
      <c r="E32" s="11">
        <v>1.366695E-11</v>
      </c>
      <c r="F32" s="11">
        <v>1.688964E-9</v>
      </c>
      <c r="G32" s="11">
        <v>4.07717E-8</v>
      </c>
      <c r="H32" s="3">
        <f t="shared" si="0"/>
        <v>43.966666666666583</v>
      </c>
      <c r="I32" s="19">
        <v>0.45880787037037035</v>
      </c>
      <c r="J32">
        <v>11</v>
      </c>
      <c r="K32">
        <v>0</v>
      </c>
      <c r="L32">
        <v>41</v>
      </c>
      <c r="M32">
        <f t="shared" si="1"/>
        <v>660.68333333333328</v>
      </c>
    </row>
    <row r="33" spans="1:13" x14ac:dyDescent="0.15">
      <c r="B33" s="19">
        <v>0.45886574074074077</v>
      </c>
      <c r="C33" s="11">
        <v>8.3195220000000002E-8</v>
      </c>
      <c r="D33" s="11">
        <v>5.8303969999999999E-10</v>
      </c>
      <c r="E33" s="11">
        <v>1.3783029999999999E-11</v>
      </c>
      <c r="F33" s="11">
        <v>1.6887329999999999E-9</v>
      </c>
      <c r="G33" s="11">
        <v>4.0775710000000001E-8</v>
      </c>
      <c r="H33" s="3">
        <f t="shared" si="0"/>
        <v>44.049999999999955</v>
      </c>
      <c r="I33" s="19">
        <v>0.45886574074074077</v>
      </c>
      <c r="J33">
        <v>11</v>
      </c>
      <c r="K33">
        <v>0</v>
      </c>
      <c r="L33">
        <v>46</v>
      </c>
      <c r="M33">
        <f t="shared" si="1"/>
        <v>660.76666666666665</v>
      </c>
    </row>
    <row r="34" spans="1:13" x14ac:dyDescent="0.15">
      <c r="B34" s="19">
        <v>0.45895833333333336</v>
      </c>
      <c r="C34" s="11">
        <v>8.3154029999999994E-8</v>
      </c>
      <c r="D34" s="11">
        <v>5.8315059999999998E-10</v>
      </c>
      <c r="E34" s="11">
        <v>1.380467E-11</v>
      </c>
      <c r="F34" s="11">
        <v>1.6866050000000001E-9</v>
      </c>
      <c r="G34" s="11">
        <v>4.0740530000000003E-8</v>
      </c>
      <c r="H34" s="3">
        <f t="shared" si="0"/>
        <v>44.18333333333328</v>
      </c>
      <c r="I34" s="19">
        <v>0.45895833333333336</v>
      </c>
      <c r="J34">
        <v>11</v>
      </c>
      <c r="K34">
        <v>0</v>
      </c>
      <c r="L34">
        <v>54</v>
      </c>
      <c r="M34">
        <f t="shared" si="1"/>
        <v>660.9</v>
      </c>
    </row>
    <row r="35" spans="1:13" x14ac:dyDescent="0.15">
      <c r="A35" t="s">
        <v>77</v>
      </c>
      <c r="B35" s="19">
        <v>0.46100694444444446</v>
      </c>
      <c r="C35" s="11">
        <v>8.2867480000000004E-8</v>
      </c>
      <c r="D35" s="11">
        <v>5.8119599999999999E-10</v>
      </c>
      <c r="E35" s="11">
        <v>1.391308E-11</v>
      </c>
      <c r="F35" s="11">
        <v>1.6840620000000001E-9</v>
      </c>
      <c r="G35" s="11">
        <v>4.0455179999999998E-8</v>
      </c>
      <c r="H35" s="3">
        <f t="shared" si="0"/>
        <v>47.133333333333326</v>
      </c>
      <c r="I35" s="19">
        <v>0.46100694444444446</v>
      </c>
      <c r="J35">
        <v>11</v>
      </c>
      <c r="K35">
        <v>3</v>
      </c>
      <c r="L35">
        <v>51</v>
      </c>
      <c r="M35">
        <f t="shared" si="1"/>
        <v>663.85</v>
      </c>
    </row>
    <row r="36" spans="1:13" x14ac:dyDescent="0.15">
      <c r="B36" s="19">
        <v>0.46109953703703704</v>
      </c>
      <c r="C36" s="11">
        <v>8.2829010000000003E-8</v>
      </c>
      <c r="D36" s="11">
        <v>5.8233430000000002E-10</v>
      </c>
      <c r="E36" s="11">
        <v>1.362905E-11</v>
      </c>
      <c r="F36" s="11">
        <v>1.682973E-9</v>
      </c>
      <c r="G36" s="11">
        <v>4.042251E-8</v>
      </c>
      <c r="H36" s="3">
        <f t="shared" si="0"/>
        <v>47.266666666666652</v>
      </c>
      <c r="I36" s="19">
        <v>0.46109953703703704</v>
      </c>
      <c r="J36">
        <v>11</v>
      </c>
      <c r="K36">
        <v>3</v>
      </c>
      <c r="L36">
        <v>59</v>
      </c>
      <c r="M36">
        <f t="shared" si="1"/>
        <v>663.98333333333335</v>
      </c>
    </row>
    <row r="37" spans="1:13" x14ac:dyDescent="0.15">
      <c r="B37" s="19">
        <v>0.4611574074074074</v>
      </c>
      <c r="C37" s="11">
        <v>8.278225E-8</v>
      </c>
      <c r="D37" s="11">
        <v>5.8170039999999999E-10</v>
      </c>
      <c r="E37" s="11">
        <v>1.375205E-11</v>
      </c>
      <c r="F37" s="11">
        <v>1.683692E-9</v>
      </c>
      <c r="G37" s="11">
        <v>4.0422229999999997E-8</v>
      </c>
      <c r="H37" s="3">
        <f t="shared" si="0"/>
        <v>47.350000000000023</v>
      </c>
      <c r="I37" s="19">
        <v>0.4611574074074074</v>
      </c>
      <c r="J37">
        <v>11</v>
      </c>
      <c r="K37">
        <v>4</v>
      </c>
      <c r="L37">
        <v>4</v>
      </c>
      <c r="M37">
        <f t="shared" si="1"/>
        <v>664.06666666666672</v>
      </c>
    </row>
    <row r="38" spans="1:13" x14ac:dyDescent="0.15">
      <c r="A38" t="s">
        <v>78</v>
      </c>
      <c r="B38" s="19">
        <v>0.4644328703703704</v>
      </c>
      <c r="C38" s="11">
        <v>8.1914220000000005E-8</v>
      </c>
      <c r="D38" s="11">
        <v>5.7578090000000003E-10</v>
      </c>
      <c r="E38" s="11">
        <v>1.37583E-11</v>
      </c>
      <c r="F38" s="11">
        <v>1.665374E-9</v>
      </c>
      <c r="G38" s="11">
        <v>4.0351870000000001E-8</v>
      </c>
      <c r="H38" s="3">
        <f t="shared" si="0"/>
        <v>52.066666666666606</v>
      </c>
      <c r="I38" s="19">
        <v>0.4644328703703704</v>
      </c>
      <c r="J38">
        <v>11</v>
      </c>
      <c r="K38">
        <v>8</v>
      </c>
      <c r="L38">
        <v>47</v>
      </c>
      <c r="M38">
        <f t="shared" si="1"/>
        <v>668.7833333333333</v>
      </c>
    </row>
    <row r="39" spans="1:13" x14ac:dyDescent="0.15">
      <c r="B39" s="19">
        <v>0.46449074074074076</v>
      </c>
      <c r="C39" s="11">
        <v>8.1815050000000004E-8</v>
      </c>
      <c r="D39" s="11">
        <v>5.7641649999999998E-10</v>
      </c>
      <c r="E39" s="11">
        <v>1.3779819999999999E-11</v>
      </c>
      <c r="F39" s="11">
        <v>1.667224E-9</v>
      </c>
      <c r="G39" s="11">
        <v>4.0358919999999999E-8</v>
      </c>
      <c r="H39" s="3">
        <f t="shared" si="0"/>
        <v>52.149999999999977</v>
      </c>
      <c r="I39" s="19">
        <v>0.46449074074074076</v>
      </c>
      <c r="J39">
        <v>11</v>
      </c>
      <c r="K39">
        <v>8</v>
      </c>
      <c r="L39">
        <v>52</v>
      </c>
      <c r="M39">
        <f t="shared" si="1"/>
        <v>668.86666666666667</v>
      </c>
    </row>
    <row r="40" spans="1:13" x14ac:dyDescent="0.15">
      <c r="B40" s="19">
        <v>0.46452546296296293</v>
      </c>
      <c r="C40" s="11">
        <v>8.1895310000000006E-8</v>
      </c>
      <c r="D40" s="11">
        <v>5.7609919999999996E-10</v>
      </c>
      <c r="E40" s="11">
        <v>1.364116E-11</v>
      </c>
      <c r="F40" s="11">
        <v>1.6657479999999999E-9</v>
      </c>
      <c r="G40" s="11">
        <v>4.0349150000000001E-8</v>
      </c>
      <c r="H40" s="3">
        <f t="shared" si="0"/>
        <v>52.199999999999932</v>
      </c>
      <c r="I40" s="19">
        <v>0.46452546296296293</v>
      </c>
      <c r="J40">
        <v>11</v>
      </c>
      <c r="K40">
        <v>8</v>
      </c>
      <c r="L40">
        <v>55</v>
      </c>
      <c r="M40">
        <f t="shared" si="1"/>
        <v>668.91666666666663</v>
      </c>
    </row>
    <row r="41" spans="1:13" x14ac:dyDescent="0.15">
      <c r="A41" t="s">
        <v>78</v>
      </c>
      <c r="B41" s="19">
        <v>0.46744212962962961</v>
      </c>
      <c r="C41" s="11">
        <v>8.1418649999999997E-8</v>
      </c>
      <c r="D41" s="11">
        <v>5.7021529999999997E-10</v>
      </c>
      <c r="E41" s="11">
        <v>1.3689049999999999E-11</v>
      </c>
      <c r="F41" s="11">
        <v>1.656426E-9</v>
      </c>
      <c r="G41" s="11">
        <v>4.0019689999999997E-8</v>
      </c>
      <c r="H41" s="3">
        <f t="shared" si="0"/>
        <v>56.399999999999977</v>
      </c>
      <c r="I41" s="19">
        <v>0.46744212962962961</v>
      </c>
      <c r="J41">
        <v>11</v>
      </c>
      <c r="K41">
        <v>13</v>
      </c>
      <c r="L41">
        <v>7</v>
      </c>
      <c r="M41">
        <f t="shared" si="1"/>
        <v>673.11666666666667</v>
      </c>
    </row>
    <row r="42" spans="1:13" x14ac:dyDescent="0.15">
      <c r="B42" s="19">
        <v>0.46750000000000003</v>
      </c>
      <c r="C42" s="11">
        <v>8.1232050000000005E-8</v>
      </c>
      <c r="D42" s="11">
        <v>5.7125689999999999E-10</v>
      </c>
      <c r="E42" s="11">
        <v>1.355985E-11</v>
      </c>
      <c r="F42" s="11">
        <v>1.6551840000000001E-9</v>
      </c>
      <c r="G42" s="11">
        <v>4.0002049999999999E-8</v>
      </c>
      <c r="H42" s="3">
        <f t="shared" si="0"/>
        <v>56.483333333333348</v>
      </c>
      <c r="I42" s="19">
        <v>0.46750000000000003</v>
      </c>
      <c r="J42">
        <v>11</v>
      </c>
      <c r="K42">
        <v>13</v>
      </c>
      <c r="L42">
        <v>12</v>
      </c>
      <c r="M42">
        <f t="shared" si="1"/>
        <v>673.2</v>
      </c>
    </row>
    <row r="43" spans="1:13" x14ac:dyDescent="0.15">
      <c r="B43" s="19">
        <v>0.46755787037037039</v>
      </c>
      <c r="C43" s="11">
        <v>8.1319139999999993E-8</v>
      </c>
      <c r="D43" s="11">
        <v>5.7126570000000001E-10</v>
      </c>
      <c r="E43" s="11">
        <v>1.360399E-11</v>
      </c>
      <c r="F43" s="11">
        <v>1.651587E-9</v>
      </c>
      <c r="G43" s="11">
        <v>4.0066279999999999E-8</v>
      </c>
      <c r="H43" s="3">
        <f t="shared" si="0"/>
        <v>56.566666666666606</v>
      </c>
      <c r="I43" s="19">
        <v>0.46755787037037039</v>
      </c>
      <c r="J43">
        <v>11</v>
      </c>
      <c r="K43">
        <v>13</v>
      </c>
      <c r="L43">
        <v>17</v>
      </c>
      <c r="M43">
        <f t="shared" si="1"/>
        <v>673.2833333333333</v>
      </c>
    </row>
    <row r="44" spans="1:13" x14ac:dyDescent="0.15">
      <c r="A44" t="s">
        <v>79</v>
      </c>
      <c r="B44" s="19">
        <v>0.47011574074074075</v>
      </c>
      <c r="C44" s="11">
        <v>8.3656820000000001E-8</v>
      </c>
      <c r="D44" s="11">
        <v>5.8603070000000001E-10</v>
      </c>
      <c r="E44" s="11">
        <v>1.3938010000000001E-11</v>
      </c>
      <c r="F44" s="11">
        <v>1.6777149999999999E-9</v>
      </c>
      <c r="G44" s="11">
        <v>4.0568689999999998E-8</v>
      </c>
      <c r="H44" s="3">
        <f t="shared" si="0"/>
        <v>60.25</v>
      </c>
      <c r="I44" s="19">
        <v>0.47011574074074075</v>
      </c>
      <c r="J44">
        <v>11</v>
      </c>
      <c r="K44">
        <v>16</v>
      </c>
      <c r="L44">
        <v>58</v>
      </c>
      <c r="M44">
        <f t="shared" si="1"/>
        <v>676.9666666666667</v>
      </c>
    </row>
    <row r="45" spans="1:13" x14ac:dyDescent="0.15">
      <c r="B45" s="19">
        <v>0.47017361111111117</v>
      </c>
      <c r="C45" s="11">
        <v>8.3668909999999997E-8</v>
      </c>
      <c r="D45" s="11">
        <v>5.8655300000000003E-10</v>
      </c>
      <c r="E45" s="11">
        <v>1.369811E-11</v>
      </c>
      <c r="F45" s="11">
        <v>1.6782630000000001E-9</v>
      </c>
      <c r="G45" s="11">
        <v>4.057621E-8</v>
      </c>
      <c r="H45" s="3">
        <f t="shared" si="0"/>
        <v>60.333333333333258</v>
      </c>
      <c r="I45" s="19">
        <v>0.47017361111111117</v>
      </c>
      <c r="J45">
        <v>11</v>
      </c>
      <c r="K45">
        <v>17</v>
      </c>
      <c r="L45">
        <v>3</v>
      </c>
      <c r="M45">
        <f t="shared" si="1"/>
        <v>677.05</v>
      </c>
    </row>
    <row r="46" spans="1:13" x14ac:dyDescent="0.15">
      <c r="B46" s="19">
        <v>0.47034722222222225</v>
      </c>
      <c r="C46" s="11">
        <v>8.3676380000000003E-8</v>
      </c>
      <c r="D46" s="11">
        <v>5.866236E-10</v>
      </c>
      <c r="E46" s="11">
        <v>1.386042E-11</v>
      </c>
      <c r="F46" s="11">
        <v>1.6749720000000001E-9</v>
      </c>
      <c r="G46" s="11">
        <v>4.0570090000000001E-8</v>
      </c>
      <c r="H46" s="3">
        <f t="shared" si="0"/>
        <v>60.583333333333258</v>
      </c>
      <c r="I46" s="19">
        <v>0.47034722222222225</v>
      </c>
      <c r="J46">
        <v>11</v>
      </c>
      <c r="K46">
        <v>17</v>
      </c>
      <c r="L46">
        <v>18</v>
      </c>
      <c r="M46">
        <f t="shared" si="1"/>
        <v>677.3</v>
      </c>
    </row>
    <row r="47" spans="1:13" x14ac:dyDescent="0.15">
      <c r="A47" t="s">
        <v>79</v>
      </c>
      <c r="B47" s="19">
        <v>0.47335648148148146</v>
      </c>
      <c r="C47" s="11">
        <v>8.1037290000000006E-8</v>
      </c>
      <c r="D47" s="11">
        <v>5.6862540000000001E-10</v>
      </c>
      <c r="E47" s="11">
        <v>1.3499729999999999E-11</v>
      </c>
      <c r="F47" s="11">
        <v>1.648668E-9</v>
      </c>
      <c r="G47" s="11">
        <v>3.9842369999999999E-8</v>
      </c>
      <c r="H47" s="3">
        <f t="shared" si="0"/>
        <v>64.916666666666629</v>
      </c>
      <c r="I47" s="19">
        <v>0.47335648148148146</v>
      </c>
      <c r="J47">
        <v>11</v>
      </c>
      <c r="K47">
        <v>21</v>
      </c>
      <c r="L47">
        <v>38</v>
      </c>
      <c r="M47">
        <f t="shared" si="1"/>
        <v>681.63333333333333</v>
      </c>
    </row>
    <row r="48" spans="1:13" x14ac:dyDescent="0.15">
      <c r="B48" s="19">
        <v>0.47344907407407405</v>
      </c>
      <c r="C48" s="11">
        <v>8.0962480000000001E-8</v>
      </c>
      <c r="D48" s="11">
        <v>5.7071909999999999E-10</v>
      </c>
      <c r="E48" s="11">
        <v>1.337749E-11</v>
      </c>
      <c r="F48" s="11">
        <v>1.648101E-9</v>
      </c>
      <c r="G48" s="11">
        <v>3.985489E-8</v>
      </c>
      <c r="H48" s="3">
        <f t="shared" si="0"/>
        <v>65.049999999999955</v>
      </c>
      <c r="I48" s="19">
        <v>0.47344907407407405</v>
      </c>
      <c r="J48">
        <v>11</v>
      </c>
      <c r="K48">
        <v>21</v>
      </c>
      <c r="L48">
        <v>46</v>
      </c>
      <c r="M48">
        <f t="shared" si="1"/>
        <v>681.76666666666665</v>
      </c>
    </row>
    <row r="49" spans="1:13" x14ac:dyDescent="0.15">
      <c r="B49" s="19">
        <v>0.47350694444444441</v>
      </c>
      <c r="C49" s="11">
        <v>8.1032430000000005E-8</v>
      </c>
      <c r="D49" s="11">
        <v>5.6972630000000002E-10</v>
      </c>
      <c r="E49" s="11">
        <v>1.354266E-11</v>
      </c>
      <c r="F49" s="11">
        <v>1.6484139999999999E-9</v>
      </c>
      <c r="G49" s="11">
        <v>3.9822260000000001E-8</v>
      </c>
      <c r="H49" s="3">
        <f t="shared" si="0"/>
        <v>65.133333333333326</v>
      </c>
      <c r="I49" s="19">
        <v>0.47350694444444441</v>
      </c>
      <c r="J49">
        <v>11</v>
      </c>
      <c r="K49">
        <v>21</v>
      </c>
      <c r="L49">
        <v>51</v>
      </c>
      <c r="M49">
        <f t="shared" si="1"/>
        <v>681.85</v>
      </c>
    </row>
    <row r="50" spans="1:13" x14ac:dyDescent="0.15">
      <c r="A50" t="s">
        <v>80</v>
      </c>
      <c r="B50" s="19">
        <v>0.47653935185185187</v>
      </c>
      <c r="C50" s="11">
        <v>8.1472949999999995E-8</v>
      </c>
      <c r="D50" s="11">
        <v>5.7143529999999999E-10</v>
      </c>
      <c r="E50" s="11">
        <v>1.3363450000000001E-11</v>
      </c>
      <c r="F50" s="11">
        <v>1.653687E-9</v>
      </c>
      <c r="G50" s="11">
        <v>3.9858470000000003E-8</v>
      </c>
      <c r="H50" s="3">
        <f t="shared" si="0"/>
        <v>69.5</v>
      </c>
      <c r="I50" s="19">
        <v>0.47653935185185187</v>
      </c>
      <c r="J50">
        <v>11</v>
      </c>
      <c r="K50">
        <v>26</v>
      </c>
      <c r="L50">
        <v>13</v>
      </c>
      <c r="M50">
        <f t="shared" si="1"/>
        <v>686.2166666666667</v>
      </c>
    </row>
    <row r="51" spans="1:13" x14ac:dyDescent="0.15">
      <c r="B51" s="19">
        <v>0.47663194444444446</v>
      </c>
      <c r="C51" s="11">
        <v>8.1523010000000005E-8</v>
      </c>
      <c r="D51" s="11">
        <v>5.7368680000000003E-10</v>
      </c>
      <c r="E51" s="11">
        <v>1.3376539999999999E-11</v>
      </c>
      <c r="F51" s="11">
        <v>1.6547629999999999E-9</v>
      </c>
      <c r="G51" s="11">
        <v>3.9849899999999997E-8</v>
      </c>
      <c r="H51" s="3">
        <f t="shared" si="0"/>
        <v>69.633333333333326</v>
      </c>
      <c r="I51" s="19">
        <v>0.47663194444444446</v>
      </c>
      <c r="J51">
        <v>11</v>
      </c>
      <c r="K51">
        <v>26</v>
      </c>
      <c r="L51">
        <v>21</v>
      </c>
      <c r="M51">
        <f t="shared" si="1"/>
        <v>686.35</v>
      </c>
    </row>
    <row r="52" spans="1:13" x14ac:dyDescent="0.15">
      <c r="B52" s="19">
        <v>0.47680555555555554</v>
      </c>
      <c r="C52" s="11">
        <v>8.1515359999999995E-8</v>
      </c>
      <c r="D52" s="11">
        <v>5.7268429999999996E-10</v>
      </c>
      <c r="E52" s="11">
        <v>1.3322130000000001E-11</v>
      </c>
      <c r="F52" s="11">
        <v>1.654256E-9</v>
      </c>
      <c r="G52" s="11">
        <v>3.9867959999999997E-8</v>
      </c>
      <c r="H52" s="3">
        <f t="shared" si="0"/>
        <v>69.883333333333326</v>
      </c>
      <c r="I52" s="19">
        <v>0.47680555555555554</v>
      </c>
      <c r="J52">
        <v>11</v>
      </c>
      <c r="K52">
        <v>26</v>
      </c>
      <c r="L52">
        <v>36</v>
      </c>
      <c r="M52">
        <f t="shared" si="1"/>
        <v>686.6</v>
      </c>
    </row>
    <row r="53" spans="1:13" x14ac:dyDescent="0.15">
      <c r="A53" t="s">
        <v>80</v>
      </c>
      <c r="B53" s="19">
        <v>0.47928240740740741</v>
      </c>
      <c r="C53" s="11">
        <v>9.0536309999999997E-8</v>
      </c>
      <c r="D53" s="11">
        <v>6.3471890000000002E-10</v>
      </c>
      <c r="E53" s="11">
        <v>1.442628E-11</v>
      </c>
      <c r="F53" s="11">
        <v>1.738927E-9</v>
      </c>
      <c r="G53" s="11">
        <v>4.2148310000000001E-8</v>
      </c>
      <c r="H53" s="3">
        <f t="shared" si="0"/>
        <v>73.449999999999932</v>
      </c>
      <c r="I53" s="19">
        <v>0.47928240740740741</v>
      </c>
      <c r="J53">
        <v>11</v>
      </c>
      <c r="K53">
        <v>30</v>
      </c>
      <c r="L53">
        <v>10</v>
      </c>
      <c r="M53">
        <f t="shared" si="1"/>
        <v>690.16666666666663</v>
      </c>
    </row>
    <row r="54" spans="1:13" x14ac:dyDescent="0.15">
      <c r="B54" s="19">
        <v>0.47939814814814818</v>
      </c>
      <c r="C54" s="11">
        <v>9.0515020000000007E-8</v>
      </c>
      <c r="D54" s="11">
        <v>6.3662460000000004E-10</v>
      </c>
      <c r="E54" s="11">
        <v>1.4356490000000001E-11</v>
      </c>
      <c r="F54" s="11">
        <v>1.7380320000000001E-9</v>
      </c>
      <c r="G54" s="11">
        <v>4.2130989999999999E-8</v>
      </c>
      <c r="H54" s="3">
        <f t="shared" si="0"/>
        <v>73.616666666666674</v>
      </c>
      <c r="I54" s="19">
        <v>0.47939814814814818</v>
      </c>
      <c r="J54">
        <v>11</v>
      </c>
      <c r="K54">
        <v>30</v>
      </c>
      <c r="L54">
        <v>20</v>
      </c>
      <c r="M54">
        <f t="shared" si="1"/>
        <v>690.33333333333337</v>
      </c>
    </row>
    <row r="55" spans="1:13" x14ac:dyDescent="0.15">
      <c r="B55" s="19">
        <v>0.47945601851851855</v>
      </c>
      <c r="C55" s="11">
        <v>9.0500290000000003E-8</v>
      </c>
      <c r="D55" s="11">
        <v>6.3670150000000005E-10</v>
      </c>
      <c r="E55" s="11">
        <v>1.4104020000000001E-11</v>
      </c>
      <c r="F55" s="11">
        <v>1.7385699999999999E-9</v>
      </c>
      <c r="G55" s="11">
        <v>4.216749E-8</v>
      </c>
      <c r="H55" s="3">
        <f t="shared" si="0"/>
        <v>73.699999999999932</v>
      </c>
      <c r="I55" s="19">
        <v>0.47945601851851855</v>
      </c>
      <c r="J55">
        <v>11</v>
      </c>
      <c r="K55">
        <v>30</v>
      </c>
      <c r="L55">
        <v>25</v>
      </c>
      <c r="M55">
        <f t="shared" si="1"/>
        <v>690.41666666666663</v>
      </c>
    </row>
    <row r="56" spans="1:13" x14ac:dyDescent="0.15">
      <c r="A56" t="s">
        <v>64</v>
      </c>
      <c r="B56" s="19">
        <v>0.48238425925925926</v>
      </c>
      <c r="C56" s="11">
        <v>5.8951250000000003E-8</v>
      </c>
      <c r="D56" s="11">
        <v>4.1490250000000001E-10</v>
      </c>
      <c r="E56" s="11">
        <v>1.096884E-11</v>
      </c>
      <c r="F56" s="11">
        <v>1.1612169999999999E-9</v>
      </c>
      <c r="G56" s="11">
        <v>2.8421899999999999E-8</v>
      </c>
      <c r="H56" s="3">
        <f t="shared" si="0"/>
        <v>77.916666666666629</v>
      </c>
      <c r="I56" s="19">
        <v>0.48238425925925926</v>
      </c>
      <c r="J56">
        <v>11</v>
      </c>
      <c r="K56">
        <v>34</v>
      </c>
      <c r="L56">
        <v>38</v>
      </c>
      <c r="M56">
        <f t="shared" si="1"/>
        <v>694.63333333333333</v>
      </c>
    </row>
    <row r="57" spans="1:13" x14ac:dyDescent="0.15">
      <c r="B57" s="19">
        <v>0.48244212962962968</v>
      </c>
      <c r="C57" s="11">
        <v>5.887273E-8</v>
      </c>
      <c r="D57" s="11">
        <v>4.1450860000000002E-10</v>
      </c>
      <c r="E57" s="11">
        <v>1.133998E-11</v>
      </c>
      <c r="F57" s="11">
        <v>1.1581010000000001E-9</v>
      </c>
      <c r="G57" s="11">
        <v>2.841255E-8</v>
      </c>
      <c r="H57" s="3">
        <f t="shared" si="0"/>
        <v>78</v>
      </c>
      <c r="I57" s="19">
        <v>0.48244212962962968</v>
      </c>
      <c r="J57">
        <v>11</v>
      </c>
      <c r="K57">
        <v>34</v>
      </c>
      <c r="L57">
        <v>43</v>
      </c>
      <c r="M57">
        <f t="shared" si="1"/>
        <v>694.7166666666667</v>
      </c>
    </row>
    <row r="58" spans="1:13" x14ac:dyDescent="0.15">
      <c r="B58" s="19">
        <v>0.48253472222222221</v>
      </c>
      <c r="C58" s="11">
        <v>5.8977570000000002E-8</v>
      </c>
      <c r="D58" s="11">
        <v>4.1522850000000001E-10</v>
      </c>
      <c r="E58" s="11">
        <v>1.1204920000000001E-11</v>
      </c>
      <c r="F58" s="11">
        <v>1.161908E-9</v>
      </c>
      <c r="G58" s="11">
        <v>2.8417029999999999E-8</v>
      </c>
      <c r="H58" s="3">
        <f t="shared" si="0"/>
        <v>78.133333333333326</v>
      </c>
      <c r="I58" s="19">
        <v>0.48253472222222221</v>
      </c>
      <c r="J58">
        <v>11</v>
      </c>
      <c r="K58">
        <v>34</v>
      </c>
      <c r="L58">
        <v>51</v>
      </c>
      <c r="M58">
        <f t="shared" si="1"/>
        <v>694.85</v>
      </c>
    </row>
    <row r="59" spans="1:13" x14ac:dyDescent="0.15">
      <c r="A59" t="s">
        <v>65</v>
      </c>
      <c r="B59" s="19">
        <v>0.48517361111111112</v>
      </c>
      <c r="C59" s="11">
        <v>5.0154239999999997E-8</v>
      </c>
      <c r="D59" s="11">
        <v>3.5431480000000002E-10</v>
      </c>
      <c r="E59" s="11">
        <v>1.00296E-11</v>
      </c>
      <c r="F59" s="11">
        <v>9.7853550000000003E-10</v>
      </c>
      <c r="G59" s="11">
        <v>2.387584E-8</v>
      </c>
      <c r="H59" s="3">
        <f t="shared" si="0"/>
        <v>81.93333333333328</v>
      </c>
      <c r="I59" s="19">
        <v>0.48517361111111112</v>
      </c>
      <c r="J59">
        <v>11</v>
      </c>
      <c r="K59">
        <v>38</v>
      </c>
      <c r="L59">
        <v>39</v>
      </c>
      <c r="M59">
        <f t="shared" si="1"/>
        <v>698.65</v>
      </c>
    </row>
    <row r="60" spans="1:13" x14ac:dyDescent="0.15">
      <c r="B60" s="19">
        <v>0.48525462962962962</v>
      </c>
      <c r="C60" s="11">
        <v>5.0178830000000001E-8</v>
      </c>
      <c r="D60" s="11">
        <v>3.5389239999999999E-10</v>
      </c>
      <c r="E60" s="11">
        <v>1.006122E-11</v>
      </c>
      <c r="F60" s="11">
        <v>9.7687740000000004E-10</v>
      </c>
      <c r="G60" s="11">
        <v>2.387802E-8</v>
      </c>
      <c r="H60" s="3">
        <f t="shared" si="0"/>
        <v>82.049999999999955</v>
      </c>
      <c r="I60" s="19">
        <v>0.48525462962962962</v>
      </c>
      <c r="J60">
        <v>11</v>
      </c>
      <c r="K60">
        <v>38</v>
      </c>
      <c r="L60">
        <v>46</v>
      </c>
      <c r="M60">
        <f t="shared" si="1"/>
        <v>698.76666666666665</v>
      </c>
    </row>
    <row r="61" spans="1:13" x14ac:dyDescent="0.15">
      <c r="B61" s="19">
        <v>0.48534722222222221</v>
      </c>
      <c r="C61" s="11">
        <v>5.0238720000000001E-8</v>
      </c>
      <c r="D61" s="11">
        <v>3.5435149999999998E-10</v>
      </c>
      <c r="E61" s="11">
        <v>1.0127060000000001E-11</v>
      </c>
      <c r="F61" s="11">
        <v>9.7697949999999991E-10</v>
      </c>
      <c r="G61" s="11">
        <v>2.3888799999999999E-8</v>
      </c>
      <c r="H61" s="3">
        <f t="shared" si="0"/>
        <v>82.18333333333328</v>
      </c>
      <c r="I61" s="19">
        <v>0.48534722222222221</v>
      </c>
      <c r="J61">
        <v>11</v>
      </c>
      <c r="K61">
        <v>38</v>
      </c>
      <c r="L61">
        <v>54</v>
      </c>
      <c r="M61">
        <f t="shared" si="1"/>
        <v>698.9</v>
      </c>
    </row>
    <row r="62" spans="1:13" x14ac:dyDescent="0.15">
      <c r="A62" t="s">
        <v>81</v>
      </c>
      <c r="B62" s="19">
        <v>0.49101851851851852</v>
      </c>
      <c r="C62" s="11">
        <v>7.8393090000000001E-8</v>
      </c>
      <c r="D62" s="11">
        <v>5.5056170000000003E-10</v>
      </c>
      <c r="E62" s="11">
        <v>1.2758879999999999E-11</v>
      </c>
      <c r="F62" s="11">
        <v>1.594291E-9</v>
      </c>
      <c r="G62" s="11">
        <v>3.9053260000000003E-8</v>
      </c>
      <c r="H62" s="3">
        <f t="shared" si="0"/>
        <v>90.350000000000023</v>
      </c>
      <c r="I62" s="19">
        <v>0.49101851851851852</v>
      </c>
      <c r="J62">
        <v>11</v>
      </c>
      <c r="K62">
        <v>47</v>
      </c>
      <c r="L62">
        <v>4</v>
      </c>
      <c r="M62">
        <f t="shared" si="1"/>
        <v>707.06666666666672</v>
      </c>
    </row>
    <row r="63" spans="1:13" x14ac:dyDescent="0.15">
      <c r="B63" s="19">
        <v>0.4911342592592593</v>
      </c>
      <c r="C63" s="11">
        <v>7.8380139999999996E-8</v>
      </c>
      <c r="D63" s="11">
        <v>5.5104850000000001E-10</v>
      </c>
      <c r="E63" s="11">
        <v>1.2613140000000001E-11</v>
      </c>
      <c r="F63" s="11">
        <v>1.592884E-9</v>
      </c>
      <c r="G63" s="11">
        <v>3.904858E-8</v>
      </c>
      <c r="H63" s="3">
        <f t="shared" si="0"/>
        <v>90.516666666666652</v>
      </c>
      <c r="I63" s="19">
        <v>0.4911342592592593</v>
      </c>
      <c r="J63">
        <v>11</v>
      </c>
      <c r="K63">
        <v>47</v>
      </c>
      <c r="L63">
        <v>14</v>
      </c>
      <c r="M63">
        <f t="shared" si="1"/>
        <v>707.23333333333335</v>
      </c>
    </row>
    <row r="64" spans="1:13" x14ac:dyDescent="0.15">
      <c r="B64" s="19">
        <v>0.49124999999999996</v>
      </c>
      <c r="C64" s="11">
        <v>7.8448230000000003E-8</v>
      </c>
      <c r="D64" s="11">
        <v>5.4988670000000003E-10</v>
      </c>
      <c r="E64" s="11">
        <v>1.2684350000000001E-11</v>
      </c>
      <c r="F64" s="11">
        <v>1.5915569999999999E-9</v>
      </c>
      <c r="G64" s="11">
        <v>3.9038890000000001E-8</v>
      </c>
      <c r="H64" s="3">
        <f t="shared" si="0"/>
        <v>90.68333333333328</v>
      </c>
      <c r="I64" s="19">
        <v>0.49124999999999996</v>
      </c>
      <c r="J64">
        <v>11</v>
      </c>
      <c r="K64">
        <v>47</v>
      </c>
      <c r="L64">
        <v>24</v>
      </c>
      <c r="M64">
        <f t="shared" si="1"/>
        <v>707.4</v>
      </c>
    </row>
    <row r="65" spans="1:13" x14ac:dyDescent="0.15">
      <c r="A65" t="s">
        <v>81</v>
      </c>
      <c r="B65" s="19">
        <v>0.49408564814814815</v>
      </c>
      <c r="C65" s="11">
        <v>7.7816910000000006E-8</v>
      </c>
      <c r="D65" s="11">
        <v>5.4661640000000001E-10</v>
      </c>
      <c r="E65" s="11">
        <v>1.28347E-11</v>
      </c>
      <c r="F65" s="11">
        <v>1.579687E-9</v>
      </c>
      <c r="G65" s="11">
        <v>3.8731450000000002E-8</v>
      </c>
      <c r="H65" s="3">
        <f t="shared" si="0"/>
        <v>94.766666666666652</v>
      </c>
      <c r="I65" s="19">
        <v>0.49408564814814815</v>
      </c>
      <c r="J65">
        <v>11</v>
      </c>
      <c r="K65">
        <v>51</v>
      </c>
      <c r="L65">
        <v>29</v>
      </c>
      <c r="M65">
        <f t="shared" si="1"/>
        <v>711.48333333333335</v>
      </c>
    </row>
    <row r="66" spans="1:13" x14ac:dyDescent="0.15">
      <c r="B66" s="19">
        <v>0.49425925925925923</v>
      </c>
      <c r="C66" s="11">
        <v>7.7850420000000001E-8</v>
      </c>
      <c r="D66" s="11">
        <v>5.4748819999999998E-10</v>
      </c>
      <c r="E66" s="11">
        <v>1.3227450000000001E-11</v>
      </c>
      <c r="F66" s="11">
        <v>1.579205E-9</v>
      </c>
      <c r="G66" s="11">
        <v>3.8725579999999997E-8</v>
      </c>
      <c r="H66" s="3">
        <f t="shared" si="0"/>
        <v>95.016666666666652</v>
      </c>
      <c r="I66" s="19">
        <v>0.49425925925925923</v>
      </c>
      <c r="J66">
        <v>11</v>
      </c>
      <c r="K66">
        <v>51</v>
      </c>
      <c r="L66">
        <v>44</v>
      </c>
      <c r="M66">
        <f t="shared" si="1"/>
        <v>711.73333333333335</v>
      </c>
    </row>
    <row r="67" spans="1:13" x14ac:dyDescent="0.15">
      <c r="B67" s="19">
        <v>0.49437500000000001</v>
      </c>
      <c r="C67" s="11">
        <v>7.7827279999999996E-8</v>
      </c>
      <c r="D67" s="11">
        <v>5.4576999999999997E-10</v>
      </c>
      <c r="E67" s="11">
        <v>1.303769E-11</v>
      </c>
      <c r="F67" s="11">
        <v>1.57955E-9</v>
      </c>
      <c r="G67" s="11">
        <v>3.8701609999999999E-8</v>
      </c>
      <c r="H67" s="3">
        <f t="shared" si="0"/>
        <v>95.18333333333328</v>
      </c>
      <c r="I67" s="19">
        <v>0.49437500000000001</v>
      </c>
      <c r="J67">
        <v>11</v>
      </c>
      <c r="K67">
        <v>51</v>
      </c>
      <c r="L67">
        <v>54</v>
      </c>
      <c r="M67">
        <f t="shared" si="1"/>
        <v>711.9</v>
      </c>
    </row>
    <row r="68" spans="1:13" x14ac:dyDescent="0.15">
      <c r="A68" t="s">
        <v>82</v>
      </c>
      <c r="B68" s="19">
        <v>0.49857638888888894</v>
      </c>
      <c r="C68" s="11">
        <v>7.973656E-8</v>
      </c>
      <c r="D68" s="11">
        <v>5.6159940000000002E-10</v>
      </c>
      <c r="E68" s="11">
        <v>1.3349649999999999E-11</v>
      </c>
      <c r="F68" s="11">
        <v>1.6248639999999999E-9</v>
      </c>
      <c r="G68" s="11">
        <v>3.9022379999999999E-8</v>
      </c>
      <c r="H68" s="3">
        <f t="shared" si="0"/>
        <v>101.23333333333335</v>
      </c>
      <c r="I68" s="19">
        <v>0.49857638888888894</v>
      </c>
      <c r="J68">
        <v>11</v>
      </c>
      <c r="K68">
        <v>57</v>
      </c>
      <c r="L68">
        <v>57</v>
      </c>
      <c r="M68">
        <f t="shared" si="1"/>
        <v>717.95</v>
      </c>
    </row>
    <row r="69" spans="1:13" x14ac:dyDescent="0.15">
      <c r="B69" s="19">
        <v>0.49866898148148148</v>
      </c>
      <c r="C69" s="11">
        <v>7.9680119999999995E-8</v>
      </c>
      <c r="D69" s="11">
        <v>5.608533E-10</v>
      </c>
      <c r="E69" s="11">
        <v>1.3273589999999999E-11</v>
      </c>
      <c r="F69" s="11">
        <v>1.622948E-9</v>
      </c>
      <c r="G69" s="11">
        <v>3.9068229999999997E-8</v>
      </c>
      <c r="H69" s="3">
        <f t="shared" si="0"/>
        <v>101.36666666666667</v>
      </c>
      <c r="I69" s="19">
        <v>0.49866898148148148</v>
      </c>
      <c r="J69">
        <v>11</v>
      </c>
      <c r="K69">
        <v>58</v>
      </c>
      <c r="L69">
        <v>5</v>
      </c>
      <c r="M69">
        <f t="shared" si="1"/>
        <v>718.08333333333337</v>
      </c>
    </row>
    <row r="70" spans="1:13" x14ac:dyDescent="0.15">
      <c r="B70" s="19">
        <v>0.49875000000000003</v>
      </c>
      <c r="C70" s="11">
        <v>7.9751220000000001E-8</v>
      </c>
      <c r="D70" s="11">
        <v>5.5933589999999999E-10</v>
      </c>
      <c r="E70" s="11">
        <v>1.3109079999999999E-11</v>
      </c>
      <c r="F70" s="11">
        <v>1.622176E-9</v>
      </c>
      <c r="G70" s="11">
        <v>3.9041050000000001E-8</v>
      </c>
      <c r="H70" s="3">
        <f t="shared" si="0"/>
        <v>101.48333333333335</v>
      </c>
      <c r="I70" s="19">
        <v>0.49875000000000003</v>
      </c>
      <c r="J70">
        <v>11</v>
      </c>
      <c r="K70">
        <v>58</v>
      </c>
      <c r="L70">
        <v>12</v>
      </c>
      <c r="M70">
        <f t="shared" si="1"/>
        <v>718.2</v>
      </c>
    </row>
    <row r="71" spans="1:13" x14ac:dyDescent="0.15">
      <c r="A71" t="s">
        <v>82</v>
      </c>
      <c r="B71" s="19">
        <v>0.50116898148148148</v>
      </c>
      <c r="C71" s="11">
        <v>7.9563210000000003E-8</v>
      </c>
      <c r="D71" s="11">
        <v>5.5786240000000002E-10</v>
      </c>
      <c r="E71" s="11">
        <v>1.3324259999999999E-11</v>
      </c>
      <c r="F71" s="11">
        <v>1.6231660000000001E-9</v>
      </c>
      <c r="G71" s="11">
        <v>3.8834649999999998E-8</v>
      </c>
      <c r="H71" s="3">
        <f t="shared" si="0"/>
        <v>104.96666666666658</v>
      </c>
      <c r="I71" s="19">
        <v>0.50116898148148148</v>
      </c>
      <c r="J71">
        <v>12</v>
      </c>
      <c r="K71">
        <v>1</v>
      </c>
      <c r="L71">
        <v>41</v>
      </c>
      <c r="M71">
        <f t="shared" si="1"/>
        <v>721.68333333333328</v>
      </c>
    </row>
    <row r="72" spans="1:13" x14ac:dyDescent="0.15">
      <c r="B72" s="19">
        <v>0.5012847222222222</v>
      </c>
      <c r="C72" s="11">
        <v>7.9616099999999995E-8</v>
      </c>
      <c r="D72" s="11">
        <v>5.612341E-10</v>
      </c>
      <c r="E72" s="11">
        <v>1.3536560000000001E-11</v>
      </c>
      <c r="F72" s="11">
        <v>1.621151E-9</v>
      </c>
      <c r="G72" s="11">
        <v>3.886833E-8</v>
      </c>
      <c r="H72" s="3">
        <f t="shared" si="0"/>
        <v>105.13333333333333</v>
      </c>
      <c r="I72" s="19">
        <v>0.5012847222222222</v>
      </c>
      <c r="J72">
        <v>12</v>
      </c>
      <c r="K72">
        <v>1</v>
      </c>
      <c r="L72">
        <v>51</v>
      </c>
      <c r="M72">
        <f t="shared" si="1"/>
        <v>721.85</v>
      </c>
    </row>
    <row r="73" spans="1:13" x14ac:dyDescent="0.15">
      <c r="B73" s="19">
        <v>0.50137731481481485</v>
      </c>
      <c r="C73" s="11">
        <v>7.9618820000000002E-8</v>
      </c>
      <c r="D73" s="11">
        <v>5.6076299999999996E-10</v>
      </c>
      <c r="E73" s="11">
        <v>1.349836E-11</v>
      </c>
      <c r="F73" s="11">
        <v>1.6219290000000001E-9</v>
      </c>
      <c r="G73" s="11">
        <v>3.8837280000000002E-8</v>
      </c>
      <c r="H73" s="3">
        <f t="shared" ref="H73:H136" si="2">M73-M$8</f>
        <v>105.26666666666665</v>
      </c>
      <c r="I73" s="19">
        <v>0.50137731481481485</v>
      </c>
      <c r="J73">
        <v>12</v>
      </c>
      <c r="K73">
        <v>1</v>
      </c>
      <c r="L73">
        <v>59</v>
      </c>
      <c r="M73">
        <f t="shared" ref="M73:M97" si="3">J73*60+K73+L73/60</f>
        <v>721.98333333333335</v>
      </c>
    </row>
    <row r="74" spans="1:13" x14ac:dyDescent="0.15">
      <c r="A74" t="s">
        <v>83</v>
      </c>
      <c r="B74" s="19">
        <v>0.50437500000000002</v>
      </c>
      <c r="C74" s="11">
        <v>7.7284989999999997E-8</v>
      </c>
      <c r="D74" s="11">
        <v>5.44725E-10</v>
      </c>
      <c r="E74" s="11">
        <v>1.320385E-11</v>
      </c>
      <c r="F74" s="11">
        <v>1.574423E-9</v>
      </c>
      <c r="G74" s="11">
        <v>3.8434160000000003E-8</v>
      </c>
      <c r="H74" s="3">
        <f t="shared" si="2"/>
        <v>109.58333333333326</v>
      </c>
      <c r="I74" s="19">
        <v>0.50437500000000002</v>
      </c>
      <c r="J74">
        <v>12</v>
      </c>
      <c r="K74">
        <v>6</v>
      </c>
      <c r="L74">
        <v>18</v>
      </c>
      <c r="M74">
        <f t="shared" si="3"/>
        <v>726.3</v>
      </c>
    </row>
    <row r="75" spans="1:13" x14ac:dyDescent="0.15">
      <c r="B75" s="19">
        <v>0.50446759259259266</v>
      </c>
      <c r="C75" s="11">
        <v>7.7377630000000001E-8</v>
      </c>
      <c r="D75" s="11">
        <v>5.433844E-10</v>
      </c>
      <c r="E75" s="11">
        <v>1.308225E-11</v>
      </c>
      <c r="F75" s="11">
        <v>1.5726939999999999E-9</v>
      </c>
      <c r="G75" s="11">
        <v>3.8435639999999999E-8</v>
      </c>
      <c r="H75" s="3">
        <f t="shared" si="2"/>
        <v>109.71666666666658</v>
      </c>
      <c r="I75" s="19">
        <v>0.50446759259259266</v>
      </c>
      <c r="J75">
        <v>12</v>
      </c>
      <c r="K75">
        <v>6</v>
      </c>
      <c r="L75">
        <v>26</v>
      </c>
      <c r="M75">
        <f t="shared" si="3"/>
        <v>726.43333333333328</v>
      </c>
    </row>
    <row r="76" spans="1:13" x14ac:dyDescent="0.15">
      <c r="B76" s="19">
        <v>0.50456018518518519</v>
      </c>
      <c r="C76" s="11">
        <v>7.7269279999999999E-8</v>
      </c>
      <c r="D76" s="11">
        <v>5.4282180000000005E-10</v>
      </c>
      <c r="E76" s="11">
        <v>1.280851E-11</v>
      </c>
      <c r="F76" s="11">
        <v>1.570283E-9</v>
      </c>
      <c r="G76" s="11">
        <v>3.8371550000000003E-8</v>
      </c>
      <c r="H76" s="3">
        <f t="shared" si="2"/>
        <v>109.85000000000002</v>
      </c>
      <c r="I76" s="19">
        <v>0.50456018518518519</v>
      </c>
      <c r="J76">
        <v>12</v>
      </c>
      <c r="K76">
        <v>6</v>
      </c>
      <c r="L76">
        <v>34</v>
      </c>
      <c r="M76">
        <f t="shared" si="3"/>
        <v>726.56666666666672</v>
      </c>
    </row>
    <row r="77" spans="1:13" x14ac:dyDescent="0.15">
      <c r="A77" t="s">
        <v>83</v>
      </c>
      <c r="B77" s="19">
        <v>0.50693287037037038</v>
      </c>
      <c r="C77" s="11">
        <v>7.7266950000000004E-8</v>
      </c>
      <c r="D77" s="11">
        <v>5.4160099999999998E-10</v>
      </c>
      <c r="E77" s="11">
        <v>1.327991E-11</v>
      </c>
      <c r="F77" s="11">
        <v>1.5713679999999999E-9</v>
      </c>
      <c r="G77" s="11">
        <v>3.8263740000000001E-8</v>
      </c>
      <c r="H77" s="3">
        <f t="shared" si="2"/>
        <v>113.26666666666665</v>
      </c>
      <c r="I77" s="19">
        <v>0.50693287037037038</v>
      </c>
      <c r="J77">
        <v>12</v>
      </c>
      <c r="K77">
        <v>9</v>
      </c>
      <c r="L77">
        <v>59</v>
      </c>
      <c r="M77">
        <f t="shared" si="3"/>
        <v>729.98333333333335</v>
      </c>
    </row>
    <row r="78" spans="1:13" x14ac:dyDescent="0.15">
      <c r="B78" s="19">
        <v>0.50702546296296302</v>
      </c>
      <c r="C78" s="11">
        <v>7.7220899999999995E-8</v>
      </c>
      <c r="D78" s="11">
        <v>5.4290039999999998E-10</v>
      </c>
      <c r="E78" s="11">
        <v>1.289748E-11</v>
      </c>
      <c r="F78" s="11">
        <v>1.570844E-9</v>
      </c>
      <c r="G78" s="11">
        <v>3.8231750000000001E-8</v>
      </c>
      <c r="H78" s="3">
        <f t="shared" si="2"/>
        <v>113.39999999999998</v>
      </c>
      <c r="I78" s="19">
        <v>0.50702546296296302</v>
      </c>
      <c r="J78">
        <v>12</v>
      </c>
      <c r="K78">
        <v>10</v>
      </c>
      <c r="L78">
        <v>7</v>
      </c>
      <c r="M78">
        <f t="shared" si="3"/>
        <v>730.11666666666667</v>
      </c>
    </row>
    <row r="79" spans="1:13" x14ac:dyDescent="0.15">
      <c r="B79" s="19">
        <v>0.50708333333333333</v>
      </c>
      <c r="C79" s="11">
        <v>7.721884E-8</v>
      </c>
      <c r="D79" s="11">
        <v>5.4211969999999999E-10</v>
      </c>
      <c r="E79" s="11">
        <v>1.3108259999999999E-11</v>
      </c>
      <c r="F79" s="11">
        <v>1.569326E-9</v>
      </c>
      <c r="G79" s="11">
        <v>3.8206030000000001E-8</v>
      </c>
      <c r="H79" s="3">
        <f t="shared" si="2"/>
        <v>113.48333333333335</v>
      </c>
      <c r="I79" s="19">
        <v>0.50708333333333333</v>
      </c>
      <c r="J79">
        <v>12</v>
      </c>
      <c r="K79">
        <v>10</v>
      </c>
      <c r="L79">
        <v>12</v>
      </c>
      <c r="M79">
        <f t="shared" si="3"/>
        <v>730.2</v>
      </c>
    </row>
    <row r="80" spans="1:13" x14ac:dyDescent="0.15">
      <c r="A80" t="s">
        <v>84</v>
      </c>
      <c r="B80" s="19">
        <v>0.50997685185185182</v>
      </c>
      <c r="C80" s="11">
        <v>7.9222400000000001E-8</v>
      </c>
      <c r="D80" s="11">
        <v>5.5637479999999999E-10</v>
      </c>
      <c r="E80" s="11">
        <v>1.3256069999999999E-11</v>
      </c>
      <c r="F80" s="11">
        <v>1.613924E-9</v>
      </c>
      <c r="G80" s="11">
        <v>3.8681569999999997E-8</v>
      </c>
      <c r="H80" s="3">
        <f t="shared" si="2"/>
        <v>117.64999999999998</v>
      </c>
      <c r="I80" s="19">
        <v>0.50997685185185182</v>
      </c>
      <c r="J80">
        <v>12</v>
      </c>
      <c r="K80">
        <v>14</v>
      </c>
      <c r="L80">
        <v>22</v>
      </c>
      <c r="M80">
        <f t="shared" si="3"/>
        <v>734.36666666666667</v>
      </c>
    </row>
    <row r="81" spans="1:13" x14ac:dyDescent="0.15">
      <c r="B81" s="19">
        <v>0.51003472222222224</v>
      </c>
      <c r="C81" s="11">
        <v>7.9114089999999998E-8</v>
      </c>
      <c r="D81" s="11">
        <v>5.5659520000000004E-10</v>
      </c>
      <c r="E81" s="11">
        <v>1.3025149999999999E-11</v>
      </c>
      <c r="F81" s="11">
        <v>1.6128520000000001E-9</v>
      </c>
      <c r="G81" s="11">
        <v>3.8714249999999999E-8</v>
      </c>
      <c r="H81" s="3">
        <f t="shared" si="2"/>
        <v>117.73333333333335</v>
      </c>
      <c r="I81" s="19">
        <v>0.51003472222222224</v>
      </c>
      <c r="J81">
        <v>12</v>
      </c>
      <c r="K81">
        <v>14</v>
      </c>
      <c r="L81">
        <v>27</v>
      </c>
      <c r="M81">
        <f t="shared" si="3"/>
        <v>734.45</v>
      </c>
    </row>
    <row r="82" spans="1:13" x14ac:dyDescent="0.15">
      <c r="B82" s="19">
        <v>0.51011574074074073</v>
      </c>
      <c r="C82" s="11">
        <v>7.9116160000000003E-8</v>
      </c>
      <c r="D82" s="11">
        <v>5.5639790000000001E-10</v>
      </c>
      <c r="E82" s="11">
        <v>1.3246190000000001E-11</v>
      </c>
      <c r="F82" s="11">
        <v>1.6114870000000001E-9</v>
      </c>
      <c r="G82" s="11">
        <v>3.8688169999999997E-8</v>
      </c>
      <c r="H82" s="3">
        <f t="shared" si="2"/>
        <v>117.85000000000002</v>
      </c>
      <c r="I82" s="19">
        <v>0.51011574074074073</v>
      </c>
      <c r="J82">
        <v>12</v>
      </c>
      <c r="K82">
        <v>14</v>
      </c>
      <c r="L82">
        <v>34</v>
      </c>
      <c r="M82">
        <f t="shared" si="3"/>
        <v>734.56666666666672</v>
      </c>
    </row>
    <row r="83" spans="1:13" x14ac:dyDescent="0.15">
      <c r="A83" t="s">
        <v>84</v>
      </c>
      <c r="B83" s="19">
        <v>0.51327546296296289</v>
      </c>
      <c r="C83" s="11">
        <v>7.9188459999999995E-8</v>
      </c>
      <c r="D83" s="11">
        <v>5.5588290000000004E-10</v>
      </c>
      <c r="E83" s="11">
        <v>1.329468E-11</v>
      </c>
      <c r="F83" s="11">
        <v>1.610192E-9</v>
      </c>
      <c r="G83" s="11">
        <v>3.8537160000000001E-8</v>
      </c>
      <c r="H83" s="3">
        <f t="shared" si="2"/>
        <v>122.39999999999998</v>
      </c>
      <c r="I83" s="19">
        <v>0.51327546296296289</v>
      </c>
      <c r="J83">
        <v>12</v>
      </c>
      <c r="K83">
        <v>19</v>
      </c>
      <c r="L83">
        <v>7</v>
      </c>
      <c r="M83">
        <f t="shared" si="3"/>
        <v>739.11666666666667</v>
      </c>
    </row>
    <row r="84" spans="1:13" x14ac:dyDescent="0.15">
      <c r="B84" s="19">
        <v>0.51333333333333331</v>
      </c>
      <c r="C84" s="11">
        <v>7.9183479999999996E-8</v>
      </c>
      <c r="D84" s="11">
        <v>5.5629239999999999E-10</v>
      </c>
      <c r="E84" s="11">
        <v>1.3455650000000001E-11</v>
      </c>
      <c r="F84" s="11">
        <v>1.6113619999999999E-9</v>
      </c>
      <c r="G84" s="11">
        <v>3.8529900000000003E-8</v>
      </c>
      <c r="H84" s="3">
        <f t="shared" si="2"/>
        <v>122.48333333333335</v>
      </c>
      <c r="I84" s="19">
        <v>0.51333333333333331</v>
      </c>
      <c r="J84">
        <v>12</v>
      </c>
      <c r="K84">
        <v>19</v>
      </c>
      <c r="L84">
        <v>12</v>
      </c>
      <c r="M84">
        <f t="shared" si="3"/>
        <v>739.2</v>
      </c>
    </row>
    <row r="85" spans="1:13" x14ac:dyDescent="0.15">
      <c r="B85" s="19">
        <v>0.51342592592592595</v>
      </c>
      <c r="C85" s="11">
        <v>7.9099830000000006E-8</v>
      </c>
      <c r="D85" s="11">
        <v>5.573236E-10</v>
      </c>
      <c r="E85" s="11">
        <v>1.3160570000000001E-11</v>
      </c>
      <c r="F85" s="11">
        <v>1.6089590000000001E-9</v>
      </c>
      <c r="G85" s="11">
        <v>3.8488730000000001E-8</v>
      </c>
      <c r="H85" s="3">
        <f t="shared" si="2"/>
        <v>122.61666666666667</v>
      </c>
      <c r="I85" s="19">
        <v>0.51342592592592595</v>
      </c>
      <c r="J85">
        <v>12</v>
      </c>
      <c r="K85">
        <v>19</v>
      </c>
      <c r="L85">
        <v>20</v>
      </c>
      <c r="M85">
        <f t="shared" si="3"/>
        <v>739.33333333333337</v>
      </c>
    </row>
    <row r="86" spans="1:13" x14ac:dyDescent="0.15">
      <c r="A86" t="s">
        <v>64</v>
      </c>
      <c r="B86" s="19">
        <v>0.5198842592592593</v>
      </c>
      <c r="C86" s="11">
        <v>5.8046959999999997E-8</v>
      </c>
      <c r="D86" s="11">
        <v>4.0847770000000001E-10</v>
      </c>
      <c r="E86" s="11">
        <v>1.085515E-11</v>
      </c>
      <c r="F86" s="11">
        <v>1.1455579999999999E-9</v>
      </c>
      <c r="G86" s="11">
        <v>2.807404E-8</v>
      </c>
      <c r="H86" s="3">
        <f t="shared" si="2"/>
        <v>131.91666666666663</v>
      </c>
      <c r="I86" s="19">
        <v>0.5198842592592593</v>
      </c>
      <c r="J86">
        <v>12</v>
      </c>
      <c r="K86">
        <v>28</v>
      </c>
      <c r="L86">
        <v>38</v>
      </c>
      <c r="M86">
        <f t="shared" si="3"/>
        <v>748.63333333333333</v>
      </c>
    </row>
    <row r="87" spans="1:13" x14ac:dyDescent="0.15">
      <c r="B87" s="19">
        <v>0.52003472222222225</v>
      </c>
      <c r="C87" s="11">
        <v>5.8096759999999997E-8</v>
      </c>
      <c r="D87" s="11">
        <v>4.091306E-10</v>
      </c>
      <c r="E87" s="11">
        <v>1.0908130000000001E-11</v>
      </c>
      <c r="F87" s="11">
        <v>1.1509630000000001E-9</v>
      </c>
      <c r="G87" s="11">
        <v>2.8052030000000002E-8</v>
      </c>
      <c r="H87" s="3">
        <f t="shared" si="2"/>
        <v>132.13333333333333</v>
      </c>
      <c r="I87" s="19">
        <v>0.52003472222222225</v>
      </c>
      <c r="J87">
        <v>12</v>
      </c>
      <c r="K87">
        <v>28</v>
      </c>
      <c r="L87">
        <v>51</v>
      </c>
      <c r="M87">
        <f t="shared" si="3"/>
        <v>748.85</v>
      </c>
    </row>
    <row r="88" spans="1:13" x14ac:dyDescent="0.15">
      <c r="B88" s="19">
        <v>0.52024305555555561</v>
      </c>
      <c r="C88" s="11">
        <v>5.8081549999999999E-8</v>
      </c>
      <c r="D88" s="11">
        <v>4.07538E-10</v>
      </c>
      <c r="E88" s="11">
        <v>1.070526E-11</v>
      </c>
      <c r="F88" s="11">
        <v>1.150089E-9</v>
      </c>
      <c r="G88" s="11">
        <v>2.8049809999999999E-8</v>
      </c>
      <c r="H88" s="3">
        <f t="shared" si="2"/>
        <v>132.43333333333328</v>
      </c>
      <c r="I88" s="19">
        <v>0.52024305555555561</v>
      </c>
      <c r="J88">
        <v>12</v>
      </c>
      <c r="K88">
        <v>29</v>
      </c>
      <c r="L88">
        <v>9</v>
      </c>
      <c r="M88">
        <f t="shared" si="3"/>
        <v>749.15</v>
      </c>
    </row>
    <row r="89" spans="1:13" x14ac:dyDescent="0.15">
      <c r="A89" t="s">
        <v>65</v>
      </c>
      <c r="B89" s="19">
        <v>0.52622685185185192</v>
      </c>
      <c r="C89" s="11">
        <v>4.9721860000000002E-8</v>
      </c>
      <c r="D89" s="11">
        <v>3.519018E-10</v>
      </c>
      <c r="E89" s="11">
        <v>9.7396230000000006E-12</v>
      </c>
      <c r="F89" s="11">
        <v>9.6932729999999997E-10</v>
      </c>
      <c r="G89" s="11">
        <v>2.3625779999999999E-8</v>
      </c>
      <c r="H89" s="3">
        <f t="shared" si="2"/>
        <v>141.04999999999995</v>
      </c>
      <c r="I89" s="19">
        <v>0.52622685185185192</v>
      </c>
      <c r="J89">
        <v>12</v>
      </c>
      <c r="K89">
        <v>37</v>
      </c>
      <c r="L89">
        <v>46</v>
      </c>
      <c r="M89">
        <f t="shared" si="3"/>
        <v>757.76666666666665</v>
      </c>
    </row>
    <row r="90" spans="1:13" x14ac:dyDescent="0.15">
      <c r="B90" s="19">
        <v>0.52628472222222222</v>
      </c>
      <c r="C90" s="11">
        <v>4.9722690000000002E-8</v>
      </c>
      <c r="D90" s="11">
        <v>3.5004910000000002E-10</v>
      </c>
      <c r="E90" s="11">
        <v>9.8296980000000001E-12</v>
      </c>
      <c r="F90" s="11">
        <v>9.6952519999999998E-10</v>
      </c>
      <c r="G90" s="11">
        <v>2.3628840000000001E-8</v>
      </c>
      <c r="H90" s="3">
        <f t="shared" si="2"/>
        <v>141.13333333333333</v>
      </c>
      <c r="I90" s="19">
        <v>0.52628472222222222</v>
      </c>
      <c r="J90">
        <v>12</v>
      </c>
      <c r="K90">
        <v>37</v>
      </c>
      <c r="L90">
        <v>51</v>
      </c>
      <c r="M90">
        <f t="shared" si="3"/>
        <v>757.85</v>
      </c>
    </row>
    <row r="91" spans="1:13" x14ac:dyDescent="0.15">
      <c r="B91" s="19">
        <v>0.52634259259259253</v>
      </c>
      <c r="C91" s="11">
        <v>4.9716750000000001E-8</v>
      </c>
      <c r="D91" s="11">
        <v>3.4990570000000001E-10</v>
      </c>
      <c r="E91" s="11">
        <v>9.622466E-12</v>
      </c>
      <c r="F91" s="11">
        <v>9.6550730000000008E-10</v>
      </c>
      <c r="G91" s="11">
        <v>2.3624109999999999E-8</v>
      </c>
      <c r="H91" s="3">
        <f t="shared" si="2"/>
        <v>141.21666666666658</v>
      </c>
      <c r="I91" s="19">
        <v>0.52634259259259253</v>
      </c>
      <c r="J91">
        <v>12</v>
      </c>
      <c r="K91">
        <v>37</v>
      </c>
      <c r="L91">
        <v>56</v>
      </c>
      <c r="M91">
        <f t="shared" si="3"/>
        <v>757.93333333333328</v>
      </c>
    </row>
    <row r="92" spans="1:13" x14ac:dyDescent="0.15">
      <c r="A92" t="s">
        <v>64</v>
      </c>
      <c r="B92" s="19">
        <v>0.52968749999999998</v>
      </c>
      <c r="C92" s="11">
        <v>5.8354029999999997E-8</v>
      </c>
      <c r="D92" s="11">
        <v>4.1144489999999999E-10</v>
      </c>
      <c r="E92" s="11">
        <v>1.054258E-11</v>
      </c>
      <c r="F92" s="11">
        <v>1.1532479999999999E-9</v>
      </c>
      <c r="G92" s="11">
        <v>2.8186090000000001E-8</v>
      </c>
      <c r="H92" s="3">
        <f t="shared" si="2"/>
        <v>146.0333333333333</v>
      </c>
      <c r="I92" s="19">
        <v>0.52968749999999998</v>
      </c>
      <c r="J92">
        <v>12</v>
      </c>
      <c r="K92">
        <v>42</v>
      </c>
      <c r="L92">
        <v>45</v>
      </c>
      <c r="M92">
        <f t="shared" si="3"/>
        <v>762.75</v>
      </c>
    </row>
    <row r="93" spans="1:13" x14ac:dyDescent="0.15">
      <c r="B93" s="19">
        <v>0.52975694444444443</v>
      </c>
      <c r="C93" s="11">
        <v>5.8300929999999998E-8</v>
      </c>
      <c r="D93" s="11">
        <v>4.1008670000000001E-10</v>
      </c>
      <c r="E93" s="11">
        <v>1.0755679999999999E-11</v>
      </c>
      <c r="F93" s="11">
        <v>1.155109E-9</v>
      </c>
      <c r="G93" s="11">
        <v>2.819165E-8</v>
      </c>
      <c r="H93" s="3">
        <f t="shared" si="2"/>
        <v>146.13333333333333</v>
      </c>
      <c r="I93" s="19">
        <v>0.52975694444444443</v>
      </c>
      <c r="J93">
        <v>12</v>
      </c>
      <c r="K93">
        <v>42</v>
      </c>
      <c r="L93">
        <v>51</v>
      </c>
      <c r="M93">
        <f t="shared" si="3"/>
        <v>762.85</v>
      </c>
    </row>
    <row r="94" spans="1:13" x14ac:dyDescent="0.15">
      <c r="B94" s="19">
        <v>0.52981481481481485</v>
      </c>
      <c r="C94" s="11">
        <v>5.8333180000000001E-8</v>
      </c>
      <c r="D94" s="11">
        <v>4.1055150000000001E-10</v>
      </c>
      <c r="E94" s="11">
        <v>1.088942E-11</v>
      </c>
      <c r="F94" s="11">
        <v>1.151764E-9</v>
      </c>
      <c r="G94" s="11">
        <v>2.816779E-8</v>
      </c>
      <c r="H94" s="3">
        <f t="shared" si="2"/>
        <v>146.21666666666658</v>
      </c>
      <c r="I94" s="19">
        <v>0.52981481481481485</v>
      </c>
      <c r="J94">
        <v>12</v>
      </c>
      <c r="K94">
        <v>42</v>
      </c>
      <c r="L94">
        <v>56</v>
      </c>
      <c r="M94">
        <f t="shared" si="3"/>
        <v>762.93333333333328</v>
      </c>
    </row>
    <row r="95" spans="1:13" x14ac:dyDescent="0.15">
      <c r="A95" t="s">
        <v>65</v>
      </c>
      <c r="B95" s="19">
        <v>0.53269675925925919</v>
      </c>
      <c r="C95" s="11">
        <v>4.9640969999999998E-8</v>
      </c>
      <c r="D95" s="11">
        <v>3.4996510000000002E-10</v>
      </c>
      <c r="E95" s="11">
        <v>9.5711119999999995E-12</v>
      </c>
      <c r="F95" s="11">
        <v>9.688145999999999E-10</v>
      </c>
      <c r="G95" s="11">
        <v>2.363606E-8</v>
      </c>
      <c r="H95" s="3">
        <f t="shared" si="2"/>
        <v>150.36666666666667</v>
      </c>
      <c r="I95" s="19">
        <v>0.53269675925925919</v>
      </c>
      <c r="J95">
        <v>12</v>
      </c>
      <c r="K95">
        <v>47</v>
      </c>
      <c r="L95">
        <v>5</v>
      </c>
      <c r="M95">
        <f t="shared" si="3"/>
        <v>767.08333333333337</v>
      </c>
    </row>
    <row r="96" spans="1:13" x14ac:dyDescent="0.15">
      <c r="B96" s="19">
        <v>0.53278935185185183</v>
      </c>
      <c r="C96" s="11">
        <v>4.9705239999999998E-8</v>
      </c>
      <c r="D96" s="11">
        <v>3.5012019999999999E-10</v>
      </c>
      <c r="E96" s="11">
        <v>9.7326010000000005E-12</v>
      </c>
      <c r="F96" s="11">
        <v>9.6650700000000008E-10</v>
      </c>
      <c r="G96" s="11">
        <v>2.362925E-8</v>
      </c>
      <c r="H96" s="3">
        <f t="shared" si="2"/>
        <v>150.5</v>
      </c>
      <c r="I96" s="19">
        <v>0.53278935185185183</v>
      </c>
      <c r="J96">
        <v>12</v>
      </c>
      <c r="K96">
        <v>47</v>
      </c>
      <c r="L96">
        <v>13</v>
      </c>
      <c r="M96">
        <f t="shared" si="3"/>
        <v>767.2166666666667</v>
      </c>
    </row>
    <row r="97" spans="1:13" x14ac:dyDescent="0.15">
      <c r="B97" s="19">
        <v>0.5330555555555555</v>
      </c>
      <c r="C97" s="11">
        <v>4.9738880000000001E-8</v>
      </c>
      <c r="D97" s="11">
        <v>3.5034650000000001E-10</v>
      </c>
      <c r="E97" s="11">
        <v>9.6250160000000002E-12</v>
      </c>
      <c r="F97" s="11">
        <v>9.6779670000000009E-10</v>
      </c>
      <c r="G97" s="11">
        <v>2.3641200000000001E-8</v>
      </c>
      <c r="H97" s="3">
        <f t="shared" si="2"/>
        <v>150.88333333333333</v>
      </c>
      <c r="I97" s="19">
        <v>0.5330555555555555</v>
      </c>
      <c r="J97">
        <v>12</v>
      </c>
      <c r="K97">
        <v>47</v>
      </c>
      <c r="L97">
        <v>36</v>
      </c>
      <c r="M97">
        <f t="shared" si="3"/>
        <v>767.6</v>
      </c>
    </row>
    <row r="98" spans="1:13" x14ac:dyDescent="0.15">
      <c r="A98" t="s">
        <v>85</v>
      </c>
      <c r="B98" s="19">
        <v>0.55847222222222215</v>
      </c>
      <c r="C98" s="11">
        <v>5.6094949999999998E-8</v>
      </c>
      <c r="D98" s="11">
        <v>3.951298E-10</v>
      </c>
      <c r="E98" s="11">
        <v>1.006855E-11</v>
      </c>
      <c r="F98" s="11">
        <v>1.1134350000000001E-9</v>
      </c>
      <c r="G98" s="11">
        <v>2.687913E-8</v>
      </c>
      <c r="H98" s="3">
        <f t="shared" si="2"/>
        <v>187.48333333333335</v>
      </c>
      <c r="I98" s="19">
        <v>0.55847222222222215</v>
      </c>
      <c r="J98">
        <v>1</v>
      </c>
      <c r="K98">
        <v>24</v>
      </c>
      <c r="L98">
        <v>12</v>
      </c>
      <c r="M98">
        <f>(12+J98)*60+K98+L98/60</f>
        <v>804.2</v>
      </c>
    </row>
    <row r="99" spans="1:13" x14ac:dyDescent="0.15">
      <c r="B99" s="19">
        <v>0.5586458333333334</v>
      </c>
      <c r="C99" s="11">
        <v>5.6134619999999997E-8</v>
      </c>
      <c r="D99" s="11">
        <v>3.9448689999999999E-10</v>
      </c>
      <c r="E99" s="11">
        <v>1.027069E-11</v>
      </c>
      <c r="F99" s="11">
        <v>1.113336E-9</v>
      </c>
      <c r="G99" s="11">
        <v>2.6858729999999999E-8</v>
      </c>
      <c r="H99" s="3">
        <f t="shared" si="2"/>
        <v>187.73333333333335</v>
      </c>
      <c r="I99" s="19">
        <v>0.5586458333333334</v>
      </c>
      <c r="J99">
        <v>1</v>
      </c>
      <c r="K99">
        <v>24</v>
      </c>
      <c r="L99">
        <v>27</v>
      </c>
      <c r="M99">
        <f t="shared" ref="M99:M162" si="4">(12+J99)*60+K99+L99/60</f>
        <v>804.45</v>
      </c>
    </row>
    <row r="100" spans="1:13" x14ac:dyDescent="0.15">
      <c r="B100" s="19">
        <v>0.55871527777777785</v>
      </c>
      <c r="C100" s="11">
        <v>5.61071E-8</v>
      </c>
      <c r="D100" s="11">
        <v>3.9583990000000002E-10</v>
      </c>
      <c r="E100" s="11">
        <v>1.025467E-11</v>
      </c>
      <c r="F100" s="11">
        <v>1.114167E-9</v>
      </c>
      <c r="G100" s="11">
        <v>2.6887540000000001E-8</v>
      </c>
      <c r="H100" s="3">
        <f t="shared" si="2"/>
        <v>187.83333333333326</v>
      </c>
      <c r="I100" s="19">
        <v>0.55871527777777785</v>
      </c>
      <c r="J100">
        <v>1</v>
      </c>
      <c r="K100">
        <v>24</v>
      </c>
      <c r="L100">
        <v>33</v>
      </c>
      <c r="M100">
        <f t="shared" si="4"/>
        <v>804.55</v>
      </c>
    </row>
    <row r="101" spans="1:13" x14ac:dyDescent="0.15">
      <c r="A101" t="s">
        <v>85</v>
      </c>
      <c r="B101" s="19">
        <v>0.56252314814814819</v>
      </c>
      <c r="C101" s="11">
        <v>5.5950799999999998E-8</v>
      </c>
      <c r="D101" s="11">
        <v>3.9482629999999998E-10</v>
      </c>
      <c r="E101" s="11">
        <v>1.0212859999999999E-11</v>
      </c>
      <c r="F101" s="11">
        <v>1.1109699999999999E-9</v>
      </c>
      <c r="G101" s="11">
        <v>2.6902550000000002E-8</v>
      </c>
      <c r="H101" s="3">
        <f t="shared" si="2"/>
        <v>193.31666666666661</v>
      </c>
      <c r="I101" s="19">
        <v>0.56252314814814819</v>
      </c>
      <c r="J101">
        <v>1</v>
      </c>
      <c r="K101">
        <v>30</v>
      </c>
      <c r="L101">
        <v>2</v>
      </c>
      <c r="M101">
        <f t="shared" si="4"/>
        <v>810.0333333333333</v>
      </c>
    </row>
    <row r="102" spans="1:13" x14ac:dyDescent="0.15">
      <c r="B102" s="19">
        <v>0.56260416666666668</v>
      </c>
      <c r="C102" s="11">
        <v>5.5928140000000001E-8</v>
      </c>
      <c r="D102" s="11">
        <v>3.9403710000000002E-10</v>
      </c>
      <c r="E102" s="11">
        <v>1.0271959999999999E-11</v>
      </c>
      <c r="F102" s="11">
        <v>1.1116340000000001E-9</v>
      </c>
      <c r="G102" s="11">
        <v>2.6877099999999999E-8</v>
      </c>
      <c r="H102" s="3">
        <f t="shared" si="2"/>
        <v>193.43333333333328</v>
      </c>
      <c r="I102" s="19">
        <v>0.56260416666666668</v>
      </c>
      <c r="J102">
        <v>1</v>
      </c>
      <c r="K102">
        <v>30</v>
      </c>
      <c r="L102">
        <v>9</v>
      </c>
      <c r="M102">
        <f t="shared" si="4"/>
        <v>810.15</v>
      </c>
    </row>
    <row r="103" spans="1:13" x14ac:dyDescent="0.15">
      <c r="B103" s="19">
        <v>0.56269675925925922</v>
      </c>
      <c r="C103" s="11">
        <v>5.5905370000000002E-8</v>
      </c>
      <c r="D103" s="11">
        <v>3.9332659999999998E-10</v>
      </c>
      <c r="E103" s="11">
        <v>1.0297679999999999E-11</v>
      </c>
      <c r="F103" s="11">
        <v>1.1087110000000001E-9</v>
      </c>
      <c r="G103" s="11">
        <v>2.6899060000000001E-8</v>
      </c>
      <c r="H103" s="3">
        <f t="shared" si="2"/>
        <v>193.56666666666661</v>
      </c>
      <c r="I103" s="19">
        <v>0.56269675925925922</v>
      </c>
      <c r="J103">
        <v>1</v>
      </c>
      <c r="K103">
        <v>30</v>
      </c>
      <c r="L103">
        <v>17</v>
      </c>
      <c r="M103">
        <f t="shared" si="4"/>
        <v>810.2833333333333</v>
      </c>
    </row>
    <row r="104" spans="1:13" x14ac:dyDescent="0.15">
      <c r="A104" t="s">
        <v>86</v>
      </c>
      <c r="B104" s="19">
        <v>0.56509259259259259</v>
      </c>
      <c r="C104" s="11">
        <v>5.5749010000000002E-8</v>
      </c>
      <c r="D104" s="11">
        <v>3.9232739999999998E-10</v>
      </c>
      <c r="E104" s="11">
        <v>1.028507E-11</v>
      </c>
      <c r="F104" s="11">
        <v>1.1045500000000001E-9</v>
      </c>
      <c r="G104" s="11">
        <v>2.6837800000000001E-8</v>
      </c>
      <c r="H104" s="3">
        <f t="shared" si="2"/>
        <v>197.01666666666665</v>
      </c>
      <c r="I104" s="19">
        <v>0.56509259259259259</v>
      </c>
      <c r="J104">
        <v>1</v>
      </c>
      <c r="K104">
        <v>33</v>
      </c>
      <c r="L104">
        <v>44</v>
      </c>
      <c r="M104">
        <f t="shared" si="4"/>
        <v>813.73333333333335</v>
      </c>
    </row>
    <row r="105" spans="1:13" x14ac:dyDescent="0.15">
      <c r="B105" s="19">
        <v>0.56515046296296301</v>
      </c>
      <c r="C105" s="11">
        <v>5.5797949999999998E-8</v>
      </c>
      <c r="D105" s="11">
        <v>3.9207940000000002E-10</v>
      </c>
      <c r="E105" s="11">
        <v>1.0056219999999999E-11</v>
      </c>
      <c r="F105" s="11">
        <v>1.1036210000000001E-9</v>
      </c>
      <c r="G105" s="11">
        <v>2.6831149999999999E-8</v>
      </c>
      <c r="H105" s="3">
        <f t="shared" si="2"/>
        <v>197.10000000000002</v>
      </c>
      <c r="I105" s="19">
        <v>0.56515046296296301</v>
      </c>
      <c r="J105">
        <v>1</v>
      </c>
      <c r="K105">
        <v>33</v>
      </c>
      <c r="L105">
        <v>49</v>
      </c>
      <c r="M105">
        <f t="shared" si="4"/>
        <v>813.81666666666672</v>
      </c>
    </row>
    <row r="106" spans="1:13" x14ac:dyDescent="0.15">
      <c r="B106" s="19">
        <v>0.56520833333333331</v>
      </c>
      <c r="C106" s="11">
        <v>5.5801079999999997E-8</v>
      </c>
      <c r="D106" s="11">
        <v>3.940474E-10</v>
      </c>
      <c r="E106" s="11">
        <v>1.047701E-11</v>
      </c>
      <c r="F106" s="11">
        <v>1.104714E-9</v>
      </c>
      <c r="G106" s="11">
        <v>2.685371E-8</v>
      </c>
      <c r="H106" s="3">
        <f t="shared" si="2"/>
        <v>197.18333333333328</v>
      </c>
      <c r="I106" s="19">
        <v>0.56520833333333331</v>
      </c>
      <c r="J106">
        <v>1</v>
      </c>
      <c r="K106">
        <v>33</v>
      </c>
      <c r="L106">
        <v>54</v>
      </c>
      <c r="M106">
        <f t="shared" si="4"/>
        <v>813.9</v>
      </c>
    </row>
    <row r="107" spans="1:13" x14ac:dyDescent="0.15">
      <c r="A107" t="s">
        <v>86</v>
      </c>
      <c r="B107" s="19">
        <v>0.56759259259259254</v>
      </c>
      <c r="C107" s="11">
        <v>5.5856090000000003E-8</v>
      </c>
      <c r="D107" s="11">
        <v>3.9335499999999998E-10</v>
      </c>
      <c r="E107" s="11">
        <v>1.032655E-11</v>
      </c>
      <c r="F107" s="11">
        <v>1.108963E-9</v>
      </c>
      <c r="G107" s="11">
        <v>2.684334E-8</v>
      </c>
      <c r="H107" s="3">
        <f t="shared" si="2"/>
        <v>200.61666666666667</v>
      </c>
      <c r="I107" s="19">
        <v>0.56759259259259254</v>
      </c>
      <c r="J107">
        <v>1</v>
      </c>
      <c r="K107">
        <v>37</v>
      </c>
      <c r="L107">
        <v>20</v>
      </c>
      <c r="M107">
        <f t="shared" si="4"/>
        <v>817.33333333333337</v>
      </c>
    </row>
    <row r="108" spans="1:13" x14ac:dyDescent="0.15">
      <c r="B108" s="19">
        <v>0.56766203703703699</v>
      </c>
      <c r="C108" s="11">
        <v>5.5842329999999997E-8</v>
      </c>
      <c r="D108" s="11">
        <v>3.9241709999999998E-10</v>
      </c>
      <c r="E108" s="11">
        <v>1.019657E-11</v>
      </c>
      <c r="F108" s="11">
        <v>1.109637E-9</v>
      </c>
      <c r="G108" s="11">
        <v>2.683293E-8</v>
      </c>
      <c r="H108" s="3">
        <f t="shared" si="2"/>
        <v>200.71666666666658</v>
      </c>
      <c r="I108" s="19">
        <v>0.56766203703703699</v>
      </c>
      <c r="J108">
        <v>1</v>
      </c>
      <c r="K108">
        <v>37</v>
      </c>
      <c r="L108">
        <v>26</v>
      </c>
      <c r="M108">
        <f t="shared" si="4"/>
        <v>817.43333333333328</v>
      </c>
    </row>
    <row r="109" spans="1:13" x14ac:dyDescent="0.15">
      <c r="B109" s="19">
        <v>0.56781249999999994</v>
      </c>
      <c r="C109" s="11">
        <v>5.5822170000000003E-8</v>
      </c>
      <c r="D109" s="11">
        <v>3.936165E-10</v>
      </c>
      <c r="E109" s="11">
        <v>1.0298219999999999E-11</v>
      </c>
      <c r="F109" s="11">
        <v>1.1067070000000001E-9</v>
      </c>
      <c r="G109" s="11">
        <v>2.68094E-8</v>
      </c>
      <c r="H109" s="3">
        <f t="shared" si="2"/>
        <v>200.93333333333328</v>
      </c>
      <c r="I109" s="19">
        <v>0.56781249999999994</v>
      </c>
      <c r="J109">
        <v>1</v>
      </c>
      <c r="K109">
        <v>37</v>
      </c>
      <c r="L109">
        <v>39</v>
      </c>
      <c r="M109">
        <f t="shared" si="4"/>
        <v>817.65</v>
      </c>
    </row>
    <row r="110" spans="1:13" x14ac:dyDescent="0.15">
      <c r="A110" t="s">
        <v>87</v>
      </c>
      <c r="B110" s="19">
        <v>0.56986111111111104</v>
      </c>
      <c r="C110" s="11">
        <v>5.592471E-8</v>
      </c>
      <c r="D110" s="11">
        <v>3.9447389999999999E-10</v>
      </c>
      <c r="E110" s="11">
        <v>1.060594E-11</v>
      </c>
      <c r="F110" s="11">
        <v>1.111667E-9</v>
      </c>
      <c r="G110" s="11">
        <v>2.691471E-8</v>
      </c>
      <c r="H110" s="3">
        <f t="shared" si="2"/>
        <v>203.88333333333333</v>
      </c>
      <c r="I110" s="19">
        <v>0.56986111111111104</v>
      </c>
      <c r="J110">
        <v>1</v>
      </c>
      <c r="K110">
        <v>40</v>
      </c>
      <c r="L110">
        <v>36</v>
      </c>
      <c r="M110">
        <f t="shared" si="4"/>
        <v>820.6</v>
      </c>
    </row>
    <row r="111" spans="1:13" x14ac:dyDescent="0.15">
      <c r="B111" s="19">
        <v>0.5699305555555555</v>
      </c>
      <c r="C111" s="11">
        <v>5.5922000000000003E-8</v>
      </c>
      <c r="D111" s="11">
        <v>3.9393239999999999E-10</v>
      </c>
      <c r="E111" s="11">
        <v>1.023548E-11</v>
      </c>
      <c r="F111" s="11">
        <v>1.1086689999999999E-9</v>
      </c>
      <c r="G111" s="11">
        <v>2.6899610000000001E-8</v>
      </c>
      <c r="H111" s="3">
        <f t="shared" si="2"/>
        <v>203.98333333333335</v>
      </c>
      <c r="I111" s="19">
        <v>0.5699305555555555</v>
      </c>
      <c r="J111">
        <v>1</v>
      </c>
      <c r="K111">
        <v>40</v>
      </c>
      <c r="L111">
        <v>42</v>
      </c>
      <c r="M111">
        <f t="shared" si="4"/>
        <v>820.7</v>
      </c>
    </row>
    <row r="112" spans="1:13" x14ac:dyDescent="0.15">
      <c r="B112" s="19">
        <v>0.5700115740740741</v>
      </c>
      <c r="C112" s="11">
        <v>5.5885449999999998E-8</v>
      </c>
      <c r="D112" s="11">
        <v>3.9408139999999998E-10</v>
      </c>
      <c r="E112" s="11">
        <v>1.0349100000000001E-11</v>
      </c>
      <c r="F112" s="11">
        <v>1.1086389999999999E-9</v>
      </c>
      <c r="G112" s="11">
        <v>2.6891930000000001E-8</v>
      </c>
      <c r="H112" s="3">
        <f t="shared" si="2"/>
        <v>204.10000000000002</v>
      </c>
      <c r="I112" s="19">
        <v>0.5700115740740741</v>
      </c>
      <c r="J112">
        <v>1</v>
      </c>
      <c r="K112">
        <v>40</v>
      </c>
      <c r="L112">
        <v>49</v>
      </c>
      <c r="M112">
        <f t="shared" si="4"/>
        <v>820.81666666666672</v>
      </c>
    </row>
    <row r="113" spans="1:13" x14ac:dyDescent="0.15">
      <c r="A113" t="s">
        <v>87</v>
      </c>
      <c r="B113" s="19">
        <v>0.57253472222222224</v>
      </c>
      <c r="C113" s="11">
        <v>5.5784749999999999E-8</v>
      </c>
      <c r="D113" s="11">
        <v>3.9239199999999999E-10</v>
      </c>
      <c r="E113" s="11">
        <v>1.0424250000000001E-11</v>
      </c>
      <c r="F113" s="11">
        <v>1.1041589999999999E-9</v>
      </c>
      <c r="G113" s="11">
        <v>2.6783690000000001E-8</v>
      </c>
      <c r="H113" s="3">
        <f t="shared" si="2"/>
        <v>207.73333333333335</v>
      </c>
      <c r="I113" s="19">
        <v>0.57253472222222224</v>
      </c>
      <c r="J113">
        <v>1</v>
      </c>
      <c r="K113">
        <v>44</v>
      </c>
      <c r="L113">
        <v>27</v>
      </c>
      <c r="M113">
        <f t="shared" si="4"/>
        <v>824.45</v>
      </c>
    </row>
    <row r="114" spans="1:13" x14ac:dyDescent="0.15">
      <c r="B114" s="19">
        <v>0.57259259259259265</v>
      </c>
      <c r="C114" s="11">
        <v>5.5813820000000002E-8</v>
      </c>
      <c r="D114" s="11">
        <v>3.929874E-10</v>
      </c>
      <c r="E114" s="11">
        <v>1.002039E-11</v>
      </c>
      <c r="F114" s="11">
        <v>1.108422E-9</v>
      </c>
      <c r="G114" s="11">
        <v>2.680752E-8</v>
      </c>
      <c r="H114" s="3">
        <f t="shared" si="2"/>
        <v>207.81666666666661</v>
      </c>
      <c r="I114" s="19">
        <v>0.57259259259259265</v>
      </c>
      <c r="J114">
        <v>1</v>
      </c>
      <c r="K114">
        <v>44</v>
      </c>
      <c r="L114">
        <v>32</v>
      </c>
      <c r="M114">
        <f t="shared" si="4"/>
        <v>824.5333333333333</v>
      </c>
    </row>
    <row r="115" spans="1:13" x14ac:dyDescent="0.15">
      <c r="B115" s="19">
        <v>0.57265046296296296</v>
      </c>
      <c r="C115" s="11">
        <v>5.5833750000000002E-8</v>
      </c>
      <c r="D115" s="11">
        <v>3.9253519999999999E-10</v>
      </c>
      <c r="E115" s="11">
        <v>1.041971E-11</v>
      </c>
      <c r="F115" s="11">
        <v>1.1059090000000001E-9</v>
      </c>
      <c r="G115" s="11">
        <v>2.682882E-8</v>
      </c>
      <c r="H115" s="3">
        <f t="shared" si="2"/>
        <v>207.89999999999998</v>
      </c>
      <c r="I115" s="19">
        <v>0.57265046296296296</v>
      </c>
      <c r="J115">
        <v>1</v>
      </c>
      <c r="K115">
        <v>44</v>
      </c>
      <c r="L115">
        <v>37</v>
      </c>
      <c r="M115">
        <f t="shared" si="4"/>
        <v>824.61666666666667</v>
      </c>
    </row>
    <row r="116" spans="1:13" x14ac:dyDescent="0.15">
      <c r="A116" t="s">
        <v>88</v>
      </c>
      <c r="B116" s="19">
        <v>0.57500000000000007</v>
      </c>
      <c r="C116" s="11">
        <v>5.5450149999999998E-8</v>
      </c>
      <c r="D116" s="11">
        <v>3.9221900000000001E-10</v>
      </c>
      <c r="E116" s="11">
        <v>1.039833E-11</v>
      </c>
      <c r="F116" s="11">
        <v>1.0997579999999999E-9</v>
      </c>
      <c r="G116" s="11">
        <v>2.6620839999999999E-8</v>
      </c>
      <c r="H116" s="3">
        <f t="shared" si="2"/>
        <v>211.2833333333333</v>
      </c>
      <c r="I116" s="19">
        <v>0.57500000000000007</v>
      </c>
      <c r="J116">
        <v>1</v>
      </c>
      <c r="K116">
        <v>48</v>
      </c>
      <c r="L116">
        <v>0</v>
      </c>
      <c r="M116">
        <f t="shared" si="4"/>
        <v>828</v>
      </c>
    </row>
    <row r="117" spans="1:13" x14ac:dyDescent="0.15">
      <c r="B117" s="19">
        <v>0.5750925925925926</v>
      </c>
      <c r="C117" s="11">
        <v>5.5466600000000001E-8</v>
      </c>
      <c r="D117" s="11">
        <v>3.8996749999999998E-10</v>
      </c>
      <c r="E117" s="11">
        <v>9.9702100000000006E-12</v>
      </c>
      <c r="F117" s="11">
        <v>1.099279E-9</v>
      </c>
      <c r="G117" s="11">
        <v>2.6605029999999999E-8</v>
      </c>
      <c r="H117" s="3">
        <f t="shared" si="2"/>
        <v>211.41666666666663</v>
      </c>
      <c r="I117" s="19">
        <v>0.5750925925925926</v>
      </c>
      <c r="J117">
        <v>1</v>
      </c>
      <c r="K117">
        <v>48</v>
      </c>
      <c r="L117">
        <v>8</v>
      </c>
      <c r="M117">
        <f t="shared" si="4"/>
        <v>828.13333333333333</v>
      </c>
    </row>
    <row r="118" spans="1:13" x14ac:dyDescent="0.15">
      <c r="B118" s="19">
        <v>0.57518518518518513</v>
      </c>
      <c r="C118" s="11">
        <v>5.5495580000000001E-8</v>
      </c>
      <c r="D118" s="11">
        <v>3.9021460000000001E-10</v>
      </c>
      <c r="E118" s="11">
        <v>1.026071E-11</v>
      </c>
      <c r="F118" s="11">
        <v>1.096688E-9</v>
      </c>
      <c r="G118" s="11">
        <v>2.6600319999999999E-8</v>
      </c>
      <c r="H118" s="3">
        <f t="shared" si="2"/>
        <v>211.54999999999995</v>
      </c>
      <c r="I118" s="19">
        <v>0.57518518518518513</v>
      </c>
      <c r="J118">
        <v>1</v>
      </c>
      <c r="K118">
        <v>48</v>
      </c>
      <c r="L118">
        <v>16</v>
      </c>
      <c r="M118">
        <f t="shared" si="4"/>
        <v>828.26666666666665</v>
      </c>
    </row>
    <row r="119" spans="1:13" x14ac:dyDescent="0.15">
      <c r="A119" t="s">
        <v>88</v>
      </c>
      <c r="B119" s="19">
        <v>0.57809027777777777</v>
      </c>
      <c r="C119" s="11">
        <v>5.5461140000000001E-8</v>
      </c>
      <c r="D119" s="11">
        <v>3.9074109999999998E-10</v>
      </c>
      <c r="E119" s="11">
        <v>1.031015E-11</v>
      </c>
      <c r="F119" s="11">
        <v>1.1001030000000001E-9</v>
      </c>
      <c r="G119" s="11">
        <v>2.660247E-8</v>
      </c>
      <c r="H119" s="3">
        <f t="shared" si="2"/>
        <v>215.73333333333335</v>
      </c>
      <c r="I119" s="19">
        <v>0.57809027777777777</v>
      </c>
      <c r="J119">
        <v>1</v>
      </c>
      <c r="K119">
        <v>52</v>
      </c>
      <c r="L119">
        <v>27</v>
      </c>
      <c r="M119">
        <f t="shared" si="4"/>
        <v>832.45</v>
      </c>
    </row>
    <row r="120" spans="1:13" x14ac:dyDescent="0.15">
      <c r="B120" s="19">
        <v>0.57820601851851849</v>
      </c>
      <c r="C120" s="11">
        <v>5.5442230000000002E-8</v>
      </c>
      <c r="D120" s="11">
        <v>3.9133870000000001E-10</v>
      </c>
      <c r="E120" s="11">
        <v>1.036144E-11</v>
      </c>
      <c r="F120" s="11">
        <v>1.0979499999999999E-9</v>
      </c>
      <c r="G120" s="11">
        <v>2.6545810000000001E-8</v>
      </c>
      <c r="H120" s="3">
        <f t="shared" si="2"/>
        <v>215.89999999999998</v>
      </c>
      <c r="I120" s="19">
        <v>0.57820601851851849</v>
      </c>
      <c r="J120">
        <v>1</v>
      </c>
      <c r="K120">
        <v>52</v>
      </c>
      <c r="L120">
        <v>37</v>
      </c>
      <c r="M120">
        <f t="shared" si="4"/>
        <v>832.61666666666667</v>
      </c>
    </row>
    <row r="121" spans="1:13" x14ac:dyDescent="0.15">
      <c r="B121" s="19">
        <v>0.57826388888888891</v>
      </c>
      <c r="C121" s="11">
        <v>5.5540050000000002E-8</v>
      </c>
      <c r="D121" s="11">
        <v>3.9122210000000002E-10</v>
      </c>
      <c r="E121" s="11">
        <v>1.021295E-11</v>
      </c>
      <c r="F121" s="11">
        <v>1.0986440000000001E-9</v>
      </c>
      <c r="G121" s="11">
        <v>2.6572769999999999E-8</v>
      </c>
      <c r="H121" s="3">
        <f t="shared" si="2"/>
        <v>215.98333333333335</v>
      </c>
      <c r="I121" s="19">
        <v>0.57826388888888891</v>
      </c>
      <c r="J121">
        <v>1</v>
      </c>
      <c r="K121">
        <v>52</v>
      </c>
      <c r="L121">
        <v>42</v>
      </c>
      <c r="M121">
        <f t="shared" si="4"/>
        <v>832.7</v>
      </c>
    </row>
    <row r="122" spans="1:13" x14ac:dyDescent="0.15">
      <c r="A122" t="s">
        <v>89</v>
      </c>
      <c r="B122" s="19">
        <v>0.58142361111111118</v>
      </c>
      <c r="C122" s="11">
        <v>5.3338229999999998E-8</v>
      </c>
      <c r="D122" s="11">
        <v>3.7569760000000002E-10</v>
      </c>
      <c r="E122" s="11">
        <v>1.0090489999999999E-11</v>
      </c>
      <c r="F122" s="11">
        <v>1.0718400000000001E-9</v>
      </c>
      <c r="G122" s="11">
        <v>2.598503E-8</v>
      </c>
      <c r="H122" s="3">
        <f t="shared" si="2"/>
        <v>220.5333333333333</v>
      </c>
      <c r="I122" s="19">
        <v>0.58142361111111118</v>
      </c>
      <c r="J122">
        <v>1</v>
      </c>
      <c r="K122">
        <v>57</v>
      </c>
      <c r="L122">
        <v>15</v>
      </c>
      <c r="M122">
        <f t="shared" si="4"/>
        <v>837.25</v>
      </c>
    </row>
    <row r="123" spans="1:13" x14ac:dyDescent="0.15">
      <c r="B123" s="19">
        <v>0.58151620370370372</v>
      </c>
      <c r="C123" s="11">
        <v>5.333095E-8</v>
      </c>
      <c r="D123" s="11">
        <v>3.7579910000000001E-10</v>
      </c>
      <c r="E123" s="11">
        <v>1.0073949999999999E-11</v>
      </c>
      <c r="F123" s="11">
        <v>1.074223E-9</v>
      </c>
      <c r="G123" s="11">
        <v>2.5956149999999999E-8</v>
      </c>
      <c r="H123" s="3">
        <f t="shared" si="2"/>
        <v>220.66666666666663</v>
      </c>
      <c r="I123" s="19">
        <v>0.58151620370370372</v>
      </c>
      <c r="J123">
        <v>1</v>
      </c>
      <c r="K123">
        <v>57</v>
      </c>
      <c r="L123">
        <v>23</v>
      </c>
      <c r="M123">
        <f t="shared" si="4"/>
        <v>837.38333333333333</v>
      </c>
    </row>
    <row r="124" spans="1:13" x14ac:dyDescent="0.15">
      <c r="B124" s="19">
        <v>0.58160879629629625</v>
      </c>
      <c r="C124" s="11">
        <v>5.3388199999999999E-8</v>
      </c>
      <c r="D124" s="11">
        <v>3.7641960000000001E-10</v>
      </c>
      <c r="E124" s="11">
        <v>1.002341E-11</v>
      </c>
      <c r="F124" s="11">
        <v>1.0729999999999999E-9</v>
      </c>
      <c r="G124" s="11">
        <v>2.5986559999999998E-8</v>
      </c>
      <c r="H124" s="3">
        <f t="shared" si="2"/>
        <v>220.79999999999995</v>
      </c>
      <c r="I124" s="19">
        <v>0.58160879629629625</v>
      </c>
      <c r="J124">
        <v>1</v>
      </c>
      <c r="K124">
        <v>57</v>
      </c>
      <c r="L124">
        <v>31</v>
      </c>
      <c r="M124">
        <f t="shared" si="4"/>
        <v>837.51666666666665</v>
      </c>
    </row>
    <row r="125" spans="1:13" x14ac:dyDescent="0.15">
      <c r="A125" t="s">
        <v>89</v>
      </c>
      <c r="B125" s="19">
        <v>0.58460648148148142</v>
      </c>
      <c r="C125" s="11">
        <v>5.4979679999999997E-8</v>
      </c>
      <c r="D125" s="11">
        <v>3.868923E-10</v>
      </c>
      <c r="E125" s="11">
        <v>1.007177E-11</v>
      </c>
      <c r="F125" s="11">
        <v>1.089555E-9</v>
      </c>
      <c r="G125" s="11">
        <v>2.642446E-8</v>
      </c>
      <c r="H125" s="3">
        <f t="shared" si="2"/>
        <v>225.11666666666667</v>
      </c>
      <c r="I125" s="19">
        <v>0.58460648148148142</v>
      </c>
      <c r="J125">
        <v>2</v>
      </c>
      <c r="K125">
        <v>1</v>
      </c>
      <c r="L125">
        <v>50</v>
      </c>
      <c r="M125">
        <f t="shared" si="4"/>
        <v>841.83333333333337</v>
      </c>
    </row>
    <row r="126" spans="1:13" x14ac:dyDescent="0.15">
      <c r="B126" s="19">
        <v>0.58473379629629629</v>
      </c>
      <c r="C126" s="11">
        <v>5.4971789999999997E-8</v>
      </c>
      <c r="D126" s="11">
        <v>3.8819400000000001E-10</v>
      </c>
      <c r="E126" s="11">
        <v>1.0214600000000001E-11</v>
      </c>
      <c r="F126" s="11">
        <v>1.0878389999999999E-9</v>
      </c>
      <c r="G126" s="11">
        <v>2.6433970000000001E-8</v>
      </c>
      <c r="H126" s="3">
        <f t="shared" si="2"/>
        <v>225.29999999999995</v>
      </c>
      <c r="I126" s="19">
        <v>0.58473379629629629</v>
      </c>
      <c r="J126">
        <v>2</v>
      </c>
      <c r="K126">
        <v>2</v>
      </c>
      <c r="L126">
        <v>1</v>
      </c>
      <c r="M126">
        <f t="shared" si="4"/>
        <v>842.01666666666665</v>
      </c>
    </row>
    <row r="127" spans="1:13" x14ac:dyDescent="0.15">
      <c r="B127" s="19">
        <v>0.58488425925925924</v>
      </c>
      <c r="C127" s="11">
        <v>5.4987649999999997E-8</v>
      </c>
      <c r="D127" s="11">
        <v>3.8670580000000001E-10</v>
      </c>
      <c r="E127" s="11">
        <v>1.01946E-11</v>
      </c>
      <c r="F127" s="11">
        <v>1.086076E-9</v>
      </c>
      <c r="G127" s="11">
        <v>2.641215E-8</v>
      </c>
      <c r="H127" s="3">
        <f t="shared" si="2"/>
        <v>225.51666666666665</v>
      </c>
      <c r="I127" s="19">
        <v>0.58488425925925924</v>
      </c>
      <c r="J127">
        <v>2</v>
      </c>
      <c r="K127">
        <v>2</v>
      </c>
      <c r="L127">
        <v>14</v>
      </c>
      <c r="M127">
        <f t="shared" si="4"/>
        <v>842.23333333333335</v>
      </c>
    </row>
    <row r="128" spans="1:13" x14ac:dyDescent="0.15">
      <c r="A128" t="s">
        <v>90</v>
      </c>
      <c r="B128" s="19">
        <v>0.58833333333333326</v>
      </c>
      <c r="C128" s="11">
        <v>5.510412E-8</v>
      </c>
      <c r="D128" s="11">
        <v>3.8812250000000002E-10</v>
      </c>
      <c r="E128" s="11">
        <v>1.002278E-11</v>
      </c>
      <c r="F128" s="11">
        <v>1.0949430000000001E-9</v>
      </c>
      <c r="G128" s="11">
        <v>2.6506859999999999E-8</v>
      </c>
      <c r="H128" s="3">
        <f t="shared" si="2"/>
        <v>230.48333333333335</v>
      </c>
      <c r="I128" s="19">
        <v>0.58833333333333326</v>
      </c>
      <c r="J128">
        <v>2</v>
      </c>
      <c r="K128">
        <v>7</v>
      </c>
      <c r="L128">
        <v>12</v>
      </c>
      <c r="M128">
        <f t="shared" si="4"/>
        <v>847.2</v>
      </c>
    </row>
    <row r="129" spans="1:13" x14ac:dyDescent="0.15">
      <c r="B129" s="19">
        <v>0.58846064814814814</v>
      </c>
      <c r="C129" s="11">
        <v>5.5073610000000002E-8</v>
      </c>
      <c r="D129" s="11">
        <v>3.8813820000000001E-10</v>
      </c>
      <c r="E129" s="11">
        <v>1.0475449999999999E-11</v>
      </c>
      <c r="F129" s="11">
        <v>1.0925790000000001E-9</v>
      </c>
      <c r="G129" s="11">
        <v>2.649445E-8</v>
      </c>
      <c r="H129" s="3">
        <f t="shared" si="2"/>
        <v>230.66666666666663</v>
      </c>
      <c r="I129" s="19">
        <v>0.58846064814814814</v>
      </c>
      <c r="J129">
        <v>2</v>
      </c>
      <c r="K129">
        <v>7</v>
      </c>
      <c r="L129">
        <v>23</v>
      </c>
      <c r="M129">
        <f t="shared" si="4"/>
        <v>847.38333333333333</v>
      </c>
    </row>
    <row r="130" spans="1:13" x14ac:dyDescent="0.15">
      <c r="B130" s="19">
        <v>0.58857638888888886</v>
      </c>
      <c r="C130" s="11">
        <v>5.5160320000000002E-8</v>
      </c>
      <c r="D130" s="11">
        <v>3.8851469999999998E-10</v>
      </c>
      <c r="E130" s="11">
        <v>1.01334E-11</v>
      </c>
      <c r="F130" s="11">
        <v>1.0922229999999999E-9</v>
      </c>
      <c r="G130" s="11">
        <v>2.651607E-8</v>
      </c>
      <c r="H130" s="3">
        <f t="shared" si="2"/>
        <v>230.83333333333326</v>
      </c>
      <c r="I130" s="19">
        <v>0.58857638888888886</v>
      </c>
      <c r="J130">
        <v>2</v>
      </c>
      <c r="K130">
        <v>7</v>
      </c>
      <c r="L130">
        <v>33</v>
      </c>
      <c r="M130">
        <f t="shared" si="4"/>
        <v>847.55</v>
      </c>
    </row>
    <row r="131" spans="1:13" x14ac:dyDescent="0.15">
      <c r="A131" t="s">
        <v>90</v>
      </c>
      <c r="B131" s="19">
        <v>0.59133101851851855</v>
      </c>
      <c r="C131" s="11">
        <v>5.5094999999999998E-8</v>
      </c>
      <c r="D131" s="11">
        <v>3.8878010000000001E-10</v>
      </c>
      <c r="E131" s="11">
        <v>1.012501E-11</v>
      </c>
      <c r="F131" s="11">
        <v>1.092966E-9</v>
      </c>
      <c r="G131" s="11">
        <v>2.6534790000000002E-8</v>
      </c>
      <c r="H131" s="3">
        <f t="shared" si="2"/>
        <v>234.79999999999995</v>
      </c>
      <c r="I131" s="19">
        <v>0.59133101851851855</v>
      </c>
      <c r="J131">
        <v>2</v>
      </c>
      <c r="K131">
        <v>11</v>
      </c>
      <c r="L131">
        <v>31</v>
      </c>
      <c r="M131">
        <f t="shared" si="4"/>
        <v>851.51666666666665</v>
      </c>
    </row>
    <row r="132" spans="1:13" x14ac:dyDescent="0.15">
      <c r="B132" s="19">
        <v>0.59141203703703704</v>
      </c>
      <c r="C132" s="11">
        <v>5.5058029999999999E-8</v>
      </c>
      <c r="D132" s="11">
        <v>3.8807450000000002E-10</v>
      </c>
      <c r="E132" s="11">
        <v>1.0378100000000001E-11</v>
      </c>
      <c r="F132" s="11">
        <v>1.08757E-9</v>
      </c>
      <c r="G132" s="11">
        <v>2.6531030000000001E-8</v>
      </c>
      <c r="H132" s="3">
        <f t="shared" si="2"/>
        <v>234.91666666666663</v>
      </c>
      <c r="I132" s="19">
        <v>0.59141203703703704</v>
      </c>
      <c r="J132">
        <v>2</v>
      </c>
      <c r="K132">
        <v>11</v>
      </c>
      <c r="L132">
        <v>38</v>
      </c>
      <c r="M132">
        <f t="shared" si="4"/>
        <v>851.63333333333333</v>
      </c>
    </row>
    <row r="133" spans="1:13" x14ac:dyDescent="0.15">
      <c r="B133" s="19">
        <v>0.5915393518518518</v>
      </c>
      <c r="C133" s="11">
        <v>5.5092219999999999E-8</v>
      </c>
      <c r="D133" s="11">
        <v>3.88253E-10</v>
      </c>
      <c r="E133" s="11">
        <v>1.025617E-11</v>
      </c>
      <c r="F133" s="11">
        <v>1.093282E-9</v>
      </c>
      <c r="G133" s="11">
        <v>2.652292E-8</v>
      </c>
      <c r="H133" s="3">
        <f t="shared" si="2"/>
        <v>235.10000000000002</v>
      </c>
      <c r="I133" s="19">
        <v>0.5915393518518518</v>
      </c>
      <c r="J133">
        <v>2</v>
      </c>
      <c r="K133">
        <v>11</v>
      </c>
      <c r="L133">
        <v>49</v>
      </c>
      <c r="M133">
        <f t="shared" si="4"/>
        <v>851.81666666666672</v>
      </c>
    </row>
    <row r="134" spans="1:13" x14ac:dyDescent="0.15">
      <c r="A134" t="s">
        <v>91</v>
      </c>
      <c r="B134" s="19">
        <v>0.59546296296296297</v>
      </c>
      <c r="C134" s="11">
        <v>5.6607650000000001E-8</v>
      </c>
      <c r="D134" s="11">
        <v>3.9870970000000002E-10</v>
      </c>
      <c r="E134" s="11">
        <v>1.0259309999999999E-11</v>
      </c>
      <c r="F134" s="11">
        <v>1.1250660000000001E-9</v>
      </c>
      <c r="G134" s="11">
        <v>2.556072E-8</v>
      </c>
      <c r="H134" s="3">
        <f t="shared" si="2"/>
        <v>240.75</v>
      </c>
      <c r="I134" s="19">
        <v>0.59546296296296297</v>
      </c>
      <c r="J134">
        <v>2</v>
      </c>
      <c r="K134">
        <v>17</v>
      </c>
      <c r="L134">
        <v>28</v>
      </c>
      <c r="M134">
        <f t="shared" si="4"/>
        <v>857.4666666666667</v>
      </c>
    </row>
    <row r="135" spans="1:13" x14ac:dyDescent="0.15">
      <c r="B135" s="19">
        <v>0.59553240740740743</v>
      </c>
      <c r="C135" s="11">
        <v>5.6577370000000003E-8</v>
      </c>
      <c r="D135" s="11">
        <v>3.9861229999999999E-10</v>
      </c>
      <c r="E135" s="11">
        <v>1.0429260000000001E-11</v>
      </c>
      <c r="F135" s="11">
        <v>1.1233390000000001E-9</v>
      </c>
      <c r="G135" s="11">
        <v>2.5587400000000001E-8</v>
      </c>
      <c r="H135" s="3">
        <f t="shared" si="2"/>
        <v>240.85000000000002</v>
      </c>
      <c r="I135" s="19">
        <v>0.59553240740740743</v>
      </c>
      <c r="J135">
        <v>2</v>
      </c>
      <c r="K135">
        <v>17</v>
      </c>
      <c r="L135">
        <v>34</v>
      </c>
      <c r="M135">
        <f t="shared" si="4"/>
        <v>857.56666666666672</v>
      </c>
    </row>
    <row r="136" spans="1:13" x14ac:dyDescent="0.15">
      <c r="B136" s="19">
        <v>0.59559027777777784</v>
      </c>
      <c r="C136" s="11">
        <v>5.6619559999999999E-8</v>
      </c>
      <c r="D136" s="11">
        <v>3.9849090000000001E-10</v>
      </c>
      <c r="E136" s="11">
        <v>1.016469E-11</v>
      </c>
      <c r="F136" s="11">
        <v>1.122267E-9</v>
      </c>
      <c r="G136" s="11">
        <v>2.5572070000000001E-8</v>
      </c>
      <c r="H136" s="3">
        <f t="shared" si="2"/>
        <v>240.93333333333328</v>
      </c>
      <c r="I136" s="19">
        <v>0.59559027777777784</v>
      </c>
      <c r="J136">
        <v>2</v>
      </c>
      <c r="K136">
        <v>17</v>
      </c>
      <c r="L136">
        <v>39</v>
      </c>
      <c r="M136">
        <f t="shared" si="4"/>
        <v>857.65</v>
      </c>
    </row>
    <row r="137" spans="1:13" x14ac:dyDescent="0.15">
      <c r="A137" t="s">
        <v>91</v>
      </c>
      <c r="B137" s="19">
        <v>0.59861111111111109</v>
      </c>
      <c r="C137" s="11">
        <v>5.6618780000000002E-8</v>
      </c>
      <c r="D137" s="11">
        <v>3.9871440000000002E-10</v>
      </c>
      <c r="E137" s="11">
        <v>1.040758E-11</v>
      </c>
      <c r="F137" s="11">
        <v>1.120925E-9</v>
      </c>
      <c r="G137" s="11">
        <v>2.5751669999999999E-8</v>
      </c>
      <c r="H137" s="3">
        <f t="shared" ref="H137:H200" si="5">M137-M$8</f>
        <v>245.2833333333333</v>
      </c>
      <c r="I137" s="19">
        <v>0.59861111111111109</v>
      </c>
      <c r="J137">
        <v>2</v>
      </c>
      <c r="K137">
        <v>22</v>
      </c>
      <c r="L137">
        <v>0</v>
      </c>
      <c r="M137">
        <f t="shared" si="4"/>
        <v>862</v>
      </c>
    </row>
    <row r="138" spans="1:13" x14ac:dyDescent="0.15">
      <c r="B138" s="19">
        <v>0.59878472222222223</v>
      </c>
      <c r="C138" s="11">
        <v>5.6543099999999998E-8</v>
      </c>
      <c r="D138" s="11">
        <v>3.9768589999999998E-10</v>
      </c>
      <c r="E138" s="11">
        <v>1.0201620000000001E-11</v>
      </c>
      <c r="F138" s="11">
        <v>1.1215330000000001E-9</v>
      </c>
      <c r="G138" s="11">
        <v>2.5765110000000001E-8</v>
      </c>
      <c r="H138" s="3">
        <f t="shared" si="5"/>
        <v>245.5333333333333</v>
      </c>
      <c r="I138" s="19">
        <v>0.59878472222222223</v>
      </c>
      <c r="J138">
        <v>2</v>
      </c>
      <c r="K138">
        <v>22</v>
      </c>
      <c r="L138">
        <v>15</v>
      </c>
      <c r="M138">
        <f t="shared" si="4"/>
        <v>862.25</v>
      </c>
    </row>
    <row r="139" spans="1:13" x14ac:dyDescent="0.15">
      <c r="B139" s="19">
        <v>0.59887731481481488</v>
      </c>
      <c r="C139" s="11">
        <v>5.656889E-8</v>
      </c>
      <c r="D139" s="11">
        <v>3.9854269999999998E-10</v>
      </c>
      <c r="E139" s="11">
        <v>1.039715E-11</v>
      </c>
      <c r="F139" s="11">
        <v>1.122917E-9</v>
      </c>
      <c r="G139" s="11">
        <v>2.5757079999999999E-8</v>
      </c>
      <c r="H139" s="3">
        <f t="shared" si="5"/>
        <v>245.66666666666663</v>
      </c>
      <c r="I139" s="19">
        <v>0.59887731481481488</v>
      </c>
      <c r="J139">
        <v>2</v>
      </c>
      <c r="K139">
        <v>22</v>
      </c>
      <c r="L139">
        <v>23</v>
      </c>
      <c r="M139">
        <f t="shared" si="4"/>
        <v>862.38333333333333</v>
      </c>
    </row>
    <row r="140" spans="1:13" x14ac:dyDescent="0.15">
      <c r="A140" t="s">
        <v>92</v>
      </c>
      <c r="B140" s="19">
        <v>0.60196759259259258</v>
      </c>
      <c r="C140" s="11">
        <v>5.5746790000000002E-8</v>
      </c>
      <c r="D140" s="11">
        <v>3.9280149999999999E-10</v>
      </c>
      <c r="E140" s="11">
        <v>1.003876E-11</v>
      </c>
      <c r="F140" s="11">
        <v>1.107137E-9</v>
      </c>
      <c r="G140" s="11">
        <v>2.5406430000000001E-8</v>
      </c>
      <c r="H140" s="3">
        <f t="shared" si="5"/>
        <v>250.11666666666667</v>
      </c>
      <c r="I140" s="19">
        <v>0.60196759259259258</v>
      </c>
      <c r="J140">
        <v>2</v>
      </c>
      <c r="K140">
        <v>26</v>
      </c>
      <c r="L140">
        <v>50</v>
      </c>
      <c r="M140">
        <f t="shared" si="4"/>
        <v>866.83333333333337</v>
      </c>
    </row>
    <row r="141" spans="1:13" x14ac:dyDescent="0.15">
      <c r="B141" s="19">
        <v>0.602025462962963</v>
      </c>
      <c r="C141" s="11">
        <v>5.5765629999999999E-8</v>
      </c>
      <c r="D141" s="11">
        <v>3.9245080000000002E-10</v>
      </c>
      <c r="E141" s="11">
        <v>1.002084E-11</v>
      </c>
      <c r="F141" s="11">
        <v>1.1083419999999999E-9</v>
      </c>
      <c r="G141" s="11">
        <v>2.541527E-8</v>
      </c>
      <c r="H141" s="3">
        <f t="shared" si="5"/>
        <v>250.19999999999993</v>
      </c>
      <c r="I141" s="19">
        <v>0.602025462962963</v>
      </c>
      <c r="J141">
        <v>2</v>
      </c>
      <c r="K141">
        <v>26</v>
      </c>
      <c r="L141">
        <v>55</v>
      </c>
      <c r="M141">
        <f t="shared" si="4"/>
        <v>866.91666666666663</v>
      </c>
    </row>
    <row r="142" spans="1:13" x14ac:dyDescent="0.15">
      <c r="B142" s="19">
        <v>0.60211805555555553</v>
      </c>
      <c r="C142" s="11">
        <v>5.5758120000000001E-8</v>
      </c>
      <c r="D142" s="11">
        <v>3.9321970000000002E-10</v>
      </c>
      <c r="E142" s="11">
        <v>1.00738E-11</v>
      </c>
      <c r="F142" s="11">
        <v>1.1095250000000001E-9</v>
      </c>
      <c r="G142" s="11">
        <v>2.5431860000000001E-8</v>
      </c>
      <c r="H142" s="3">
        <f t="shared" si="5"/>
        <v>250.33333333333326</v>
      </c>
      <c r="I142" s="19">
        <v>0.60211805555555553</v>
      </c>
      <c r="J142">
        <v>2</v>
      </c>
      <c r="K142">
        <v>27</v>
      </c>
      <c r="L142">
        <v>3</v>
      </c>
      <c r="M142">
        <f t="shared" si="4"/>
        <v>867.05</v>
      </c>
    </row>
    <row r="143" spans="1:13" x14ac:dyDescent="0.15">
      <c r="A143" t="s">
        <v>92</v>
      </c>
      <c r="B143" s="19">
        <v>0.60554398148148147</v>
      </c>
      <c r="C143" s="11">
        <v>5.5641500000000002E-8</v>
      </c>
      <c r="D143" s="11">
        <v>3.9099139999999999E-10</v>
      </c>
      <c r="E143" s="11">
        <v>1.011161E-11</v>
      </c>
      <c r="F143" s="11">
        <v>1.1047959999999999E-9</v>
      </c>
      <c r="G143" s="11">
        <v>2.5608599999999999E-8</v>
      </c>
      <c r="H143" s="3">
        <f t="shared" si="5"/>
        <v>255.26666666666665</v>
      </c>
      <c r="I143" s="19">
        <v>0.60554398148148147</v>
      </c>
      <c r="J143">
        <v>2</v>
      </c>
      <c r="K143">
        <v>31</v>
      </c>
      <c r="L143">
        <v>59</v>
      </c>
      <c r="M143">
        <f t="shared" si="4"/>
        <v>871.98333333333335</v>
      </c>
    </row>
    <row r="144" spans="1:13" x14ac:dyDescent="0.15">
      <c r="B144" s="19">
        <v>0.60563657407407401</v>
      </c>
      <c r="C144" s="11">
        <v>5.5613930000000002E-8</v>
      </c>
      <c r="D144" s="11">
        <v>3.9043500000000001E-10</v>
      </c>
      <c r="E144" s="11">
        <v>1.0087349999999999E-11</v>
      </c>
      <c r="F144" s="11">
        <v>1.1053830000000001E-9</v>
      </c>
      <c r="G144" s="11">
        <v>2.5625990000000001E-8</v>
      </c>
      <c r="H144" s="3">
        <f t="shared" si="5"/>
        <v>255.39999999999998</v>
      </c>
      <c r="I144" s="19">
        <v>0.60563657407407401</v>
      </c>
      <c r="J144">
        <v>2</v>
      </c>
      <c r="K144">
        <v>32</v>
      </c>
      <c r="L144">
        <v>7</v>
      </c>
      <c r="M144">
        <f t="shared" si="4"/>
        <v>872.11666666666667</v>
      </c>
    </row>
    <row r="145" spans="1:13" x14ac:dyDescent="0.15">
      <c r="B145" s="19">
        <v>0.60569444444444442</v>
      </c>
      <c r="C145" s="11">
        <v>5.5660359999999999E-8</v>
      </c>
      <c r="D145" s="11">
        <v>3.9187639999999998E-10</v>
      </c>
      <c r="E145" s="11">
        <v>1.03546E-11</v>
      </c>
      <c r="F145" s="11">
        <v>1.1043670000000001E-9</v>
      </c>
      <c r="G145" s="11">
        <v>2.5633120000000001E-8</v>
      </c>
      <c r="H145" s="3">
        <f t="shared" si="5"/>
        <v>255.48333333333335</v>
      </c>
      <c r="I145" s="19">
        <v>0.60569444444444442</v>
      </c>
      <c r="J145">
        <v>2</v>
      </c>
      <c r="K145">
        <v>32</v>
      </c>
      <c r="L145">
        <v>12</v>
      </c>
      <c r="M145">
        <f t="shared" si="4"/>
        <v>872.2</v>
      </c>
    </row>
    <row r="146" spans="1:13" x14ac:dyDescent="0.15">
      <c r="A146" t="s">
        <v>93</v>
      </c>
      <c r="B146" s="19">
        <v>0.60908564814814814</v>
      </c>
      <c r="C146" s="11">
        <v>5.60283E-8</v>
      </c>
      <c r="D146" s="11">
        <v>3.9394170000000001E-10</v>
      </c>
      <c r="E146" s="11">
        <v>1.027762E-11</v>
      </c>
      <c r="F146" s="11">
        <v>1.1085520000000001E-9</v>
      </c>
      <c r="G146" s="11">
        <v>2.547515E-8</v>
      </c>
      <c r="H146" s="3">
        <f t="shared" si="5"/>
        <v>260.36666666666667</v>
      </c>
      <c r="I146" s="19">
        <v>0.60908564814814814</v>
      </c>
      <c r="J146">
        <v>2</v>
      </c>
      <c r="K146">
        <v>37</v>
      </c>
      <c r="L146">
        <v>5</v>
      </c>
      <c r="M146">
        <f t="shared" si="4"/>
        <v>877.08333333333337</v>
      </c>
    </row>
    <row r="147" spans="1:13" x14ac:dyDescent="0.15">
      <c r="B147" s="19">
        <v>0.60923611111111109</v>
      </c>
      <c r="C147" s="11">
        <v>5.5991029999999998E-8</v>
      </c>
      <c r="D147" s="11">
        <v>3.946929E-10</v>
      </c>
      <c r="E147" s="11">
        <v>1.0355030000000001E-11</v>
      </c>
      <c r="F147" s="11">
        <v>1.109994E-9</v>
      </c>
      <c r="G147" s="11">
        <v>2.5486250000000001E-8</v>
      </c>
      <c r="H147" s="3">
        <f t="shared" si="5"/>
        <v>260.58333333333326</v>
      </c>
      <c r="I147" s="19">
        <v>0.60923611111111109</v>
      </c>
      <c r="J147">
        <v>2</v>
      </c>
      <c r="K147">
        <v>37</v>
      </c>
      <c r="L147">
        <v>18</v>
      </c>
      <c r="M147">
        <f t="shared" si="4"/>
        <v>877.3</v>
      </c>
    </row>
    <row r="148" spans="1:13" x14ac:dyDescent="0.15">
      <c r="B148" s="19">
        <v>0.60929398148148151</v>
      </c>
      <c r="C148" s="11">
        <v>5.6031469999999998E-8</v>
      </c>
      <c r="D148" s="11">
        <v>3.9407570000000002E-10</v>
      </c>
      <c r="E148" s="11">
        <v>1.031322E-11</v>
      </c>
      <c r="F148" s="11">
        <v>1.1105650000000001E-9</v>
      </c>
      <c r="G148" s="11">
        <v>2.5488750000000001E-8</v>
      </c>
      <c r="H148" s="3">
        <f t="shared" si="5"/>
        <v>260.66666666666663</v>
      </c>
      <c r="I148" s="19">
        <v>0.60929398148148151</v>
      </c>
      <c r="J148">
        <v>2</v>
      </c>
      <c r="K148">
        <v>37</v>
      </c>
      <c r="L148">
        <v>23</v>
      </c>
      <c r="M148">
        <f t="shared" si="4"/>
        <v>877.38333333333333</v>
      </c>
    </row>
    <row r="149" spans="1:13" x14ac:dyDescent="0.15">
      <c r="A149" t="s">
        <v>93</v>
      </c>
      <c r="B149" s="19">
        <v>0.61277777777777775</v>
      </c>
      <c r="C149" s="11">
        <v>5.595392E-8</v>
      </c>
      <c r="D149" s="11">
        <v>3.937636E-10</v>
      </c>
      <c r="E149" s="11">
        <v>1.0124130000000001E-11</v>
      </c>
      <c r="F149" s="11">
        <v>1.114077E-9</v>
      </c>
      <c r="G149" s="11">
        <v>2.5593059999999999E-8</v>
      </c>
      <c r="H149" s="3">
        <f t="shared" si="5"/>
        <v>265.68333333333328</v>
      </c>
      <c r="I149" s="19">
        <v>0.61277777777777775</v>
      </c>
      <c r="J149">
        <v>2</v>
      </c>
      <c r="K149">
        <v>42</v>
      </c>
      <c r="L149">
        <v>24</v>
      </c>
      <c r="M149">
        <f t="shared" si="4"/>
        <v>882.4</v>
      </c>
    </row>
    <row r="150" spans="1:13" x14ac:dyDescent="0.15">
      <c r="B150" s="19">
        <v>0.6128703703703704</v>
      </c>
      <c r="C150" s="11">
        <v>5.597306E-8</v>
      </c>
      <c r="D150" s="11">
        <v>3.943121E-10</v>
      </c>
      <c r="E150" s="11">
        <v>1.051343E-11</v>
      </c>
      <c r="F150" s="11">
        <v>1.1118320000000001E-9</v>
      </c>
      <c r="G150" s="11">
        <v>2.558693E-8</v>
      </c>
      <c r="H150" s="3">
        <f t="shared" si="5"/>
        <v>265.81666666666661</v>
      </c>
      <c r="I150" s="19">
        <v>0.6128703703703704</v>
      </c>
      <c r="J150">
        <v>2</v>
      </c>
      <c r="K150">
        <v>42</v>
      </c>
      <c r="L150">
        <v>32</v>
      </c>
      <c r="M150">
        <f t="shared" si="4"/>
        <v>882.5333333333333</v>
      </c>
    </row>
    <row r="151" spans="1:13" x14ac:dyDescent="0.15">
      <c r="B151" s="19">
        <v>0.6129282407407407</v>
      </c>
      <c r="C151" s="11">
        <v>5.5970570000000001E-8</v>
      </c>
      <c r="D151" s="11">
        <v>3.9507479999999999E-10</v>
      </c>
      <c r="E151" s="11">
        <v>1.0132190000000001E-11</v>
      </c>
      <c r="F151" s="11">
        <v>1.113728E-9</v>
      </c>
      <c r="G151" s="11">
        <v>2.557462E-8</v>
      </c>
      <c r="H151" s="3">
        <f t="shared" si="5"/>
        <v>265.89999999999998</v>
      </c>
      <c r="I151" s="19">
        <v>0.6129282407407407</v>
      </c>
      <c r="J151">
        <v>2</v>
      </c>
      <c r="K151">
        <v>42</v>
      </c>
      <c r="L151">
        <v>37</v>
      </c>
      <c r="M151">
        <f t="shared" si="4"/>
        <v>882.61666666666667</v>
      </c>
    </row>
    <row r="152" spans="1:13" x14ac:dyDescent="0.15">
      <c r="A152" t="s">
        <v>64</v>
      </c>
      <c r="B152" s="19">
        <v>0.61635416666666665</v>
      </c>
      <c r="C152" s="11">
        <v>5.7992449999999999E-8</v>
      </c>
      <c r="D152" s="11">
        <v>4.0852330000000002E-10</v>
      </c>
      <c r="E152" s="11">
        <v>1.052609E-11</v>
      </c>
      <c r="F152" s="11">
        <v>1.1488769999999999E-9</v>
      </c>
      <c r="G152" s="11">
        <v>2.803192E-8</v>
      </c>
      <c r="H152" s="3">
        <f t="shared" si="5"/>
        <v>270.83333333333326</v>
      </c>
      <c r="I152" s="19">
        <v>0.61635416666666665</v>
      </c>
      <c r="J152">
        <v>2</v>
      </c>
      <c r="K152">
        <v>47</v>
      </c>
      <c r="L152">
        <v>33</v>
      </c>
      <c r="M152">
        <f t="shared" si="4"/>
        <v>887.55</v>
      </c>
    </row>
    <row r="153" spans="1:13" x14ac:dyDescent="0.15">
      <c r="B153" s="19">
        <v>0.61644675925925929</v>
      </c>
      <c r="C153" s="11">
        <v>5.8032570000000003E-8</v>
      </c>
      <c r="D153" s="11">
        <v>4.0874450000000001E-10</v>
      </c>
      <c r="E153" s="11">
        <v>1.0493350000000001E-11</v>
      </c>
      <c r="F153" s="11">
        <v>1.150484E-9</v>
      </c>
      <c r="G153" s="11">
        <v>2.800515E-8</v>
      </c>
      <c r="H153" s="3">
        <f t="shared" si="5"/>
        <v>270.96666666666658</v>
      </c>
      <c r="I153" s="19">
        <v>0.61644675925925929</v>
      </c>
      <c r="J153">
        <v>2</v>
      </c>
      <c r="K153">
        <v>47</v>
      </c>
      <c r="L153">
        <v>41</v>
      </c>
      <c r="M153">
        <f t="shared" si="4"/>
        <v>887.68333333333328</v>
      </c>
    </row>
    <row r="154" spans="1:13" x14ac:dyDescent="0.15">
      <c r="B154" s="19">
        <v>0.6165046296296296</v>
      </c>
      <c r="C154" s="11">
        <v>5.8022069999999998E-8</v>
      </c>
      <c r="D154" s="11">
        <v>4.091817E-10</v>
      </c>
      <c r="E154" s="11">
        <v>1.0559760000000001E-11</v>
      </c>
      <c r="F154" s="11">
        <v>1.150697E-9</v>
      </c>
      <c r="G154" s="11">
        <v>2.8009140000000001E-8</v>
      </c>
      <c r="H154" s="3">
        <f t="shared" si="5"/>
        <v>271.04999999999995</v>
      </c>
      <c r="I154" s="19">
        <v>0.6165046296296296</v>
      </c>
      <c r="J154">
        <v>2</v>
      </c>
      <c r="K154">
        <v>47</v>
      </c>
      <c r="L154">
        <v>46</v>
      </c>
      <c r="M154">
        <f t="shared" si="4"/>
        <v>887.76666666666665</v>
      </c>
    </row>
    <row r="155" spans="1:13" x14ac:dyDescent="0.15">
      <c r="A155" t="s">
        <v>65</v>
      </c>
      <c r="B155" s="19">
        <v>0.62172453703703701</v>
      </c>
      <c r="C155" s="11">
        <v>4.9504769999999998E-8</v>
      </c>
      <c r="D155" s="11">
        <v>3.4879870000000003E-10</v>
      </c>
      <c r="E155" s="11">
        <v>9.7933710000000001E-12</v>
      </c>
      <c r="F155" s="11">
        <v>9.6520300000000006E-10</v>
      </c>
      <c r="G155" s="11">
        <v>2.352289E-8</v>
      </c>
      <c r="H155" s="3">
        <f t="shared" si="5"/>
        <v>278.56666666666661</v>
      </c>
      <c r="I155" s="19">
        <v>0.62172453703703701</v>
      </c>
      <c r="J155">
        <v>2</v>
      </c>
      <c r="K155">
        <v>55</v>
      </c>
      <c r="L155">
        <v>17</v>
      </c>
      <c r="M155">
        <f t="shared" si="4"/>
        <v>895.2833333333333</v>
      </c>
    </row>
    <row r="156" spans="1:13" x14ac:dyDescent="0.15">
      <c r="B156" s="19">
        <v>0.62178240740740742</v>
      </c>
      <c r="C156" s="11">
        <v>4.943274E-8</v>
      </c>
      <c r="D156" s="11">
        <v>3.4828810000000001E-10</v>
      </c>
      <c r="E156" s="11">
        <v>9.5111839999999998E-12</v>
      </c>
      <c r="F156" s="11">
        <v>9.6158669999999997E-10</v>
      </c>
      <c r="G156" s="11">
        <v>2.349607E-8</v>
      </c>
      <c r="H156" s="3">
        <f t="shared" si="5"/>
        <v>278.64999999999998</v>
      </c>
      <c r="I156" s="19">
        <v>0.62178240740740742</v>
      </c>
      <c r="J156">
        <v>2</v>
      </c>
      <c r="K156">
        <v>55</v>
      </c>
      <c r="L156">
        <v>22</v>
      </c>
      <c r="M156">
        <f t="shared" si="4"/>
        <v>895.36666666666667</v>
      </c>
    </row>
    <row r="157" spans="1:13" x14ac:dyDescent="0.15">
      <c r="B157" s="19">
        <v>0.62184027777777773</v>
      </c>
      <c r="C157" s="11">
        <v>4.9507270000000001E-8</v>
      </c>
      <c r="D157" s="11">
        <v>3.4898650000000002E-10</v>
      </c>
      <c r="E157" s="11">
        <v>9.4503349999999998E-12</v>
      </c>
      <c r="F157" s="11">
        <v>9.6437099999999996E-10</v>
      </c>
      <c r="G157" s="11">
        <v>2.3517489999999999E-8</v>
      </c>
      <c r="H157" s="3">
        <f t="shared" si="5"/>
        <v>278.73333333333335</v>
      </c>
      <c r="I157" s="19">
        <v>0.62184027777777773</v>
      </c>
      <c r="J157">
        <v>2</v>
      </c>
      <c r="K157">
        <v>55</v>
      </c>
      <c r="L157">
        <v>27</v>
      </c>
      <c r="M157">
        <f t="shared" si="4"/>
        <v>895.45</v>
      </c>
    </row>
    <row r="158" spans="1:13" x14ac:dyDescent="0.15">
      <c r="A158" t="s">
        <v>94</v>
      </c>
      <c r="B158" s="19">
        <v>0.62545138888888896</v>
      </c>
      <c r="C158" s="11">
        <v>5.6238379999999999E-8</v>
      </c>
      <c r="D158" s="11">
        <v>3.9622899999999998E-10</v>
      </c>
      <c r="E158" s="11">
        <v>1.0205040000000001E-11</v>
      </c>
      <c r="F158" s="11">
        <v>1.1163529999999999E-9</v>
      </c>
      <c r="G158" s="11">
        <v>2.4525049999999999E-8</v>
      </c>
      <c r="H158" s="3">
        <f t="shared" si="5"/>
        <v>283.93333333333328</v>
      </c>
      <c r="I158" s="19">
        <v>0.62545138888888896</v>
      </c>
      <c r="J158">
        <v>3</v>
      </c>
      <c r="K158">
        <v>0</v>
      </c>
      <c r="L158">
        <v>39</v>
      </c>
      <c r="M158">
        <f t="shared" si="4"/>
        <v>900.65</v>
      </c>
    </row>
    <row r="159" spans="1:13" x14ac:dyDescent="0.15">
      <c r="B159" s="19">
        <v>0.62554398148148149</v>
      </c>
      <c r="C159" s="11">
        <v>5.6206389999999999E-8</v>
      </c>
      <c r="D159" s="11">
        <v>3.9411709999999999E-10</v>
      </c>
      <c r="E159" s="11">
        <v>1.014066E-11</v>
      </c>
      <c r="F159" s="11">
        <v>1.115804E-9</v>
      </c>
      <c r="G159" s="11">
        <v>2.4545420000000001E-8</v>
      </c>
      <c r="H159" s="3">
        <f t="shared" si="5"/>
        <v>284.06666666666661</v>
      </c>
      <c r="I159" s="19">
        <v>0.62554398148148149</v>
      </c>
      <c r="J159">
        <v>3</v>
      </c>
      <c r="K159">
        <v>0</v>
      </c>
      <c r="L159">
        <v>47</v>
      </c>
      <c r="M159">
        <f t="shared" si="4"/>
        <v>900.7833333333333</v>
      </c>
    </row>
    <row r="160" spans="1:13" x14ac:dyDescent="0.15">
      <c r="B160" s="19">
        <v>0.62560185185185191</v>
      </c>
      <c r="C160" s="11">
        <v>5.6209919999999999E-8</v>
      </c>
      <c r="D160" s="11">
        <v>3.9640809999999999E-10</v>
      </c>
      <c r="E160" s="11">
        <v>1.005958E-11</v>
      </c>
      <c r="F160" s="11">
        <v>1.1169420000000001E-9</v>
      </c>
      <c r="G160" s="11">
        <v>2.4569649999999999E-8</v>
      </c>
      <c r="H160" s="3">
        <f t="shared" si="5"/>
        <v>284.14999999999998</v>
      </c>
      <c r="I160" s="19">
        <v>0.62560185185185191</v>
      </c>
      <c r="J160">
        <v>3</v>
      </c>
      <c r="K160">
        <v>0</v>
      </c>
      <c r="L160">
        <v>52</v>
      </c>
      <c r="M160">
        <f t="shared" si="4"/>
        <v>900.86666666666667</v>
      </c>
    </row>
    <row r="161" spans="1:13" x14ac:dyDescent="0.15">
      <c r="A161" t="s">
        <v>94</v>
      </c>
      <c r="B161" s="19">
        <v>0.62877314814814811</v>
      </c>
      <c r="C161" s="11">
        <v>5.6225339999999998E-8</v>
      </c>
      <c r="D161" s="11">
        <v>3.95485E-10</v>
      </c>
      <c r="E161" s="11">
        <v>1.004379E-11</v>
      </c>
      <c r="F161" s="11">
        <v>1.1125729999999999E-9</v>
      </c>
      <c r="G161" s="11">
        <v>2.458953E-8</v>
      </c>
      <c r="H161" s="3">
        <f t="shared" si="5"/>
        <v>288.71666666666658</v>
      </c>
      <c r="I161" s="19">
        <v>0.62877314814814811</v>
      </c>
      <c r="J161">
        <v>3</v>
      </c>
      <c r="K161">
        <v>5</v>
      </c>
      <c r="L161">
        <v>26</v>
      </c>
      <c r="M161">
        <f t="shared" si="4"/>
        <v>905.43333333333328</v>
      </c>
    </row>
    <row r="162" spans="1:13" x14ac:dyDescent="0.15">
      <c r="B162" s="19">
        <v>0.62886574074074075</v>
      </c>
      <c r="C162" s="11">
        <v>5.6242540000000002E-8</v>
      </c>
      <c r="D162" s="11">
        <v>3.954198E-10</v>
      </c>
      <c r="E162" s="11">
        <v>9.9550710000000001E-12</v>
      </c>
      <c r="F162" s="11">
        <v>1.1179559999999999E-9</v>
      </c>
      <c r="G162" s="11">
        <v>2.460703E-8</v>
      </c>
      <c r="H162" s="3">
        <f t="shared" si="5"/>
        <v>288.85000000000002</v>
      </c>
      <c r="I162" s="19">
        <v>0.62886574074074075</v>
      </c>
      <c r="J162">
        <v>3</v>
      </c>
      <c r="K162">
        <v>5</v>
      </c>
      <c r="L162">
        <v>34</v>
      </c>
      <c r="M162">
        <f t="shared" si="4"/>
        <v>905.56666666666672</v>
      </c>
    </row>
    <row r="163" spans="1:13" x14ac:dyDescent="0.15">
      <c r="B163" s="19">
        <v>0.6289583333333334</v>
      </c>
      <c r="C163" s="11">
        <v>5.6146479999999999E-8</v>
      </c>
      <c r="D163" s="11">
        <v>3.958598E-10</v>
      </c>
      <c r="E163" s="11">
        <v>1.020887E-11</v>
      </c>
      <c r="F163" s="11">
        <v>1.1138139999999999E-9</v>
      </c>
      <c r="G163" s="11">
        <v>2.4591600000000001E-8</v>
      </c>
      <c r="H163" s="3">
        <f t="shared" si="5"/>
        <v>288.98333333333335</v>
      </c>
      <c r="I163" s="19">
        <v>0.6289583333333334</v>
      </c>
      <c r="J163">
        <v>3</v>
      </c>
      <c r="K163">
        <v>5</v>
      </c>
      <c r="L163">
        <v>42</v>
      </c>
      <c r="M163">
        <f t="shared" ref="M163:M223" si="6">(12+J163)*60+K163+L163/60</f>
        <v>905.7</v>
      </c>
    </row>
    <row r="164" spans="1:13" x14ac:dyDescent="0.15">
      <c r="A164" t="s">
        <v>95</v>
      </c>
      <c r="B164" s="19">
        <v>0.63200231481481484</v>
      </c>
      <c r="C164" s="11">
        <v>5.5427999999999998E-8</v>
      </c>
      <c r="D164" s="11">
        <v>3.9038170000000003E-10</v>
      </c>
      <c r="E164" s="11">
        <v>1.0279180000000001E-11</v>
      </c>
      <c r="F164" s="11">
        <v>1.096095E-9</v>
      </c>
      <c r="G164" s="11">
        <v>2.4143919999999999E-8</v>
      </c>
      <c r="H164" s="3">
        <f t="shared" si="5"/>
        <v>293.36666666666667</v>
      </c>
      <c r="I164" s="19">
        <v>0.63200231481481484</v>
      </c>
      <c r="J164">
        <v>3</v>
      </c>
      <c r="K164">
        <v>10</v>
      </c>
      <c r="L164">
        <v>5</v>
      </c>
      <c r="M164">
        <f t="shared" si="6"/>
        <v>910.08333333333337</v>
      </c>
    </row>
    <row r="165" spans="1:13" x14ac:dyDescent="0.15">
      <c r="B165" s="19">
        <v>0.63209490740740748</v>
      </c>
      <c r="C165" s="11">
        <v>5.5382130000000001E-8</v>
      </c>
      <c r="D165" s="11">
        <v>3.905018E-10</v>
      </c>
      <c r="E165" s="11">
        <v>1.0304290000000001E-11</v>
      </c>
      <c r="F165" s="11">
        <v>1.098418E-9</v>
      </c>
      <c r="G165" s="11">
        <v>2.4107219999999999E-8</v>
      </c>
      <c r="H165" s="3">
        <f t="shared" si="5"/>
        <v>293.5</v>
      </c>
      <c r="I165" s="19">
        <v>0.63209490740740748</v>
      </c>
      <c r="J165">
        <v>3</v>
      </c>
      <c r="K165">
        <v>10</v>
      </c>
      <c r="L165">
        <v>13</v>
      </c>
      <c r="M165">
        <f t="shared" si="6"/>
        <v>910.2166666666667</v>
      </c>
    </row>
    <row r="166" spans="1:13" x14ac:dyDescent="0.15">
      <c r="B166" s="19">
        <v>0.63218750000000001</v>
      </c>
      <c r="C166" s="11">
        <v>5.5408580000000002E-8</v>
      </c>
      <c r="D166" s="11">
        <v>3.889176E-10</v>
      </c>
      <c r="E166" s="11">
        <v>1.01035E-11</v>
      </c>
      <c r="F166" s="11">
        <v>1.0956430000000001E-9</v>
      </c>
      <c r="G166" s="11">
        <v>2.4112270000000001E-8</v>
      </c>
      <c r="H166" s="3">
        <f t="shared" si="5"/>
        <v>293.63333333333333</v>
      </c>
      <c r="I166" s="19">
        <v>0.63218750000000001</v>
      </c>
      <c r="J166">
        <v>3</v>
      </c>
      <c r="K166">
        <v>10</v>
      </c>
      <c r="L166">
        <v>21</v>
      </c>
      <c r="M166">
        <f t="shared" si="6"/>
        <v>910.35</v>
      </c>
    </row>
    <row r="167" spans="1:13" x14ac:dyDescent="0.15">
      <c r="A167" t="s">
        <v>95</v>
      </c>
      <c r="B167" s="19">
        <v>0.63497685185185182</v>
      </c>
      <c r="C167" s="11">
        <v>5.5395520000000001E-8</v>
      </c>
      <c r="D167" s="11">
        <v>3.8934379999999999E-10</v>
      </c>
      <c r="E167" s="11">
        <v>1.011995E-11</v>
      </c>
      <c r="F167" s="11">
        <v>1.0966790000000001E-9</v>
      </c>
      <c r="G167" s="11">
        <v>2.365358E-8</v>
      </c>
      <c r="H167" s="3">
        <f t="shared" si="5"/>
        <v>297.64999999999998</v>
      </c>
      <c r="I167" s="19">
        <v>0.63497685185185182</v>
      </c>
      <c r="J167">
        <v>3</v>
      </c>
      <c r="K167">
        <v>14</v>
      </c>
      <c r="L167">
        <v>22</v>
      </c>
      <c r="M167">
        <f t="shared" si="6"/>
        <v>914.36666666666667</v>
      </c>
    </row>
    <row r="168" spans="1:13" x14ac:dyDescent="0.15">
      <c r="B168" s="19">
        <v>0.63509259259259265</v>
      </c>
      <c r="C168" s="11">
        <v>5.5374180000000001E-8</v>
      </c>
      <c r="D168" s="11">
        <v>3.9061680000000001E-10</v>
      </c>
      <c r="E168" s="11">
        <v>1.004731E-11</v>
      </c>
      <c r="F168" s="11">
        <v>1.095005E-9</v>
      </c>
      <c r="G168" s="11">
        <v>2.3681269999999999E-8</v>
      </c>
      <c r="H168" s="3">
        <f t="shared" si="5"/>
        <v>297.81666666666661</v>
      </c>
      <c r="I168" s="19">
        <v>0.63509259259259265</v>
      </c>
      <c r="J168">
        <v>3</v>
      </c>
      <c r="K168">
        <v>14</v>
      </c>
      <c r="L168">
        <v>32</v>
      </c>
      <c r="M168">
        <f t="shared" si="6"/>
        <v>914.5333333333333</v>
      </c>
    </row>
    <row r="169" spans="1:13" x14ac:dyDescent="0.15">
      <c r="B169" s="19">
        <v>0.63515046296296296</v>
      </c>
      <c r="C169" s="11">
        <v>5.5416289999999998E-8</v>
      </c>
      <c r="D169" s="11">
        <v>3.9002169999999999E-10</v>
      </c>
      <c r="E169" s="11">
        <v>1.0085639999999999E-11</v>
      </c>
      <c r="F169" s="11">
        <v>1.0946459999999999E-9</v>
      </c>
      <c r="G169" s="11">
        <v>2.369429E-8</v>
      </c>
      <c r="H169" s="3">
        <f t="shared" si="5"/>
        <v>297.89999999999998</v>
      </c>
      <c r="I169" s="19">
        <v>0.63515046296296296</v>
      </c>
      <c r="J169">
        <v>3</v>
      </c>
      <c r="K169">
        <v>14</v>
      </c>
      <c r="L169">
        <v>37</v>
      </c>
      <c r="M169">
        <f t="shared" si="6"/>
        <v>914.61666666666667</v>
      </c>
    </row>
    <row r="170" spans="1:13" x14ac:dyDescent="0.15">
      <c r="A170" t="s">
        <v>96</v>
      </c>
      <c r="B170" s="19">
        <v>0.63906249999999998</v>
      </c>
      <c r="C170" s="11">
        <v>5.5570819999999997E-8</v>
      </c>
      <c r="D170" s="11">
        <v>3.9101420000000002E-10</v>
      </c>
      <c r="E170" s="11">
        <v>1.001913E-11</v>
      </c>
      <c r="F170" s="11">
        <v>1.09875E-9</v>
      </c>
      <c r="G170" s="11">
        <v>2.3984489999999999E-8</v>
      </c>
      <c r="H170" s="3">
        <f t="shared" si="5"/>
        <v>303.5333333333333</v>
      </c>
      <c r="I170" s="19">
        <v>0.63906249999999998</v>
      </c>
      <c r="J170">
        <v>3</v>
      </c>
      <c r="K170">
        <v>20</v>
      </c>
      <c r="L170">
        <v>15</v>
      </c>
      <c r="M170">
        <f t="shared" si="6"/>
        <v>920.25</v>
      </c>
    </row>
    <row r="171" spans="1:13" x14ac:dyDescent="0.15">
      <c r="B171" s="19">
        <v>0.63915509259259262</v>
      </c>
      <c r="C171" s="11">
        <v>5.559846E-8</v>
      </c>
      <c r="D171" s="11">
        <v>3.9215270000000002E-10</v>
      </c>
      <c r="E171" s="11">
        <v>1.0250860000000001E-11</v>
      </c>
      <c r="F171" s="11">
        <v>1.1014660000000001E-9</v>
      </c>
      <c r="G171" s="11">
        <v>2.4003490000000001E-8</v>
      </c>
      <c r="H171" s="3">
        <f t="shared" si="5"/>
        <v>303.66666666666663</v>
      </c>
      <c r="I171" s="19">
        <v>0.63915509259259262</v>
      </c>
      <c r="J171">
        <v>3</v>
      </c>
      <c r="K171">
        <v>20</v>
      </c>
      <c r="L171">
        <v>23</v>
      </c>
      <c r="M171">
        <f t="shared" si="6"/>
        <v>920.38333333333333</v>
      </c>
    </row>
    <row r="172" spans="1:13" x14ac:dyDescent="0.15">
      <c r="B172" s="19">
        <v>0.63924768518518515</v>
      </c>
      <c r="C172" s="11">
        <v>5.562887E-8</v>
      </c>
      <c r="D172" s="11">
        <v>3.918059E-10</v>
      </c>
      <c r="E172" s="11">
        <v>1.020397E-11</v>
      </c>
      <c r="F172" s="11">
        <v>1.09728E-9</v>
      </c>
      <c r="G172" s="11">
        <v>2.4013250000000002E-8</v>
      </c>
      <c r="H172" s="3">
        <f t="shared" si="5"/>
        <v>303.79999999999995</v>
      </c>
      <c r="I172" s="19">
        <v>0.63924768518518515</v>
      </c>
      <c r="J172">
        <v>3</v>
      </c>
      <c r="K172">
        <v>20</v>
      </c>
      <c r="L172">
        <v>31</v>
      </c>
      <c r="M172">
        <f t="shared" si="6"/>
        <v>920.51666666666665</v>
      </c>
    </row>
    <row r="173" spans="1:13" x14ac:dyDescent="0.15">
      <c r="A173" t="s">
        <v>96</v>
      </c>
      <c r="B173" s="19">
        <v>0.6433564814814815</v>
      </c>
      <c r="C173" s="11">
        <v>5.559383E-8</v>
      </c>
      <c r="D173" s="11">
        <v>3.9232250000000002E-10</v>
      </c>
      <c r="E173" s="11">
        <v>9.9780639999999995E-12</v>
      </c>
      <c r="F173" s="11">
        <v>1.0985850000000001E-9</v>
      </c>
      <c r="G173" s="11">
        <v>2.4163410000000001E-8</v>
      </c>
      <c r="H173" s="3">
        <f t="shared" si="5"/>
        <v>309.71666666666658</v>
      </c>
      <c r="I173" s="19">
        <v>0.6433564814814815</v>
      </c>
      <c r="J173">
        <v>3</v>
      </c>
      <c r="K173">
        <v>26</v>
      </c>
      <c r="L173">
        <v>26</v>
      </c>
      <c r="M173">
        <f t="shared" si="6"/>
        <v>926.43333333333328</v>
      </c>
    </row>
    <row r="174" spans="1:13" x14ac:dyDescent="0.15">
      <c r="B174" s="19">
        <v>0.64342592592592596</v>
      </c>
      <c r="C174" s="11">
        <v>5.5560419999999997E-8</v>
      </c>
      <c r="D174" s="11">
        <v>3.9055479999999999E-10</v>
      </c>
      <c r="E174" s="11">
        <v>1.0104080000000001E-11</v>
      </c>
      <c r="F174" s="11">
        <v>1.098309E-9</v>
      </c>
      <c r="G174" s="11">
        <v>2.4161780000000001E-8</v>
      </c>
      <c r="H174" s="3">
        <f t="shared" si="5"/>
        <v>309.81666666666661</v>
      </c>
      <c r="I174" s="19">
        <v>0.64342592592592596</v>
      </c>
      <c r="J174">
        <v>3</v>
      </c>
      <c r="K174">
        <v>26</v>
      </c>
      <c r="L174">
        <v>32</v>
      </c>
      <c r="M174">
        <f t="shared" si="6"/>
        <v>926.5333333333333</v>
      </c>
    </row>
    <row r="175" spans="1:13" x14ac:dyDescent="0.15">
      <c r="B175" s="19">
        <v>0.64348379629629626</v>
      </c>
      <c r="C175" s="11">
        <v>5.5658859999999997E-8</v>
      </c>
      <c r="D175" s="11">
        <v>3.909666E-10</v>
      </c>
      <c r="E175" s="11">
        <v>1.0173700000000001E-11</v>
      </c>
      <c r="F175" s="11">
        <v>1.0984130000000001E-9</v>
      </c>
      <c r="G175" s="11">
        <v>2.4154049999999998E-8</v>
      </c>
      <c r="H175" s="3">
        <f t="shared" si="5"/>
        <v>309.89999999999998</v>
      </c>
      <c r="I175" s="19">
        <v>0.64348379629629626</v>
      </c>
      <c r="J175">
        <v>3</v>
      </c>
      <c r="K175">
        <v>26</v>
      </c>
      <c r="L175">
        <v>37</v>
      </c>
      <c r="M175">
        <f t="shared" si="6"/>
        <v>926.61666666666667</v>
      </c>
    </row>
    <row r="176" spans="1:13" x14ac:dyDescent="0.15">
      <c r="A176" t="s">
        <v>97</v>
      </c>
      <c r="B176" s="19">
        <v>0.64672453703703703</v>
      </c>
      <c r="C176" s="11">
        <v>5.6442080000000002E-8</v>
      </c>
      <c r="D176" s="11">
        <v>3.9822629999999999E-10</v>
      </c>
      <c r="E176" s="11">
        <v>1.0146150000000001E-11</v>
      </c>
      <c r="F176" s="11">
        <v>1.123015E-9</v>
      </c>
      <c r="G176" s="11">
        <v>2.557106E-8</v>
      </c>
      <c r="H176" s="3">
        <f t="shared" si="5"/>
        <v>314.56666666666661</v>
      </c>
      <c r="I176" s="19">
        <v>0.64672453703703703</v>
      </c>
      <c r="J176">
        <v>3</v>
      </c>
      <c r="K176">
        <v>31</v>
      </c>
      <c r="L176">
        <v>17</v>
      </c>
      <c r="M176">
        <f t="shared" si="6"/>
        <v>931.2833333333333</v>
      </c>
    </row>
    <row r="177" spans="1:13" x14ac:dyDescent="0.15">
      <c r="B177" s="19">
        <v>0.64678240740740744</v>
      </c>
      <c r="C177" s="11">
        <v>5.6436600000000003E-8</v>
      </c>
      <c r="D177" s="11">
        <v>3.9787140000000002E-10</v>
      </c>
      <c r="E177" s="11">
        <v>1.0030029999999999E-11</v>
      </c>
      <c r="F177" s="11">
        <v>1.120978E-9</v>
      </c>
      <c r="G177" s="11">
        <v>2.562492E-8</v>
      </c>
      <c r="H177" s="3">
        <f t="shared" si="5"/>
        <v>314.64999999999998</v>
      </c>
      <c r="I177" s="19">
        <v>0.64678240740740744</v>
      </c>
      <c r="J177">
        <v>3</v>
      </c>
      <c r="K177">
        <v>31</v>
      </c>
      <c r="L177">
        <v>22</v>
      </c>
      <c r="M177">
        <f t="shared" si="6"/>
        <v>931.36666666666667</v>
      </c>
    </row>
    <row r="178" spans="1:13" x14ac:dyDescent="0.15">
      <c r="B178" s="19">
        <v>0.64689814814814817</v>
      </c>
      <c r="C178" s="11">
        <v>5.6456289999999999E-8</v>
      </c>
      <c r="D178" s="11">
        <v>3.9615569999999998E-10</v>
      </c>
      <c r="E178" s="11">
        <v>1.007078E-11</v>
      </c>
      <c r="F178" s="11">
        <v>1.122698E-9</v>
      </c>
      <c r="G178" s="11">
        <v>2.562274E-8</v>
      </c>
      <c r="H178" s="3">
        <f t="shared" si="5"/>
        <v>314.81666666666661</v>
      </c>
      <c r="I178" s="19">
        <v>0.64689814814814817</v>
      </c>
      <c r="J178">
        <v>3</v>
      </c>
      <c r="K178">
        <v>31</v>
      </c>
      <c r="L178">
        <v>32</v>
      </c>
      <c r="M178">
        <f t="shared" si="6"/>
        <v>931.5333333333333</v>
      </c>
    </row>
    <row r="179" spans="1:13" x14ac:dyDescent="0.15">
      <c r="A179" t="s">
        <v>97</v>
      </c>
      <c r="B179" s="19">
        <v>0.64978009259259262</v>
      </c>
      <c r="C179" s="11">
        <v>5.641903E-8</v>
      </c>
      <c r="D179" s="11">
        <v>3.960982E-10</v>
      </c>
      <c r="E179" s="11">
        <v>1.017752E-11</v>
      </c>
      <c r="F179" s="11">
        <v>1.1229530000000001E-9</v>
      </c>
      <c r="G179" s="11">
        <v>2.5555089999999998E-8</v>
      </c>
      <c r="H179" s="3">
        <f t="shared" si="5"/>
        <v>318.96666666666658</v>
      </c>
      <c r="I179" s="19">
        <v>0.64978009259259262</v>
      </c>
      <c r="J179">
        <v>3</v>
      </c>
      <c r="K179">
        <v>35</v>
      </c>
      <c r="L179">
        <v>41</v>
      </c>
      <c r="M179">
        <f t="shared" si="6"/>
        <v>935.68333333333328</v>
      </c>
    </row>
    <row r="180" spans="1:13" x14ac:dyDescent="0.15">
      <c r="B180" s="19">
        <v>0.64989583333333334</v>
      </c>
      <c r="C180" s="11">
        <v>5.6459290000000003E-8</v>
      </c>
      <c r="D180" s="11">
        <v>3.9858439999999999E-10</v>
      </c>
      <c r="E180" s="11">
        <v>1.0175989999999999E-11</v>
      </c>
      <c r="F180" s="11">
        <v>1.123246E-9</v>
      </c>
      <c r="G180" s="11">
        <v>2.5564440000000001E-8</v>
      </c>
      <c r="H180" s="3">
        <f t="shared" si="5"/>
        <v>319.13333333333333</v>
      </c>
      <c r="I180" s="19">
        <v>0.64989583333333334</v>
      </c>
      <c r="J180">
        <v>3</v>
      </c>
      <c r="K180">
        <v>35</v>
      </c>
      <c r="L180">
        <v>51</v>
      </c>
      <c r="M180">
        <f t="shared" si="6"/>
        <v>935.85</v>
      </c>
    </row>
    <row r="181" spans="1:13" x14ac:dyDescent="0.15">
      <c r="B181" s="19">
        <v>0.65001157407407406</v>
      </c>
      <c r="C181" s="11">
        <v>5.6438880000000001E-8</v>
      </c>
      <c r="D181" s="11">
        <v>3.9815669999999998E-10</v>
      </c>
      <c r="E181" s="11">
        <v>1.037431E-11</v>
      </c>
      <c r="F181" s="11">
        <v>1.1232560000000001E-9</v>
      </c>
      <c r="G181" s="11">
        <v>2.5568520000000001E-8</v>
      </c>
      <c r="H181" s="3">
        <f t="shared" si="5"/>
        <v>319.29999999999995</v>
      </c>
      <c r="I181" s="19">
        <v>0.65001157407407406</v>
      </c>
      <c r="J181">
        <v>3</v>
      </c>
      <c r="K181">
        <v>36</v>
      </c>
      <c r="L181">
        <v>1</v>
      </c>
      <c r="M181">
        <f t="shared" si="6"/>
        <v>936.01666666666665</v>
      </c>
    </row>
    <row r="182" spans="1:13" x14ac:dyDescent="0.15">
      <c r="A182" t="s">
        <v>98</v>
      </c>
      <c r="B182" s="19">
        <v>0.65328703703703705</v>
      </c>
      <c r="C182" s="11">
        <v>5.5645679999999998E-8</v>
      </c>
      <c r="D182" s="11">
        <v>3.9179700000000001E-10</v>
      </c>
      <c r="E182" s="11">
        <v>9.9816870000000003E-12</v>
      </c>
      <c r="F182" s="11">
        <v>1.1049899999999999E-9</v>
      </c>
      <c r="G182" s="11">
        <v>2.489544E-8</v>
      </c>
      <c r="H182" s="3">
        <f t="shared" si="5"/>
        <v>324.01666666666665</v>
      </c>
      <c r="I182" s="19">
        <v>0.65328703703703705</v>
      </c>
      <c r="J182">
        <v>3</v>
      </c>
      <c r="K182">
        <v>40</v>
      </c>
      <c r="L182">
        <v>44</v>
      </c>
      <c r="M182">
        <f t="shared" si="6"/>
        <v>940.73333333333335</v>
      </c>
    </row>
    <row r="183" spans="1:13" x14ac:dyDescent="0.15">
      <c r="B183" s="19">
        <v>0.65334490740740747</v>
      </c>
      <c r="C183" s="11">
        <v>5.5638329999999998E-8</v>
      </c>
      <c r="D183" s="11">
        <v>3.9172019999999998E-10</v>
      </c>
      <c r="E183" s="11">
        <v>9.8509940000000005E-12</v>
      </c>
      <c r="F183" s="11">
        <v>1.106507E-9</v>
      </c>
      <c r="G183" s="11">
        <v>2.4885409999999999E-8</v>
      </c>
      <c r="H183" s="3">
        <f t="shared" si="5"/>
        <v>324.10000000000002</v>
      </c>
      <c r="I183" s="19">
        <v>0.65334490740740747</v>
      </c>
      <c r="J183">
        <v>3</v>
      </c>
      <c r="K183">
        <v>40</v>
      </c>
      <c r="L183">
        <v>49</v>
      </c>
      <c r="M183">
        <f t="shared" si="6"/>
        <v>940.81666666666672</v>
      </c>
    </row>
    <row r="184" spans="1:13" x14ac:dyDescent="0.15">
      <c r="B184" s="19">
        <v>0.6534375</v>
      </c>
      <c r="C184" s="11">
        <v>5.5669110000000002E-8</v>
      </c>
      <c r="D184" s="11">
        <v>3.9125680000000002E-10</v>
      </c>
      <c r="E184" s="11">
        <v>1.0142959999999999E-11</v>
      </c>
      <c r="F184" s="11">
        <v>1.1085850000000001E-9</v>
      </c>
      <c r="G184" s="11">
        <v>2.4899700000000002E-8</v>
      </c>
      <c r="H184" s="3">
        <f t="shared" si="5"/>
        <v>324.23333333333335</v>
      </c>
      <c r="I184" s="19">
        <v>0.6534375</v>
      </c>
      <c r="J184">
        <v>3</v>
      </c>
      <c r="K184">
        <v>40</v>
      </c>
      <c r="L184">
        <v>57</v>
      </c>
      <c r="M184">
        <f t="shared" si="6"/>
        <v>940.95</v>
      </c>
    </row>
    <row r="185" spans="1:13" x14ac:dyDescent="0.15">
      <c r="A185" t="s">
        <v>98</v>
      </c>
      <c r="B185" s="19">
        <v>0.65547453703703706</v>
      </c>
      <c r="C185" s="11">
        <v>5.56559E-8</v>
      </c>
      <c r="D185" s="11">
        <v>3.9306309999999999E-10</v>
      </c>
      <c r="E185" s="11">
        <v>1.010835E-11</v>
      </c>
      <c r="F185" s="11">
        <v>1.1057190000000001E-9</v>
      </c>
      <c r="G185" s="11">
        <v>2.498053E-8</v>
      </c>
      <c r="H185" s="3">
        <f t="shared" si="5"/>
        <v>327.16666666666663</v>
      </c>
      <c r="I185" s="19">
        <v>0.65547453703703706</v>
      </c>
      <c r="J185">
        <v>3</v>
      </c>
      <c r="K185">
        <v>43</v>
      </c>
      <c r="L185">
        <v>53</v>
      </c>
      <c r="M185">
        <f t="shared" si="6"/>
        <v>943.88333333333333</v>
      </c>
    </row>
    <row r="186" spans="1:13" x14ac:dyDescent="0.15">
      <c r="B186" s="19">
        <v>0.65553240740740748</v>
      </c>
      <c r="C186" s="11">
        <v>5.5608910000000003E-8</v>
      </c>
      <c r="D186" s="11">
        <v>3.9246919999999999E-10</v>
      </c>
      <c r="E186" s="11">
        <v>1.024356E-11</v>
      </c>
      <c r="F186" s="11">
        <v>1.105548E-9</v>
      </c>
      <c r="G186" s="11">
        <v>2.4973739999999999E-8</v>
      </c>
      <c r="H186" s="3">
        <f t="shared" si="5"/>
        <v>327.25</v>
      </c>
      <c r="I186" s="19">
        <v>0.65553240740740748</v>
      </c>
      <c r="J186">
        <v>3</v>
      </c>
      <c r="K186">
        <v>43</v>
      </c>
      <c r="L186">
        <v>58</v>
      </c>
      <c r="M186">
        <f t="shared" si="6"/>
        <v>943.9666666666667</v>
      </c>
    </row>
    <row r="187" spans="1:13" x14ac:dyDescent="0.15">
      <c r="B187" s="19">
        <v>0.65562500000000001</v>
      </c>
      <c r="C187" s="11">
        <v>5.5649209999999998E-8</v>
      </c>
      <c r="D187" s="11">
        <v>3.9093279999999998E-10</v>
      </c>
      <c r="E187" s="11">
        <v>1.024949E-11</v>
      </c>
      <c r="F187" s="11">
        <v>1.1025760000000001E-9</v>
      </c>
      <c r="G187" s="11">
        <v>2.4940480000000001E-8</v>
      </c>
      <c r="H187" s="3">
        <f t="shared" si="5"/>
        <v>327.38333333333333</v>
      </c>
      <c r="I187" s="19">
        <v>0.65562500000000001</v>
      </c>
      <c r="J187">
        <v>3</v>
      </c>
      <c r="K187">
        <v>44</v>
      </c>
      <c r="L187">
        <v>6</v>
      </c>
      <c r="M187">
        <f t="shared" si="6"/>
        <v>944.1</v>
      </c>
    </row>
    <row r="188" spans="1:13" x14ac:dyDescent="0.15">
      <c r="A188" t="s">
        <v>99</v>
      </c>
      <c r="B188" s="19">
        <v>0.65843750000000001</v>
      </c>
      <c r="C188" s="11">
        <v>5.5863910000000001E-8</v>
      </c>
      <c r="D188" s="11">
        <v>3.9408540000000001E-10</v>
      </c>
      <c r="E188" s="11">
        <v>1.0204029999999999E-11</v>
      </c>
      <c r="F188" s="11">
        <v>1.1104430000000001E-9</v>
      </c>
      <c r="G188" s="11">
        <v>2.5514100000000001E-8</v>
      </c>
      <c r="H188" s="3">
        <f t="shared" si="5"/>
        <v>331.43333333333328</v>
      </c>
      <c r="I188" s="19">
        <v>0.65843750000000001</v>
      </c>
      <c r="J188">
        <v>3</v>
      </c>
      <c r="K188">
        <v>48</v>
      </c>
      <c r="L188">
        <v>9</v>
      </c>
      <c r="M188">
        <f t="shared" si="6"/>
        <v>948.15</v>
      </c>
    </row>
    <row r="189" spans="1:13" x14ac:dyDescent="0.15">
      <c r="B189" s="19">
        <v>0.65858796296296296</v>
      </c>
      <c r="C189" s="11">
        <v>5.5915250000000002E-8</v>
      </c>
      <c r="D189" s="11">
        <v>3.9469310000000002E-10</v>
      </c>
      <c r="E189" s="11">
        <v>1.003443E-11</v>
      </c>
      <c r="F189" s="11">
        <v>1.109781E-9</v>
      </c>
      <c r="G189" s="11">
        <v>2.5490930000000001E-8</v>
      </c>
      <c r="H189" s="3">
        <f t="shared" si="5"/>
        <v>331.65</v>
      </c>
      <c r="I189" s="19">
        <v>0.65858796296296296</v>
      </c>
      <c r="J189">
        <v>3</v>
      </c>
      <c r="K189">
        <v>48</v>
      </c>
      <c r="L189">
        <v>22</v>
      </c>
      <c r="M189">
        <f t="shared" si="6"/>
        <v>948.36666666666667</v>
      </c>
    </row>
    <row r="190" spans="1:13" x14ac:dyDescent="0.15">
      <c r="B190" s="19">
        <v>0.65873842592592591</v>
      </c>
      <c r="C190" s="11">
        <v>5.5835890000000002E-8</v>
      </c>
      <c r="D190" s="11">
        <v>3.9377669999999999E-10</v>
      </c>
      <c r="E190" s="11">
        <v>1.033128E-11</v>
      </c>
      <c r="F190" s="11">
        <v>1.10975E-9</v>
      </c>
      <c r="G190" s="11">
        <v>2.550001E-8</v>
      </c>
      <c r="H190" s="3">
        <f t="shared" si="5"/>
        <v>331.86666666666667</v>
      </c>
      <c r="I190" s="19">
        <v>0.65873842592592591</v>
      </c>
      <c r="J190">
        <v>3</v>
      </c>
      <c r="K190">
        <v>48</v>
      </c>
      <c r="L190">
        <v>35</v>
      </c>
      <c r="M190">
        <f t="shared" si="6"/>
        <v>948.58333333333337</v>
      </c>
    </row>
    <row r="191" spans="1:13" x14ac:dyDescent="0.15">
      <c r="A191" t="s">
        <v>99</v>
      </c>
      <c r="B191" s="19">
        <v>0.66158564814814813</v>
      </c>
      <c r="C191" s="11">
        <v>5.5679760000000003E-8</v>
      </c>
      <c r="D191" s="11">
        <v>3.9277660000000001E-10</v>
      </c>
      <c r="E191" s="11">
        <v>1.0196789999999999E-11</v>
      </c>
      <c r="F191" s="11">
        <v>1.104869E-9</v>
      </c>
      <c r="G191" s="11">
        <v>2.5465649999999999E-8</v>
      </c>
      <c r="H191" s="3">
        <f t="shared" si="5"/>
        <v>335.96666666666658</v>
      </c>
      <c r="I191" s="19">
        <v>0.66158564814814813</v>
      </c>
      <c r="J191">
        <v>3</v>
      </c>
      <c r="K191">
        <v>52</v>
      </c>
      <c r="L191">
        <v>41</v>
      </c>
      <c r="M191">
        <f t="shared" si="6"/>
        <v>952.68333333333328</v>
      </c>
    </row>
    <row r="192" spans="1:13" x14ac:dyDescent="0.15">
      <c r="B192" s="19">
        <v>0.66167824074074078</v>
      </c>
      <c r="C192" s="11">
        <v>5.5759519999999997E-8</v>
      </c>
      <c r="D192" s="11">
        <v>3.9358720000000002E-10</v>
      </c>
      <c r="E192" s="11">
        <v>1.027574E-11</v>
      </c>
      <c r="F192" s="11">
        <v>1.10922E-9</v>
      </c>
      <c r="G192" s="11">
        <v>2.5447839999999999E-8</v>
      </c>
      <c r="H192" s="3">
        <f t="shared" si="5"/>
        <v>336.1</v>
      </c>
      <c r="I192" s="19">
        <v>0.66167824074074078</v>
      </c>
      <c r="J192">
        <v>3</v>
      </c>
      <c r="K192">
        <v>52</v>
      </c>
      <c r="L192">
        <v>49</v>
      </c>
      <c r="M192">
        <f t="shared" si="6"/>
        <v>952.81666666666672</v>
      </c>
    </row>
    <row r="193" spans="1:13" x14ac:dyDescent="0.15">
      <c r="B193" s="19">
        <v>0.6617939814814815</v>
      </c>
      <c r="C193" s="11">
        <v>5.5756619999999999E-8</v>
      </c>
      <c r="D193" s="11">
        <v>3.9242470000000003E-10</v>
      </c>
      <c r="E193" s="11">
        <v>1.022107E-11</v>
      </c>
      <c r="F193" s="11">
        <v>1.106354E-9</v>
      </c>
      <c r="G193" s="11">
        <v>2.5450289999999999E-8</v>
      </c>
      <c r="H193" s="3">
        <f t="shared" si="5"/>
        <v>336.26666666666665</v>
      </c>
      <c r="I193" s="19">
        <v>0.6617939814814815</v>
      </c>
      <c r="J193">
        <v>3</v>
      </c>
      <c r="K193">
        <v>52</v>
      </c>
      <c r="L193">
        <v>59</v>
      </c>
      <c r="M193">
        <f t="shared" si="6"/>
        <v>952.98333333333335</v>
      </c>
    </row>
    <row r="194" spans="1:13" x14ac:dyDescent="0.15">
      <c r="A194" t="s">
        <v>100</v>
      </c>
      <c r="B194" s="19">
        <v>0.66415509259259264</v>
      </c>
      <c r="C194" s="11">
        <v>5.6356329999999998E-8</v>
      </c>
      <c r="D194" s="11">
        <v>3.9719100000000001E-10</v>
      </c>
      <c r="E194" s="11">
        <v>1.014223E-11</v>
      </c>
      <c r="F194" s="11">
        <v>1.1169420000000001E-9</v>
      </c>
      <c r="G194" s="11">
        <v>2.4295339999999999E-8</v>
      </c>
      <c r="H194" s="3">
        <f t="shared" si="5"/>
        <v>339.66666666666663</v>
      </c>
      <c r="I194" s="19">
        <v>0.66415509259259264</v>
      </c>
      <c r="J194">
        <v>3</v>
      </c>
      <c r="K194">
        <v>56</v>
      </c>
      <c r="L194">
        <v>23</v>
      </c>
      <c r="M194">
        <f t="shared" si="6"/>
        <v>956.38333333333333</v>
      </c>
    </row>
    <row r="195" spans="1:13" x14ac:dyDescent="0.15">
      <c r="B195" s="19">
        <v>0.66424768518518518</v>
      </c>
      <c r="C195" s="11">
        <v>5.6307999999999997E-8</v>
      </c>
      <c r="D195" s="11">
        <v>3.9629079999999998E-10</v>
      </c>
      <c r="E195" s="11">
        <v>1.032724E-11</v>
      </c>
      <c r="F195" s="11">
        <v>1.116112E-9</v>
      </c>
      <c r="G195" s="11">
        <v>2.4302340000000001E-8</v>
      </c>
      <c r="H195" s="3">
        <f t="shared" si="5"/>
        <v>339.79999999999995</v>
      </c>
      <c r="I195" s="19">
        <v>0.66424768518518518</v>
      </c>
      <c r="J195">
        <v>3</v>
      </c>
      <c r="K195">
        <v>56</v>
      </c>
      <c r="L195">
        <v>31</v>
      </c>
      <c r="M195">
        <f t="shared" si="6"/>
        <v>956.51666666666665</v>
      </c>
    </row>
    <row r="196" spans="1:13" x14ac:dyDescent="0.15">
      <c r="B196" s="19">
        <v>0.66437500000000005</v>
      </c>
      <c r="C196" s="11">
        <v>5.6328650000000002E-8</v>
      </c>
      <c r="D196" s="11">
        <v>3.9619230000000001E-10</v>
      </c>
      <c r="E196" s="11">
        <v>1.011424E-11</v>
      </c>
      <c r="F196" s="11">
        <v>1.117386E-9</v>
      </c>
      <c r="G196" s="11">
        <v>2.4278200000000002E-8</v>
      </c>
      <c r="H196" s="3">
        <f t="shared" si="5"/>
        <v>339.98333333333335</v>
      </c>
      <c r="I196" s="19">
        <v>0.66437500000000005</v>
      </c>
      <c r="J196">
        <v>3</v>
      </c>
      <c r="K196">
        <v>56</v>
      </c>
      <c r="L196">
        <v>42</v>
      </c>
      <c r="M196">
        <f t="shared" si="6"/>
        <v>956.7</v>
      </c>
    </row>
    <row r="197" spans="1:13" x14ac:dyDescent="0.15">
      <c r="A197" t="s">
        <v>100</v>
      </c>
      <c r="B197" s="19">
        <v>0.66821759259259261</v>
      </c>
      <c r="C197" s="11">
        <v>5.6201109999999997E-8</v>
      </c>
      <c r="D197" s="11">
        <v>3.9564159999999998E-10</v>
      </c>
      <c r="E197" s="11">
        <v>1.026813E-11</v>
      </c>
      <c r="F197" s="11">
        <v>1.1130380000000001E-9</v>
      </c>
      <c r="G197" s="11">
        <v>2.4232219999999999E-8</v>
      </c>
      <c r="H197" s="3">
        <f t="shared" si="5"/>
        <v>345.51666666666665</v>
      </c>
      <c r="I197" s="19">
        <v>0.66821759259259261</v>
      </c>
      <c r="J197">
        <v>4</v>
      </c>
      <c r="K197">
        <v>2</v>
      </c>
      <c r="L197">
        <v>14</v>
      </c>
      <c r="M197">
        <f t="shared" si="6"/>
        <v>962.23333333333335</v>
      </c>
    </row>
    <row r="198" spans="1:13" x14ac:dyDescent="0.15">
      <c r="B198" s="19">
        <v>0.66831018518518526</v>
      </c>
      <c r="C198" s="11">
        <v>5.621262E-8</v>
      </c>
      <c r="D198" s="11">
        <v>3.9505449999999998E-10</v>
      </c>
      <c r="E198" s="11">
        <v>1.022409E-11</v>
      </c>
      <c r="F198" s="11">
        <v>1.11508E-9</v>
      </c>
      <c r="G198" s="11">
        <v>2.422664E-8</v>
      </c>
      <c r="H198" s="3">
        <f t="shared" si="5"/>
        <v>345.65</v>
      </c>
      <c r="I198" s="19">
        <v>0.66831018518518526</v>
      </c>
      <c r="J198">
        <v>4</v>
      </c>
      <c r="K198">
        <v>2</v>
      </c>
      <c r="L198">
        <v>22</v>
      </c>
      <c r="M198">
        <f t="shared" si="6"/>
        <v>962.36666666666667</v>
      </c>
    </row>
    <row r="199" spans="1:13" x14ac:dyDescent="0.15">
      <c r="B199" s="19">
        <v>0.66840277777777779</v>
      </c>
      <c r="C199" s="11">
        <v>5.6286749999999999E-8</v>
      </c>
      <c r="D199" s="11">
        <v>3.9644259999999998E-10</v>
      </c>
      <c r="E199" s="11">
        <v>1.037923E-11</v>
      </c>
      <c r="F199" s="11">
        <v>1.114808E-9</v>
      </c>
      <c r="G199" s="11">
        <v>2.422967E-8</v>
      </c>
      <c r="H199" s="3">
        <f t="shared" si="5"/>
        <v>345.7833333333333</v>
      </c>
      <c r="I199" s="19">
        <v>0.66840277777777779</v>
      </c>
      <c r="J199">
        <v>4</v>
      </c>
      <c r="K199">
        <v>2</v>
      </c>
      <c r="L199">
        <v>30</v>
      </c>
      <c r="M199">
        <f t="shared" si="6"/>
        <v>962.5</v>
      </c>
    </row>
    <row r="200" spans="1:13" x14ac:dyDescent="0.15">
      <c r="A200" t="s">
        <v>101</v>
      </c>
      <c r="B200" s="19">
        <v>0.67115740740740737</v>
      </c>
      <c r="C200" s="11">
        <v>5.532477E-8</v>
      </c>
      <c r="D200" s="11">
        <v>3.8871009999999997E-10</v>
      </c>
      <c r="E200" s="11">
        <v>9.9866619999999997E-12</v>
      </c>
      <c r="F200" s="11">
        <v>1.0935639999999999E-9</v>
      </c>
      <c r="G200" s="11">
        <v>2.3712999999999999E-8</v>
      </c>
      <c r="H200" s="3">
        <f t="shared" si="5"/>
        <v>349.75</v>
      </c>
      <c r="I200" s="19">
        <v>0.67115740740740737</v>
      </c>
      <c r="J200">
        <v>4</v>
      </c>
      <c r="K200">
        <v>6</v>
      </c>
      <c r="L200">
        <v>28</v>
      </c>
      <c r="M200">
        <f t="shared" si="6"/>
        <v>966.4666666666667</v>
      </c>
    </row>
    <row r="201" spans="1:13" x14ac:dyDescent="0.15">
      <c r="B201" s="19">
        <v>0.67123842592592586</v>
      </c>
      <c r="C201" s="11">
        <v>5.533544E-8</v>
      </c>
      <c r="D201" s="11">
        <v>3.9026559999999998E-10</v>
      </c>
      <c r="E201" s="11">
        <v>1.010292E-11</v>
      </c>
      <c r="F201" s="11">
        <v>1.092499E-9</v>
      </c>
      <c r="G201" s="11">
        <v>2.3693559999999999E-8</v>
      </c>
      <c r="H201" s="3">
        <f t="shared" ref="H201:H223" si="7">M201-M$8</f>
        <v>349.86666666666667</v>
      </c>
      <c r="I201" s="19">
        <v>0.67123842592592586</v>
      </c>
      <c r="J201">
        <v>4</v>
      </c>
      <c r="K201">
        <v>6</v>
      </c>
      <c r="L201">
        <v>35</v>
      </c>
      <c r="M201">
        <f t="shared" si="6"/>
        <v>966.58333333333337</v>
      </c>
    </row>
    <row r="202" spans="1:13" x14ac:dyDescent="0.15">
      <c r="B202" s="19">
        <v>0.67133101851851851</v>
      </c>
      <c r="C202" s="11">
        <v>5.5320830000000002E-8</v>
      </c>
      <c r="D202" s="11">
        <v>3.8976200000000002E-10</v>
      </c>
      <c r="E202" s="11">
        <v>9.8764969999999997E-12</v>
      </c>
      <c r="F202" s="11">
        <v>1.091827E-9</v>
      </c>
      <c r="G202" s="11">
        <v>2.3677490000000002E-8</v>
      </c>
      <c r="H202" s="3">
        <f t="shared" si="7"/>
        <v>350</v>
      </c>
      <c r="I202" s="19">
        <v>0.67133101851851851</v>
      </c>
      <c r="J202">
        <v>4</v>
      </c>
      <c r="K202">
        <v>6</v>
      </c>
      <c r="L202">
        <v>43</v>
      </c>
      <c r="M202">
        <f t="shared" si="6"/>
        <v>966.7166666666667</v>
      </c>
    </row>
    <row r="203" spans="1:13" x14ac:dyDescent="0.15">
      <c r="A203" t="s">
        <v>101</v>
      </c>
      <c r="B203" s="19">
        <v>0.67372685185185188</v>
      </c>
      <c r="C203" s="11">
        <v>5.5325389999999999E-8</v>
      </c>
      <c r="D203" s="11">
        <v>3.902264E-10</v>
      </c>
      <c r="E203" s="11">
        <v>9.93398E-12</v>
      </c>
      <c r="F203" s="11">
        <v>1.091917E-9</v>
      </c>
      <c r="G203" s="11">
        <v>2.4110090000000001E-8</v>
      </c>
      <c r="H203" s="3">
        <f t="shared" si="7"/>
        <v>353.44999999999993</v>
      </c>
      <c r="I203" s="19">
        <v>0.67372685185185188</v>
      </c>
      <c r="J203">
        <v>4</v>
      </c>
      <c r="K203">
        <v>10</v>
      </c>
      <c r="L203">
        <v>10</v>
      </c>
      <c r="M203">
        <f t="shared" si="6"/>
        <v>970.16666666666663</v>
      </c>
    </row>
    <row r="204" spans="1:13" x14ac:dyDescent="0.15">
      <c r="B204" s="19">
        <v>0.67381944444444442</v>
      </c>
      <c r="C204" s="11">
        <v>5.5317260000000002E-8</v>
      </c>
      <c r="D204" s="11">
        <v>3.8904149999999999E-10</v>
      </c>
      <c r="E204" s="11">
        <v>1.009196E-11</v>
      </c>
      <c r="F204" s="11">
        <v>1.09627E-9</v>
      </c>
      <c r="G204" s="11">
        <v>2.4114659999999999E-8</v>
      </c>
      <c r="H204" s="3">
        <f t="shared" si="7"/>
        <v>353.58333333333326</v>
      </c>
      <c r="I204" s="19">
        <v>0.67381944444444442</v>
      </c>
      <c r="J204">
        <v>4</v>
      </c>
      <c r="K204">
        <v>10</v>
      </c>
      <c r="L204">
        <v>18</v>
      </c>
      <c r="M204">
        <f t="shared" si="6"/>
        <v>970.3</v>
      </c>
    </row>
    <row r="205" spans="1:13" x14ac:dyDescent="0.15">
      <c r="B205" s="19">
        <v>0.67390046296296291</v>
      </c>
      <c r="C205" s="11">
        <v>5.5390799999999999E-8</v>
      </c>
      <c r="D205" s="11">
        <v>3.8981879999999998E-10</v>
      </c>
      <c r="E205" s="11">
        <v>1.016945E-11</v>
      </c>
      <c r="F205" s="11">
        <v>1.0972409999999999E-9</v>
      </c>
      <c r="G205" s="11">
        <v>2.4126520000000001E-8</v>
      </c>
      <c r="H205" s="3">
        <f t="shared" si="7"/>
        <v>353.69999999999993</v>
      </c>
      <c r="I205" s="19">
        <v>0.67390046296296291</v>
      </c>
      <c r="J205">
        <v>4</v>
      </c>
      <c r="K205">
        <v>10</v>
      </c>
      <c r="L205">
        <v>25</v>
      </c>
      <c r="M205">
        <f t="shared" si="6"/>
        <v>970.41666666666663</v>
      </c>
    </row>
    <row r="206" spans="1:13" x14ac:dyDescent="0.15">
      <c r="A206" t="s">
        <v>102</v>
      </c>
      <c r="B206" s="19">
        <v>0.67623842592592587</v>
      </c>
      <c r="C206" s="11">
        <v>5.538985E-8</v>
      </c>
      <c r="D206" s="11">
        <v>3.8951889999999998E-10</v>
      </c>
      <c r="E206" s="11">
        <v>1.004087E-11</v>
      </c>
      <c r="F206" s="11">
        <v>1.095203E-9</v>
      </c>
      <c r="G206" s="11">
        <v>2.393242E-8</v>
      </c>
      <c r="H206" s="3">
        <f t="shared" si="7"/>
        <v>357.06666666666661</v>
      </c>
      <c r="I206" s="19">
        <v>0.67623842592592587</v>
      </c>
      <c r="J206">
        <v>4</v>
      </c>
      <c r="K206">
        <v>13</v>
      </c>
      <c r="L206">
        <v>47</v>
      </c>
      <c r="M206">
        <f t="shared" si="6"/>
        <v>973.7833333333333</v>
      </c>
    </row>
    <row r="207" spans="1:13" x14ac:dyDescent="0.15">
      <c r="B207" s="19">
        <v>0.67631944444444436</v>
      </c>
      <c r="C207" s="11">
        <v>5.5423369999999998E-8</v>
      </c>
      <c r="D207" s="11">
        <v>3.9086149999999999E-10</v>
      </c>
      <c r="E207" s="11">
        <v>1.008854E-11</v>
      </c>
      <c r="F207" s="11">
        <v>1.098865E-9</v>
      </c>
      <c r="G207" s="11">
        <v>2.3923930000000001E-8</v>
      </c>
      <c r="H207" s="3">
        <f t="shared" si="7"/>
        <v>357.18333333333328</v>
      </c>
      <c r="I207" s="19">
        <v>0.67631944444444436</v>
      </c>
      <c r="J207">
        <v>4</v>
      </c>
      <c r="K207">
        <v>13</v>
      </c>
      <c r="L207">
        <v>54</v>
      </c>
      <c r="M207">
        <f t="shared" si="6"/>
        <v>973.9</v>
      </c>
    </row>
    <row r="208" spans="1:13" x14ac:dyDescent="0.15">
      <c r="B208" s="19">
        <v>0.67644675925925923</v>
      </c>
      <c r="C208" s="11">
        <v>5.5423240000000003E-8</v>
      </c>
      <c r="D208" s="11">
        <v>3.9118850000000001E-10</v>
      </c>
      <c r="E208" s="11">
        <v>1.040603E-11</v>
      </c>
      <c r="F208" s="11">
        <v>1.0950599999999999E-9</v>
      </c>
      <c r="G208" s="11">
        <v>2.3930950000000002E-8</v>
      </c>
      <c r="H208" s="3">
        <f t="shared" si="7"/>
        <v>357.36666666666667</v>
      </c>
      <c r="I208" s="19">
        <v>0.67644675925925923</v>
      </c>
      <c r="J208">
        <v>4</v>
      </c>
      <c r="K208">
        <v>14</v>
      </c>
      <c r="L208">
        <v>5</v>
      </c>
      <c r="M208">
        <f t="shared" si="6"/>
        <v>974.08333333333337</v>
      </c>
    </row>
    <row r="209" spans="1:13" x14ac:dyDescent="0.15">
      <c r="A209" t="s">
        <v>102</v>
      </c>
      <c r="B209" s="19">
        <v>0.67839120370370365</v>
      </c>
      <c r="C209" s="11">
        <v>5.542435E-8</v>
      </c>
      <c r="D209" s="11">
        <v>3.9144369999999998E-10</v>
      </c>
      <c r="E209" s="11">
        <v>1.001639E-11</v>
      </c>
      <c r="F209" s="11">
        <v>1.098302E-9</v>
      </c>
      <c r="G209" s="11">
        <v>2.3899000000000001E-8</v>
      </c>
      <c r="H209" s="3">
        <f t="shared" si="7"/>
        <v>360.16666666666663</v>
      </c>
      <c r="I209" s="19">
        <v>0.67839120370370365</v>
      </c>
      <c r="J209">
        <v>4</v>
      </c>
      <c r="K209">
        <v>16</v>
      </c>
      <c r="L209">
        <v>53</v>
      </c>
      <c r="M209">
        <f t="shared" si="6"/>
        <v>976.88333333333333</v>
      </c>
    </row>
    <row r="210" spans="1:13" x14ac:dyDescent="0.15">
      <c r="B210" s="19">
        <v>0.67847222222222225</v>
      </c>
      <c r="C210" s="11">
        <v>5.5381450000000003E-8</v>
      </c>
      <c r="D210" s="11">
        <v>3.906288E-10</v>
      </c>
      <c r="E210" s="11">
        <v>9.9212520000000003E-12</v>
      </c>
      <c r="F210" s="11">
        <v>1.096224E-9</v>
      </c>
      <c r="G210" s="11">
        <v>2.3886390000000002E-8</v>
      </c>
      <c r="H210" s="3">
        <f t="shared" si="7"/>
        <v>360.2833333333333</v>
      </c>
      <c r="I210" s="19">
        <v>0.67847222222222225</v>
      </c>
      <c r="J210">
        <v>4</v>
      </c>
      <c r="K210">
        <v>17</v>
      </c>
      <c r="L210">
        <v>0</v>
      </c>
      <c r="M210">
        <f t="shared" si="6"/>
        <v>977</v>
      </c>
    </row>
    <row r="211" spans="1:13" x14ac:dyDescent="0.15">
      <c r="B211" s="19">
        <v>0.67856481481481479</v>
      </c>
      <c r="C211" s="11">
        <v>5.5439059999999997E-8</v>
      </c>
      <c r="D211" s="11">
        <v>3.9136660000000002E-10</v>
      </c>
      <c r="E211" s="11">
        <v>9.9984099999999992E-12</v>
      </c>
      <c r="F211" s="11">
        <v>1.0948679999999999E-9</v>
      </c>
      <c r="G211" s="11">
        <v>2.393405E-8</v>
      </c>
      <c r="H211" s="3">
        <f t="shared" si="7"/>
        <v>360.41666666666663</v>
      </c>
      <c r="I211" s="19">
        <v>0.67856481481481479</v>
      </c>
      <c r="J211">
        <v>4</v>
      </c>
      <c r="K211">
        <v>17</v>
      </c>
      <c r="L211">
        <v>8</v>
      </c>
      <c r="M211">
        <f t="shared" si="6"/>
        <v>977.13333333333333</v>
      </c>
    </row>
    <row r="212" spans="1:13" x14ac:dyDescent="0.15">
      <c r="A212" t="s">
        <v>64</v>
      </c>
      <c r="B212" s="19">
        <v>0.68141203703703701</v>
      </c>
      <c r="C212" s="11">
        <v>5.7932470000000003E-8</v>
      </c>
      <c r="D212" s="11">
        <v>4.085166E-10</v>
      </c>
      <c r="E212" s="11">
        <v>1.0308199999999999E-11</v>
      </c>
      <c r="F212" s="11">
        <v>1.1452750000000001E-9</v>
      </c>
      <c r="G212" s="11">
        <v>2.7949719999999999E-8</v>
      </c>
      <c r="H212" s="3">
        <f t="shared" si="7"/>
        <v>364.51666666666665</v>
      </c>
      <c r="I212" s="19">
        <v>0.68141203703703701</v>
      </c>
      <c r="J212">
        <v>4</v>
      </c>
      <c r="K212">
        <v>21</v>
      </c>
      <c r="L212">
        <v>14</v>
      </c>
      <c r="M212">
        <f t="shared" si="6"/>
        <v>981.23333333333335</v>
      </c>
    </row>
    <row r="213" spans="1:13" x14ac:dyDescent="0.15">
      <c r="B213" s="19">
        <v>0.68150462962962965</v>
      </c>
      <c r="C213" s="11">
        <v>5.7864009999999998E-8</v>
      </c>
      <c r="D213" s="11">
        <v>4.0915030000000002E-10</v>
      </c>
      <c r="E213" s="11">
        <v>1.046136E-11</v>
      </c>
      <c r="F213" s="11">
        <v>1.1448859999999999E-9</v>
      </c>
      <c r="G213" s="11">
        <v>2.7958560000000001E-8</v>
      </c>
      <c r="H213" s="3">
        <f t="shared" si="7"/>
        <v>364.65</v>
      </c>
      <c r="I213" s="19">
        <v>0.68150462962962965</v>
      </c>
      <c r="J213">
        <v>4</v>
      </c>
      <c r="K213">
        <v>21</v>
      </c>
      <c r="L213">
        <v>22</v>
      </c>
      <c r="M213">
        <f t="shared" si="6"/>
        <v>981.36666666666667</v>
      </c>
    </row>
    <row r="214" spans="1:13" x14ac:dyDescent="0.15">
      <c r="B214" s="19">
        <v>0.6815972222222223</v>
      </c>
      <c r="C214" s="11">
        <v>5.7934279999999998E-8</v>
      </c>
      <c r="D214" s="11">
        <v>4.088408E-10</v>
      </c>
      <c r="E214" s="11">
        <v>1.0363689999999999E-11</v>
      </c>
      <c r="F214" s="11">
        <v>1.1440789999999999E-9</v>
      </c>
      <c r="G214" s="11">
        <v>2.792641E-8</v>
      </c>
      <c r="H214" s="3">
        <f t="shared" si="7"/>
        <v>364.7833333333333</v>
      </c>
      <c r="I214" s="19">
        <v>0.6815972222222223</v>
      </c>
      <c r="J214">
        <v>4</v>
      </c>
      <c r="K214">
        <v>21</v>
      </c>
      <c r="L214">
        <v>30</v>
      </c>
      <c r="M214">
        <f t="shared" si="6"/>
        <v>981.5</v>
      </c>
    </row>
    <row r="215" spans="1:13" x14ac:dyDescent="0.15">
      <c r="A215" t="s">
        <v>65</v>
      </c>
      <c r="B215" s="19">
        <v>0.68517361111111119</v>
      </c>
      <c r="C215" s="11">
        <v>4.9398430000000001E-8</v>
      </c>
      <c r="D215" s="11">
        <v>3.495651E-10</v>
      </c>
      <c r="E215" s="11">
        <v>9.4591720000000007E-12</v>
      </c>
      <c r="F215" s="11">
        <v>9.6177869999999996E-10</v>
      </c>
      <c r="G215" s="11">
        <v>2.3460649999999998E-8</v>
      </c>
      <c r="H215" s="3">
        <f t="shared" si="7"/>
        <v>369.93333333333328</v>
      </c>
      <c r="I215" s="19">
        <v>0.68517361111111119</v>
      </c>
      <c r="J215">
        <v>4</v>
      </c>
      <c r="K215">
        <v>26</v>
      </c>
      <c r="L215">
        <v>39</v>
      </c>
      <c r="M215">
        <f t="shared" si="6"/>
        <v>986.65</v>
      </c>
    </row>
    <row r="216" spans="1:13" x14ac:dyDescent="0.15">
      <c r="B216" s="19">
        <v>0.68526620370370372</v>
      </c>
      <c r="C216" s="11">
        <v>4.939745E-8</v>
      </c>
      <c r="D216" s="11">
        <v>3.489097E-10</v>
      </c>
      <c r="E216" s="11">
        <v>9.4263529999999998E-12</v>
      </c>
      <c r="F216" s="11">
        <v>9.6353060000000007E-10</v>
      </c>
      <c r="G216" s="11">
        <v>2.347091E-8</v>
      </c>
      <c r="H216" s="3">
        <f t="shared" si="7"/>
        <v>370.06666666666661</v>
      </c>
      <c r="I216" s="19">
        <v>0.68526620370370372</v>
      </c>
      <c r="J216">
        <v>4</v>
      </c>
      <c r="K216">
        <v>26</v>
      </c>
      <c r="L216">
        <v>47</v>
      </c>
      <c r="M216">
        <f t="shared" si="6"/>
        <v>986.7833333333333</v>
      </c>
    </row>
    <row r="217" spans="1:13" x14ac:dyDescent="0.15">
      <c r="B217" s="19">
        <v>0.68550925925925921</v>
      </c>
      <c r="C217" s="11">
        <v>4.9406380000000001E-8</v>
      </c>
      <c r="D217" s="11">
        <v>3.4829590000000001E-10</v>
      </c>
      <c r="E217" s="11">
        <v>9.5838709999999994E-12</v>
      </c>
      <c r="F217" s="11">
        <v>9.6127560000000006E-10</v>
      </c>
      <c r="G217" s="11">
        <v>2.347641E-8</v>
      </c>
      <c r="H217" s="3">
        <f t="shared" si="7"/>
        <v>370.41666666666663</v>
      </c>
      <c r="I217" s="19">
        <v>0.68550925925925921</v>
      </c>
      <c r="J217">
        <v>4</v>
      </c>
      <c r="K217">
        <v>27</v>
      </c>
      <c r="L217">
        <v>8</v>
      </c>
      <c r="M217">
        <f t="shared" si="6"/>
        <v>987.13333333333333</v>
      </c>
    </row>
    <row r="218" spans="1:13" x14ac:dyDescent="0.15">
      <c r="A218" t="s">
        <v>64</v>
      </c>
      <c r="B218" s="19">
        <v>0.68850694444444438</v>
      </c>
      <c r="C218" s="11">
        <v>5.7915739999999997E-8</v>
      </c>
      <c r="D218" s="11">
        <v>4.0792450000000001E-10</v>
      </c>
      <c r="E218" s="11">
        <v>1.04533E-11</v>
      </c>
      <c r="F218" s="11">
        <v>1.1441379999999999E-9</v>
      </c>
      <c r="G218" s="11">
        <v>2.7951160000000001E-8</v>
      </c>
      <c r="H218" s="3">
        <f t="shared" si="7"/>
        <v>374.73333333333335</v>
      </c>
      <c r="I218" s="19">
        <v>0.68850694444444438</v>
      </c>
      <c r="J218">
        <v>4</v>
      </c>
      <c r="K218">
        <v>31</v>
      </c>
      <c r="L218">
        <v>27</v>
      </c>
      <c r="M218">
        <f t="shared" si="6"/>
        <v>991.45</v>
      </c>
    </row>
    <row r="219" spans="1:13" x14ac:dyDescent="0.15">
      <c r="B219" s="19">
        <v>0.68859953703703702</v>
      </c>
      <c r="C219" s="11">
        <v>5.7926139999999997E-8</v>
      </c>
      <c r="D219" s="11">
        <v>4.0677289999999998E-10</v>
      </c>
      <c r="E219" s="11">
        <v>1.0429310000000001E-11</v>
      </c>
      <c r="F219" s="11">
        <v>1.1476500000000001E-9</v>
      </c>
      <c r="G219" s="11">
        <v>2.7975739999999998E-8</v>
      </c>
      <c r="H219" s="3">
        <f t="shared" si="7"/>
        <v>374.86666666666667</v>
      </c>
      <c r="I219" s="19">
        <v>0.68859953703703702</v>
      </c>
      <c r="J219">
        <v>4</v>
      </c>
      <c r="K219">
        <v>31</v>
      </c>
      <c r="L219">
        <v>35</v>
      </c>
      <c r="M219">
        <f t="shared" si="6"/>
        <v>991.58333333333337</v>
      </c>
    </row>
    <row r="220" spans="1:13" x14ac:dyDescent="0.15">
      <c r="B220" s="19">
        <v>0.68865740740740744</v>
      </c>
      <c r="C220" s="11">
        <v>5.7884530000000001E-8</v>
      </c>
      <c r="D220" s="11">
        <v>4.0762339999999998E-10</v>
      </c>
      <c r="E220" s="11">
        <v>1.0497679999999999E-11</v>
      </c>
      <c r="F220" s="11">
        <v>1.1478110000000001E-9</v>
      </c>
      <c r="G220" s="11">
        <v>2.7966510000000001E-8</v>
      </c>
      <c r="H220" s="3">
        <f t="shared" si="7"/>
        <v>374.94999999999993</v>
      </c>
      <c r="I220" s="19">
        <v>0.68865740740740744</v>
      </c>
      <c r="J220">
        <v>4</v>
      </c>
      <c r="K220">
        <v>31</v>
      </c>
      <c r="L220">
        <v>40</v>
      </c>
      <c r="M220">
        <f t="shared" si="6"/>
        <v>991.66666666666663</v>
      </c>
    </row>
    <row r="221" spans="1:13" x14ac:dyDescent="0.15">
      <c r="A221" t="s">
        <v>65</v>
      </c>
      <c r="B221" s="19">
        <v>0.69253472222222223</v>
      </c>
      <c r="C221" s="11">
        <v>4.9401190000000001E-8</v>
      </c>
      <c r="D221" s="11">
        <v>3.4819650000000002E-10</v>
      </c>
      <c r="E221" s="11">
        <v>9.5094959999999995E-12</v>
      </c>
      <c r="F221" s="11">
        <v>9.614508999999999E-10</v>
      </c>
      <c r="G221" s="11">
        <v>2.3464790000000001E-8</v>
      </c>
      <c r="H221" s="3">
        <f t="shared" si="7"/>
        <v>380.5333333333333</v>
      </c>
      <c r="I221" s="19">
        <v>0.69253472222222223</v>
      </c>
      <c r="J221">
        <v>4</v>
      </c>
      <c r="K221">
        <v>37</v>
      </c>
      <c r="L221">
        <v>15</v>
      </c>
      <c r="M221">
        <f t="shared" si="6"/>
        <v>997.25</v>
      </c>
    </row>
    <row r="222" spans="1:13" x14ac:dyDescent="0.15">
      <c r="B222" s="19">
        <v>0.69260416666666658</v>
      </c>
      <c r="C222" s="11">
        <v>4.9378259999999997E-8</v>
      </c>
      <c r="D222" s="11">
        <v>3.4766810000000001E-10</v>
      </c>
      <c r="E222" s="11">
        <v>9.4498520000000005E-12</v>
      </c>
      <c r="F222" s="11">
        <v>9.6149810000000005E-10</v>
      </c>
      <c r="G222" s="11">
        <v>2.3463160000000001E-8</v>
      </c>
      <c r="H222" s="3">
        <f t="shared" si="7"/>
        <v>380.63333333333333</v>
      </c>
      <c r="I222" s="19">
        <v>0.69260416666666658</v>
      </c>
      <c r="J222">
        <v>4</v>
      </c>
      <c r="K222">
        <v>37</v>
      </c>
      <c r="L222">
        <v>21</v>
      </c>
      <c r="M222">
        <f t="shared" si="6"/>
        <v>997.35</v>
      </c>
    </row>
    <row r="223" spans="1:13" x14ac:dyDescent="0.15">
      <c r="B223" s="19">
        <v>0.69266203703703699</v>
      </c>
      <c r="C223" s="11">
        <v>4.9390239999999998E-8</v>
      </c>
      <c r="D223" s="11">
        <v>3.4833539999999999E-10</v>
      </c>
      <c r="E223" s="11">
        <v>9.6025910000000008E-12</v>
      </c>
      <c r="F223" s="11">
        <v>9.6132410000000001E-10</v>
      </c>
      <c r="G223" s="11">
        <v>2.3483289999999999E-8</v>
      </c>
      <c r="H223" s="3">
        <f t="shared" si="7"/>
        <v>380.71666666666658</v>
      </c>
      <c r="I223" s="19">
        <v>0.69266203703703699</v>
      </c>
      <c r="J223">
        <v>4</v>
      </c>
      <c r="K223">
        <v>37</v>
      </c>
      <c r="L223">
        <v>26</v>
      </c>
      <c r="M223">
        <f t="shared" si="6"/>
        <v>997.43333333333328</v>
      </c>
    </row>
    <row r="224" spans="1:13" x14ac:dyDescent="0.15">
      <c r="B224" s="1"/>
      <c r="C224" s="2"/>
      <c r="D224" s="2"/>
      <c r="E224" s="2"/>
      <c r="F224" s="2"/>
      <c r="G224" s="2"/>
      <c r="H224" s="3"/>
      <c r="I224" s="1"/>
    </row>
    <row r="225" spans="2:9" x14ac:dyDescent="0.15">
      <c r="B225" s="1"/>
      <c r="C225" s="2"/>
      <c r="D225" s="2"/>
      <c r="E225" s="2"/>
      <c r="F225" s="2"/>
      <c r="G225" s="2"/>
      <c r="H225" s="3"/>
      <c r="I225" s="1"/>
    </row>
    <row r="226" spans="2:9" x14ac:dyDescent="0.15">
      <c r="B226" s="1"/>
      <c r="C226" s="2"/>
      <c r="D226" s="2"/>
      <c r="E226" s="2"/>
      <c r="F226" s="2"/>
      <c r="G226" s="2"/>
      <c r="H226" s="3"/>
      <c r="I226" s="1"/>
    </row>
    <row r="227" spans="2:9" x14ac:dyDescent="0.15">
      <c r="B227" s="1"/>
      <c r="C227" s="2"/>
      <c r="D227" s="2"/>
      <c r="E227" s="2"/>
      <c r="F227" s="2"/>
      <c r="G227" s="2"/>
      <c r="H227" s="3"/>
      <c r="I227" s="1"/>
    </row>
    <row r="228" spans="2:9" x14ac:dyDescent="0.15">
      <c r="B228" s="1"/>
      <c r="C228" s="2"/>
      <c r="D228" s="2"/>
      <c r="E228" s="2"/>
      <c r="F228" s="2"/>
      <c r="G228" s="2"/>
      <c r="H228" s="3"/>
      <c r="I228" s="1"/>
    </row>
    <row r="229" spans="2:9" x14ac:dyDescent="0.15">
      <c r="B229" s="1"/>
      <c r="C229" s="2"/>
      <c r="D229" s="2"/>
      <c r="E229" s="2"/>
      <c r="F229" s="2"/>
      <c r="G229" s="2"/>
      <c r="H229" s="3"/>
      <c r="I229" s="1"/>
    </row>
    <row r="230" spans="2:9" x14ac:dyDescent="0.15">
      <c r="B230" s="1"/>
      <c r="C230" s="2"/>
      <c r="D230" s="2"/>
      <c r="E230" s="2"/>
      <c r="F230" s="2"/>
      <c r="G230" s="2"/>
      <c r="H230" s="3"/>
      <c r="I230" s="1"/>
    </row>
    <row r="231" spans="2:9" x14ac:dyDescent="0.15">
      <c r="B231" s="1"/>
      <c r="C231" s="2"/>
      <c r="D231" s="2"/>
      <c r="E231" s="2"/>
      <c r="F231" s="2"/>
      <c r="G231" s="2"/>
      <c r="H231" s="3"/>
      <c r="I231" s="1"/>
    </row>
    <row r="232" spans="2:9" x14ac:dyDescent="0.15">
      <c r="B232" s="1"/>
      <c r="C232" s="2"/>
      <c r="D232" s="2"/>
      <c r="E232" s="2"/>
      <c r="F232" s="2"/>
      <c r="G232" s="2"/>
      <c r="H232" s="3"/>
      <c r="I232" s="1"/>
    </row>
    <row r="233" spans="2:9" x14ac:dyDescent="0.15">
      <c r="B233" s="1"/>
      <c r="C233" s="2"/>
      <c r="D233" s="2"/>
      <c r="E233" s="2"/>
      <c r="F233" s="2"/>
      <c r="G233" s="2"/>
      <c r="H233" s="3"/>
      <c r="I233" s="1"/>
    </row>
    <row r="234" spans="2:9" x14ac:dyDescent="0.15">
      <c r="B234" s="1"/>
      <c r="C234" s="2"/>
      <c r="D234" s="2"/>
      <c r="E234" s="2"/>
      <c r="F234" s="2"/>
      <c r="G234" s="2"/>
      <c r="H234" s="3"/>
      <c r="I234" s="1"/>
    </row>
    <row r="235" spans="2:9" x14ac:dyDescent="0.15">
      <c r="B235" s="1"/>
      <c r="C235" s="2"/>
      <c r="D235" s="2"/>
      <c r="E235" s="2"/>
      <c r="F235" s="2"/>
      <c r="G235" s="2"/>
      <c r="H235" s="3"/>
      <c r="I235" s="1"/>
    </row>
    <row r="236" spans="2:9" x14ac:dyDescent="0.15">
      <c r="B236" s="1"/>
      <c r="C236" s="2"/>
      <c r="D236" s="2"/>
      <c r="E236" s="2"/>
      <c r="F236" s="2"/>
      <c r="G236" s="2"/>
      <c r="H236" s="3"/>
      <c r="I236" s="1"/>
    </row>
    <row r="237" spans="2:9" x14ac:dyDescent="0.15">
      <c r="B237" s="1"/>
      <c r="C237" s="2"/>
      <c r="D237" s="2"/>
      <c r="E237" s="2"/>
      <c r="F237" s="2"/>
      <c r="G237" s="2"/>
      <c r="H237" s="3"/>
      <c r="I237" s="1"/>
    </row>
    <row r="238" spans="2:9" x14ac:dyDescent="0.15">
      <c r="B238" s="1"/>
      <c r="C238" s="2"/>
      <c r="D238" s="2"/>
      <c r="E238" s="2"/>
      <c r="F238" s="2"/>
      <c r="G238" s="2"/>
      <c r="H238" s="3"/>
      <c r="I238" s="1"/>
    </row>
    <row r="239" spans="2:9" x14ac:dyDescent="0.15">
      <c r="B239" s="1"/>
      <c r="C239" s="2"/>
      <c r="D239" s="2"/>
      <c r="E239" s="2"/>
      <c r="F239" s="2"/>
      <c r="G239" s="2"/>
      <c r="H239" s="3"/>
      <c r="I239" s="1"/>
    </row>
    <row r="240" spans="2:9" x14ac:dyDescent="0.15">
      <c r="B240" s="1"/>
      <c r="C240" s="2"/>
      <c r="D240" s="2"/>
      <c r="E240" s="2"/>
      <c r="F240" s="2"/>
      <c r="G240" s="2"/>
      <c r="H240" s="3"/>
      <c r="I240" s="1"/>
    </row>
    <row r="241" spans="2:9" x14ac:dyDescent="0.15">
      <c r="B241" s="1"/>
      <c r="C241" s="2"/>
      <c r="D241" s="2"/>
      <c r="E241" s="2"/>
      <c r="F241" s="2"/>
      <c r="G241" s="2"/>
      <c r="H241" s="3"/>
      <c r="I241" s="1"/>
    </row>
    <row r="242" spans="2:9" x14ac:dyDescent="0.15">
      <c r="B242" s="1"/>
      <c r="C242" s="2"/>
      <c r="D242" s="2"/>
      <c r="E242" s="2"/>
      <c r="F242" s="2"/>
      <c r="G242" s="2"/>
      <c r="H242" s="3"/>
      <c r="I242" s="1"/>
    </row>
    <row r="243" spans="2:9" x14ac:dyDescent="0.15">
      <c r="B243" s="1"/>
      <c r="C243" s="2"/>
      <c r="D243" s="2"/>
      <c r="E243" s="2"/>
      <c r="F243" s="2"/>
      <c r="G243" s="2"/>
      <c r="H243" s="3"/>
      <c r="I243" s="1"/>
    </row>
    <row r="244" spans="2:9" x14ac:dyDescent="0.15">
      <c r="B244" s="1"/>
      <c r="C244" s="2"/>
      <c r="D244" s="2"/>
      <c r="E244" s="2"/>
      <c r="F244" s="2"/>
      <c r="G244" s="2"/>
      <c r="H244" s="3"/>
      <c r="I244" s="1"/>
    </row>
    <row r="245" spans="2:9" x14ac:dyDescent="0.15">
      <c r="B245" s="1"/>
      <c r="C245" s="2"/>
      <c r="D245" s="2"/>
      <c r="E245" s="2"/>
      <c r="F245" s="2"/>
      <c r="G245" s="2"/>
      <c r="H245" s="3"/>
      <c r="I245" s="1"/>
    </row>
    <row r="246" spans="2:9" x14ac:dyDescent="0.15">
      <c r="B246" s="1"/>
      <c r="C246" s="2"/>
      <c r="D246" s="2"/>
      <c r="E246" s="2"/>
      <c r="F246" s="2"/>
      <c r="G246" s="2"/>
      <c r="H246" s="3"/>
      <c r="I246" s="1"/>
    </row>
    <row r="247" spans="2:9" x14ac:dyDescent="0.15">
      <c r="B247" s="1"/>
      <c r="C247" s="2"/>
      <c r="D247" s="2"/>
      <c r="E247" s="2"/>
      <c r="F247" s="2"/>
      <c r="G247" s="2"/>
      <c r="H247" s="3"/>
      <c r="I247" s="1"/>
    </row>
    <row r="248" spans="2:9" x14ac:dyDescent="0.15">
      <c r="B248" s="1"/>
      <c r="C248" s="2"/>
      <c r="D248" s="2"/>
      <c r="E248" s="2"/>
      <c r="F248" s="2"/>
      <c r="G248" s="2"/>
      <c r="H248" s="3"/>
      <c r="I248" s="1"/>
    </row>
    <row r="249" spans="2:9" x14ac:dyDescent="0.15">
      <c r="B249" s="1"/>
      <c r="C249" s="2"/>
      <c r="D249" s="2"/>
      <c r="E249" s="2"/>
      <c r="F249" s="2"/>
      <c r="G249" s="2"/>
      <c r="H249" s="3"/>
      <c r="I249" s="1"/>
    </row>
    <row r="250" spans="2:9" x14ac:dyDescent="0.15">
      <c r="B250" s="1"/>
      <c r="C250" s="2"/>
      <c r="D250" s="2"/>
      <c r="E250" s="2"/>
      <c r="F250" s="2"/>
      <c r="G250" s="2"/>
      <c r="H250" s="3"/>
      <c r="I250" s="1"/>
    </row>
    <row r="251" spans="2:9" x14ac:dyDescent="0.15">
      <c r="B251" s="1"/>
      <c r="C251" s="2"/>
      <c r="D251" s="2"/>
      <c r="E251" s="2"/>
      <c r="F251" s="2"/>
      <c r="G251" s="2"/>
      <c r="H251" s="3"/>
      <c r="I251" s="1"/>
    </row>
    <row r="252" spans="2:9" x14ac:dyDescent="0.15">
      <c r="B252" s="1"/>
      <c r="C252" s="2"/>
      <c r="D252" s="2"/>
      <c r="E252" s="2"/>
      <c r="F252" s="2"/>
      <c r="G252" s="2"/>
      <c r="H252" s="3"/>
      <c r="I252" s="1"/>
    </row>
    <row r="253" spans="2:9" x14ac:dyDescent="0.15">
      <c r="B253" s="1"/>
      <c r="C253" s="2"/>
      <c r="D253" s="2"/>
      <c r="E253" s="2"/>
      <c r="F253" s="2"/>
      <c r="G253" s="2"/>
      <c r="H253" s="3"/>
      <c r="I253" s="1"/>
    </row>
    <row r="254" spans="2:9" x14ac:dyDescent="0.15">
      <c r="B254" s="1"/>
      <c r="C254" s="2"/>
      <c r="D254" s="2"/>
      <c r="E254" s="2"/>
      <c r="F254" s="2"/>
      <c r="G254" s="2"/>
      <c r="H254" s="3"/>
      <c r="I254" s="1"/>
    </row>
    <row r="255" spans="2:9" x14ac:dyDescent="0.15">
      <c r="B255" s="1"/>
      <c r="C255" s="2"/>
      <c r="D255" s="2"/>
      <c r="E255" s="2"/>
      <c r="F255" s="2"/>
      <c r="G255" s="2"/>
      <c r="H255" s="3"/>
      <c r="I255" s="1"/>
    </row>
    <row r="256" spans="2:9" x14ac:dyDescent="0.15">
      <c r="B256" s="1"/>
      <c r="C256" s="2"/>
      <c r="D256" s="2"/>
      <c r="E256" s="2"/>
      <c r="F256" s="2"/>
      <c r="G256" s="2"/>
      <c r="H256" s="3"/>
      <c r="I256" s="1"/>
    </row>
    <row r="257" spans="2:9" x14ac:dyDescent="0.15">
      <c r="B257" s="1"/>
      <c r="C257" s="2"/>
      <c r="D257" s="2"/>
      <c r="E257" s="2"/>
      <c r="F257" s="2"/>
      <c r="G257" s="2"/>
      <c r="H257" s="3"/>
      <c r="I257" s="1"/>
    </row>
    <row r="258" spans="2:9" x14ac:dyDescent="0.15">
      <c r="B258" s="1"/>
      <c r="C258" s="2"/>
      <c r="D258" s="2"/>
      <c r="E258" s="2"/>
      <c r="F258" s="2"/>
      <c r="G258" s="2"/>
      <c r="H258" s="3"/>
      <c r="I258" s="1"/>
    </row>
    <row r="259" spans="2:9" x14ac:dyDescent="0.15">
      <c r="B259" s="1"/>
      <c r="C259" s="2"/>
      <c r="D259" s="2"/>
      <c r="E259" s="2"/>
      <c r="F259" s="2"/>
      <c r="G259" s="2"/>
      <c r="H259" s="3"/>
      <c r="I259" s="1"/>
    </row>
    <row r="260" spans="2:9" x14ac:dyDescent="0.15">
      <c r="B260" s="1"/>
      <c r="C260" s="2"/>
      <c r="D260" s="2"/>
      <c r="E260" s="2"/>
      <c r="F260" s="2"/>
      <c r="G260" s="2"/>
      <c r="H260" s="3"/>
      <c r="I260" s="1"/>
    </row>
    <row r="261" spans="2:9" x14ac:dyDescent="0.15">
      <c r="B261" s="1"/>
      <c r="C261" s="2"/>
      <c r="D261" s="2"/>
      <c r="E261" s="2"/>
      <c r="F261" s="2"/>
      <c r="G261" s="2"/>
      <c r="H261" s="3"/>
      <c r="I261" s="1"/>
    </row>
    <row r="262" spans="2:9" x14ac:dyDescent="0.15">
      <c r="B262" s="1"/>
      <c r="C262" s="2"/>
      <c r="D262" s="2"/>
      <c r="E262" s="2"/>
      <c r="F262" s="2"/>
      <c r="G262" s="2"/>
      <c r="H262" s="3"/>
      <c r="I262" s="1"/>
    </row>
    <row r="263" spans="2:9" x14ac:dyDescent="0.15">
      <c r="B263" s="1"/>
      <c r="C263" s="2"/>
      <c r="D263" s="2"/>
      <c r="E263" s="2"/>
      <c r="F263" s="2"/>
      <c r="G263" s="2"/>
      <c r="H263" s="3"/>
      <c r="I263" s="1"/>
    </row>
    <row r="264" spans="2:9" x14ac:dyDescent="0.15">
      <c r="B264" s="1"/>
      <c r="C264" s="2"/>
      <c r="D264" s="2"/>
      <c r="E264" s="2"/>
      <c r="F264" s="2"/>
      <c r="G264" s="2"/>
      <c r="H264" s="3"/>
      <c r="I264" s="1"/>
    </row>
    <row r="265" spans="2:9" x14ac:dyDescent="0.15">
      <c r="B265" s="1"/>
      <c r="C265" s="2"/>
      <c r="D265" s="2"/>
      <c r="E265" s="2"/>
      <c r="F265" s="2"/>
      <c r="G265" s="2"/>
      <c r="H265" s="3"/>
      <c r="I265" s="1"/>
    </row>
    <row r="266" spans="2:9" x14ac:dyDescent="0.15">
      <c r="B266" s="1"/>
      <c r="C266" s="2"/>
      <c r="D266" s="2"/>
      <c r="E266" s="2"/>
      <c r="F266" s="2"/>
      <c r="G266" s="2"/>
      <c r="H266" s="3"/>
      <c r="I266" s="1"/>
    </row>
    <row r="267" spans="2:9" x14ac:dyDescent="0.15">
      <c r="B267" s="1"/>
      <c r="C267" s="2"/>
      <c r="D267" s="2"/>
      <c r="E267" s="2"/>
      <c r="F267" s="2"/>
      <c r="G267" s="2"/>
      <c r="H267" s="3"/>
      <c r="I267" s="1"/>
    </row>
    <row r="268" spans="2:9" x14ac:dyDescent="0.15">
      <c r="B268" s="1"/>
      <c r="C268" s="2"/>
      <c r="D268" s="2"/>
      <c r="E268" s="2"/>
      <c r="F268" s="2"/>
      <c r="G268" s="2"/>
      <c r="H268" s="3"/>
      <c r="I268" s="1"/>
    </row>
    <row r="269" spans="2:9" x14ac:dyDescent="0.15">
      <c r="B269" s="1"/>
      <c r="C269" s="2"/>
      <c r="D269" s="2"/>
      <c r="E269" s="2"/>
      <c r="F269" s="2"/>
      <c r="G269" s="2"/>
      <c r="H269" s="3"/>
      <c r="I269" s="1"/>
    </row>
    <row r="270" spans="2:9" x14ac:dyDescent="0.15">
      <c r="B270" s="1"/>
      <c r="C270" s="2"/>
      <c r="D270" s="2"/>
      <c r="E270" s="2"/>
      <c r="F270" s="2"/>
      <c r="G270" s="2"/>
      <c r="H270" s="3"/>
      <c r="I270" s="1"/>
    </row>
    <row r="271" spans="2:9" x14ac:dyDescent="0.15">
      <c r="B271" s="1"/>
      <c r="C271" s="2"/>
      <c r="D271" s="2"/>
      <c r="E271" s="2"/>
      <c r="F271" s="2"/>
      <c r="G271" s="2"/>
      <c r="H271" s="3"/>
      <c r="I271" s="1"/>
    </row>
    <row r="272" spans="2:9" x14ac:dyDescent="0.15">
      <c r="B272" s="1"/>
      <c r="C272" s="2"/>
      <c r="D272" s="2"/>
      <c r="E272" s="2"/>
      <c r="F272" s="2"/>
      <c r="G272" s="2"/>
      <c r="H272" s="3"/>
      <c r="I272" s="1"/>
    </row>
    <row r="273" spans="2:9" x14ac:dyDescent="0.15">
      <c r="B273" s="1"/>
      <c r="C273" s="2"/>
      <c r="D273" s="2"/>
      <c r="E273" s="2"/>
      <c r="F273" s="2"/>
      <c r="G273" s="2"/>
      <c r="H273" s="3"/>
      <c r="I273" s="1"/>
    </row>
    <row r="274" spans="2:9" x14ac:dyDescent="0.15">
      <c r="B274" s="1"/>
      <c r="C274" s="2"/>
      <c r="D274" s="2"/>
      <c r="E274" s="2"/>
      <c r="F274" s="2"/>
      <c r="G274" s="2"/>
      <c r="H274" s="3"/>
      <c r="I274" s="1"/>
    </row>
    <row r="275" spans="2:9" x14ac:dyDescent="0.15">
      <c r="B275" s="1"/>
      <c r="C275" s="2"/>
      <c r="D275" s="2"/>
      <c r="E275" s="2"/>
      <c r="F275" s="2"/>
      <c r="G275" s="2"/>
      <c r="H275" s="3"/>
      <c r="I275" s="1"/>
    </row>
    <row r="276" spans="2:9" x14ac:dyDescent="0.15">
      <c r="B276" s="1"/>
      <c r="C276" s="2"/>
      <c r="D276" s="2"/>
      <c r="E276" s="2"/>
      <c r="F276" s="2"/>
      <c r="G276" s="2"/>
      <c r="H276" s="3"/>
      <c r="I276" s="1"/>
    </row>
    <row r="277" spans="2:9" x14ac:dyDescent="0.15">
      <c r="B277" s="1"/>
      <c r="C277" s="2"/>
      <c r="D277" s="2"/>
      <c r="E277" s="2"/>
      <c r="F277" s="2"/>
      <c r="G277" s="2"/>
      <c r="H277" s="3"/>
      <c r="I277" s="1"/>
    </row>
    <row r="278" spans="2:9" x14ac:dyDescent="0.15">
      <c r="B278" s="1"/>
      <c r="C278" s="2"/>
      <c r="D278" s="2"/>
      <c r="E278" s="2"/>
      <c r="F278" s="2"/>
      <c r="G278" s="2"/>
      <c r="H278" s="3"/>
      <c r="I278" s="1"/>
    </row>
    <row r="279" spans="2:9" x14ac:dyDescent="0.15">
      <c r="B279" s="1"/>
      <c r="C279" s="2"/>
      <c r="D279" s="2"/>
      <c r="E279" s="2"/>
      <c r="F279" s="2"/>
      <c r="G279" s="2"/>
      <c r="H279" s="3"/>
      <c r="I279" s="1"/>
    </row>
    <row r="280" spans="2:9" x14ac:dyDescent="0.15">
      <c r="B280" s="1"/>
      <c r="C280" s="2"/>
      <c r="D280" s="2"/>
      <c r="E280" s="2"/>
      <c r="F280" s="2"/>
      <c r="G280" s="2"/>
      <c r="H280" s="3"/>
      <c r="I280" s="1"/>
    </row>
    <row r="281" spans="2:9" x14ac:dyDescent="0.15">
      <c r="B281" s="1"/>
      <c r="C281" s="2"/>
      <c r="D281" s="2"/>
      <c r="E281" s="2"/>
      <c r="F281" s="2"/>
      <c r="G281" s="2"/>
      <c r="H281" s="3"/>
      <c r="I281" s="1"/>
    </row>
    <row r="282" spans="2:9" x14ac:dyDescent="0.15">
      <c r="B282" s="1"/>
      <c r="C282" s="2"/>
      <c r="D282" s="2"/>
      <c r="E282" s="2"/>
      <c r="F282" s="2"/>
      <c r="G282" s="2"/>
      <c r="H282" s="3"/>
      <c r="I282" s="1"/>
    </row>
    <row r="283" spans="2:9" x14ac:dyDescent="0.15">
      <c r="B283" s="1"/>
      <c r="C283" s="2"/>
      <c r="D283" s="2"/>
      <c r="E283" s="2"/>
      <c r="F283" s="2"/>
      <c r="G283" s="2"/>
      <c r="H283" s="3"/>
      <c r="I283" s="1"/>
    </row>
    <row r="284" spans="2:9" x14ac:dyDescent="0.15">
      <c r="B284" s="1"/>
      <c r="C284" s="2"/>
      <c r="D284" s="2"/>
      <c r="E284" s="2"/>
      <c r="F284" s="2"/>
      <c r="G284" s="2"/>
      <c r="H284" s="3"/>
      <c r="I284" s="1"/>
    </row>
    <row r="285" spans="2:9" x14ac:dyDescent="0.15">
      <c r="B285" s="1"/>
      <c r="C285" s="2"/>
      <c r="D285" s="2"/>
      <c r="E285" s="2"/>
      <c r="F285" s="2"/>
      <c r="G285" s="2"/>
      <c r="H285" s="3"/>
      <c r="I285" s="1"/>
    </row>
    <row r="286" spans="2:9" x14ac:dyDescent="0.15">
      <c r="B286" s="1"/>
      <c r="C286" s="2"/>
      <c r="D286" s="2"/>
      <c r="E286" s="2"/>
      <c r="F286" s="2"/>
      <c r="G286" s="2"/>
      <c r="H286" s="3"/>
      <c r="I286" s="1"/>
    </row>
    <row r="287" spans="2:9" x14ac:dyDescent="0.15">
      <c r="B287" s="1"/>
      <c r="C287" s="2"/>
      <c r="D287" s="2"/>
      <c r="E287" s="2"/>
      <c r="F287" s="2"/>
      <c r="G287" s="2"/>
      <c r="H287" s="3"/>
      <c r="I287" s="1"/>
    </row>
    <row r="288" spans="2:9" x14ac:dyDescent="0.15">
      <c r="B288" s="1"/>
      <c r="C288" s="2"/>
      <c r="D288" s="2"/>
      <c r="E288" s="2"/>
      <c r="F288" s="2"/>
      <c r="G288" s="2"/>
      <c r="H288" s="3"/>
      <c r="I288" s="1"/>
    </row>
    <row r="289" spans="2:9" x14ac:dyDescent="0.15">
      <c r="B289" s="1"/>
      <c r="C289" s="2"/>
      <c r="D289" s="2"/>
      <c r="E289" s="2"/>
      <c r="F289" s="2"/>
      <c r="G289" s="2"/>
      <c r="H289" s="3"/>
      <c r="I289" s="1"/>
    </row>
    <row r="290" spans="2:9" x14ac:dyDescent="0.15">
      <c r="B290" s="1"/>
      <c r="C290" s="2"/>
      <c r="D290" s="2"/>
      <c r="E290" s="2"/>
      <c r="F290" s="2"/>
      <c r="G290" s="2"/>
      <c r="H290" s="3"/>
      <c r="I290" s="1"/>
    </row>
    <row r="291" spans="2:9" x14ac:dyDescent="0.15">
      <c r="B291" s="1"/>
      <c r="C291" s="2"/>
      <c r="D291" s="2"/>
      <c r="E291" s="2"/>
      <c r="F291" s="2"/>
      <c r="G291" s="2"/>
      <c r="H291" s="3"/>
      <c r="I291" s="1"/>
    </row>
    <row r="292" spans="2:9" x14ac:dyDescent="0.15">
      <c r="B292" s="1"/>
      <c r="C292" s="2"/>
      <c r="D292" s="2"/>
      <c r="E292" s="2"/>
      <c r="F292" s="2"/>
      <c r="G292" s="2"/>
      <c r="H292" s="3"/>
      <c r="I292" s="1"/>
    </row>
    <row r="293" spans="2:9" x14ac:dyDescent="0.15">
      <c r="B293" s="1"/>
      <c r="C293" s="2"/>
      <c r="D293" s="2"/>
      <c r="E293" s="2"/>
      <c r="F293" s="2"/>
      <c r="G293" s="2"/>
      <c r="H293" s="3"/>
      <c r="I293" s="1"/>
    </row>
    <row r="294" spans="2:9" x14ac:dyDescent="0.15">
      <c r="B294" s="1"/>
      <c r="C294" s="2"/>
      <c r="D294" s="2"/>
      <c r="E294" s="2"/>
      <c r="F294" s="2"/>
      <c r="G294" s="2"/>
      <c r="H294" s="3"/>
      <c r="I294" s="1"/>
    </row>
    <row r="295" spans="2:9" x14ac:dyDescent="0.15">
      <c r="B295" s="1"/>
      <c r="C295" s="2"/>
      <c r="D295" s="2"/>
      <c r="E295" s="2"/>
      <c r="F295" s="2"/>
      <c r="G295" s="2"/>
      <c r="H295" s="3"/>
      <c r="I295" s="1"/>
    </row>
    <row r="296" spans="2:9" x14ac:dyDescent="0.15">
      <c r="B296" s="1"/>
      <c r="C296" s="2"/>
      <c r="D296" s="2"/>
      <c r="E296" s="2"/>
      <c r="F296" s="2"/>
      <c r="G296" s="2"/>
      <c r="H296" s="3"/>
      <c r="I296" s="1"/>
    </row>
    <row r="297" spans="2:9" x14ac:dyDescent="0.15">
      <c r="B297" s="1"/>
      <c r="C297" s="2"/>
      <c r="D297" s="2"/>
      <c r="E297" s="2"/>
      <c r="F297" s="2"/>
      <c r="G297" s="2"/>
      <c r="H297" s="3"/>
      <c r="I297" s="1"/>
    </row>
    <row r="298" spans="2:9" x14ac:dyDescent="0.15">
      <c r="B298" s="1"/>
      <c r="C298" s="2"/>
      <c r="D298" s="2"/>
      <c r="E298" s="2"/>
      <c r="F298" s="2"/>
      <c r="G298" s="2"/>
      <c r="H298" s="3"/>
      <c r="I298" s="1"/>
    </row>
    <row r="299" spans="2:9" x14ac:dyDescent="0.15">
      <c r="B299" s="1"/>
      <c r="C299" s="2"/>
      <c r="D299" s="2"/>
      <c r="E299" s="2"/>
      <c r="F299" s="2"/>
      <c r="G299" s="2"/>
      <c r="H299" s="3"/>
      <c r="I299" s="1"/>
    </row>
    <row r="300" spans="2:9" x14ac:dyDescent="0.15">
      <c r="B300" s="1"/>
      <c r="C300" s="2"/>
      <c r="D300" s="2"/>
      <c r="E300" s="2"/>
      <c r="F300" s="2"/>
      <c r="G300" s="2"/>
      <c r="H300" s="3"/>
      <c r="I300" s="1"/>
    </row>
    <row r="301" spans="2:9" x14ac:dyDescent="0.15">
      <c r="B301" s="1"/>
      <c r="C301" s="2"/>
      <c r="D301" s="2"/>
      <c r="E301" s="2"/>
      <c r="F301" s="2"/>
      <c r="G301" s="2"/>
      <c r="H301" s="3"/>
      <c r="I301" s="1"/>
    </row>
    <row r="302" spans="2:9" x14ac:dyDescent="0.15">
      <c r="B302" s="1"/>
      <c r="C302" s="2"/>
      <c r="D302" s="2"/>
      <c r="E302" s="2"/>
      <c r="F302" s="2"/>
      <c r="G302" s="2"/>
      <c r="H302" s="3"/>
      <c r="I302" s="1"/>
    </row>
    <row r="303" spans="2:9" x14ac:dyDescent="0.15">
      <c r="B303" s="1"/>
      <c r="C303" s="2"/>
      <c r="D303" s="2"/>
      <c r="E303" s="2"/>
      <c r="F303" s="2"/>
      <c r="G303" s="2"/>
      <c r="H303" s="3"/>
      <c r="I303" s="1"/>
    </row>
    <row r="304" spans="2:9" x14ac:dyDescent="0.15">
      <c r="B304" s="1"/>
      <c r="C304" s="2"/>
      <c r="D304" s="2"/>
      <c r="E304" s="2"/>
      <c r="F304" s="2"/>
      <c r="G304" s="2"/>
      <c r="H304" s="3"/>
      <c r="I304" s="1"/>
    </row>
    <row r="305" spans="2:9" x14ac:dyDescent="0.15">
      <c r="B305" s="1"/>
      <c r="C305" s="2"/>
      <c r="D305" s="2"/>
      <c r="E305" s="2"/>
      <c r="F305" s="2"/>
      <c r="G305" s="2"/>
      <c r="H305" s="3"/>
      <c r="I305" s="1"/>
    </row>
    <row r="306" spans="2:9" x14ac:dyDescent="0.15">
      <c r="B306" s="1"/>
      <c r="C306" s="2"/>
      <c r="D306" s="2"/>
      <c r="E306" s="2"/>
      <c r="F306" s="2"/>
      <c r="G306" s="2"/>
      <c r="H306" s="3"/>
      <c r="I306" s="1"/>
    </row>
    <row r="307" spans="2:9" x14ac:dyDescent="0.15">
      <c r="B307" s="1"/>
      <c r="C307" s="2"/>
      <c r="D307" s="2"/>
      <c r="E307" s="2"/>
      <c r="F307" s="2"/>
      <c r="G307" s="2"/>
      <c r="H307" s="3"/>
      <c r="I307" s="1"/>
    </row>
    <row r="308" spans="2:9" x14ac:dyDescent="0.15">
      <c r="B308" s="1"/>
      <c r="C308" s="2"/>
      <c r="D308" s="2"/>
      <c r="E308" s="2"/>
      <c r="F308" s="2"/>
      <c r="G308" s="2"/>
      <c r="H308" s="3"/>
      <c r="I308" s="1"/>
    </row>
    <row r="309" spans="2:9" x14ac:dyDescent="0.15">
      <c r="B309" s="1"/>
      <c r="C309" s="2"/>
      <c r="D309" s="2"/>
      <c r="E309" s="2"/>
      <c r="F309" s="2"/>
      <c r="G309" s="2"/>
      <c r="H309" s="3"/>
      <c r="I309" s="1"/>
    </row>
    <row r="310" spans="2:9" x14ac:dyDescent="0.15">
      <c r="B310" s="1"/>
      <c r="C310" s="2"/>
      <c r="D310" s="2"/>
      <c r="E310" s="2"/>
      <c r="F310" s="2"/>
      <c r="G310" s="2"/>
      <c r="H310" s="3"/>
      <c r="I310" s="1"/>
    </row>
    <row r="311" spans="2:9" x14ac:dyDescent="0.15">
      <c r="B311" s="1"/>
      <c r="C311" s="2"/>
      <c r="D311" s="2"/>
      <c r="E311" s="2"/>
      <c r="F311" s="2"/>
      <c r="G311" s="2"/>
      <c r="H311" s="3"/>
      <c r="I311" s="1"/>
    </row>
    <row r="312" spans="2:9" x14ac:dyDescent="0.15">
      <c r="B312" s="1"/>
      <c r="C312" s="2"/>
      <c r="D312" s="2"/>
      <c r="E312" s="2"/>
      <c r="F312" s="2"/>
      <c r="G312" s="2"/>
      <c r="H312" s="3"/>
      <c r="I312" s="1"/>
    </row>
    <row r="313" spans="2:9" x14ac:dyDescent="0.15">
      <c r="B313" s="1"/>
      <c r="C313" s="2"/>
      <c r="D313" s="2"/>
      <c r="E313" s="2"/>
      <c r="F313" s="2"/>
      <c r="G313" s="2"/>
      <c r="H313" s="3"/>
      <c r="I313" s="1"/>
    </row>
    <row r="314" spans="2:9" x14ac:dyDescent="0.15">
      <c r="B314" s="1"/>
      <c r="C314" s="2"/>
      <c r="D314" s="2"/>
      <c r="E314" s="2"/>
      <c r="F314" s="2"/>
      <c r="G314" s="2"/>
      <c r="H314" s="3"/>
      <c r="I314" s="1"/>
    </row>
    <row r="315" spans="2:9" x14ac:dyDescent="0.15">
      <c r="B315" s="1"/>
      <c r="C315" s="2"/>
      <c r="D315" s="2"/>
      <c r="E315" s="2"/>
      <c r="F315" s="2"/>
      <c r="G315" s="2"/>
      <c r="H315" s="3"/>
      <c r="I315" s="1"/>
    </row>
    <row r="316" spans="2:9" x14ac:dyDescent="0.15">
      <c r="B316" s="1"/>
      <c r="C316" s="2"/>
      <c r="D316" s="2"/>
      <c r="E316" s="2"/>
      <c r="F316" s="2"/>
      <c r="G316" s="2"/>
      <c r="H316" s="3"/>
      <c r="I316" s="1"/>
    </row>
    <row r="317" spans="2:9" x14ac:dyDescent="0.15">
      <c r="B317" s="1"/>
      <c r="C317" s="2"/>
      <c r="D317" s="2"/>
      <c r="E317" s="2"/>
      <c r="F317" s="2"/>
      <c r="G317" s="2"/>
      <c r="H317" s="3"/>
      <c r="I317" s="1"/>
    </row>
    <row r="318" spans="2:9" x14ac:dyDescent="0.15">
      <c r="B318" s="1"/>
      <c r="C318" s="2"/>
      <c r="D318" s="2"/>
      <c r="E318" s="2"/>
      <c r="F318" s="2"/>
      <c r="G318" s="2"/>
      <c r="H318" s="3"/>
      <c r="I318" s="1"/>
    </row>
    <row r="319" spans="2:9" x14ac:dyDescent="0.15">
      <c r="B319" s="1"/>
      <c r="C319" s="2"/>
      <c r="D319" s="2"/>
      <c r="E319" s="2"/>
      <c r="F319" s="2"/>
      <c r="G319" s="2"/>
      <c r="H319" s="3"/>
      <c r="I319" s="1"/>
    </row>
    <row r="320" spans="2:9" x14ac:dyDescent="0.15">
      <c r="B320" s="1"/>
      <c r="C320" s="2"/>
      <c r="D320" s="2"/>
      <c r="E320" s="2"/>
      <c r="F320" s="2"/>
      <c r="G320" s="2"/>
      <c r="H320" s="3"/>
      <c r="I320" s="1"/>
    </row>
    <row r="321" spans="2:9" x14ac:dyDescent="0.15">
      <c r="B321" s="1"/>
      <c r="C321" s="2"/>
      <c r="D321" s="2"/>
      <c r="E321" s="2"/>
      <c r="F321" s="2"/>
      <c r="G321" s="2"/>
      <c r="H321" s="3"/>
      <c r="I321" s="1"/>
    </row>
    <row r="322" spans="2:9" x14ac:dyDescent="0.15">
      <c r="B322" s="1"/>
      <c r="C322" s="2"/>
      <c r="D322" s="2"/>
      <c r="E322" s="2"/>
      <c r="F322" s="2"/>
      <c r="G322" s="2"/>
      <c r="H322" s="3"/>
      <c r="I322" s="1"/>
    </row>
    <row r="323" spans="2:9" x14ac:dyDescent="0.15">
      <c r="B323" s="1"/>
      <c r="C323" s="2"/>
      <c r="D323" s="2"/>
      <c r="E323" s="2"/>
      <c r="F323" s="2"/>
      <c r="G323" s="2"/>
      <c r="H323" s="3"/>
      <c r="I323" s="1"/>
    </row>
    <row r="324" spans="2:9" x14ac:dyDescent="0.15">
      <c r="B324" s="1"/>
      <c r="C324" s="2"/>
      <c r="D324" s="2"/>
      <c r="E324" s="2"/>
      <c r="F324" s="2"/>
      <c r="G324" s="2"/>
      <c r="H324" s="3"/>
      <c r="I324" s="1"/>
    </row>
    <row r="325" spans="2:9" x14ac:dyDescent="0.15">
      <c r="B325" s="1"/>
      <c r="C325" s="2"/>
      <c r="D325" s="2"/>
      <c r="E325" s="2"/>
      <c r="F325" s="2"/>
      <c r="G325" s="2"/>
      <c r="H325" s="3"/>
      <c r="I325" s="1"/>
    </row>
    <row r="326" spans="2:9" x14ac:dyDescent="0.15">
      <c r="B326" s="1"/>
      <c r="C326" s="2"/>
      <c r="D326" s="2"/>
      <c r="E326" s="2"/>
      <c r="F326" s="2"/>
      <c r="G326" s="2"/>
      <c r="H326" s="3"/>
      <c r="I326" s="1"/>
    </row>
    <row r="327" spans="2:9" x14ac:dyDescent="0.15">
      <c r="B327" s="1"/>
      <c r="C327" s="2"/>
      <c r="D327" s="2"/>
      <c r="E327" s="2"/>
      <c r="F327" s="2"/>
      <c r="G327" s="2"/>
      <c r="H327" s="3"/>
      <c r="I327" s="1"/>
    </row>
    <row r="328" spans="2:9" x14ac:dyDescent="0.15">
      <c r="B328" s="1"/>
      <c r="C328" s="2"/>
      <c r="D328" s="2"/>
      <c r="E328" s="2"/>
      <c r="F328" s="2"/>
      <c r="G328" s="2"/>
      <c r="H328" s="3"/>
      <c r="I328" s="1"/>
    </row>
    <row r="329" spans="2:9" x14ac:dyDescent="0.15">
      <c r="B329" s="1"/>
      <c r="C329" s="2"/>
      <c r="D329" s="2"/>
      <c r="E329" s="2"/>
      <c r="F329" s="2"/>
      <c r="G329" s="2"/>
      <c r="H329" s="3"/>
      <c r="I329" s="1"/>
    </row>
    <row r="330" spans="2:9" x14ac:dyDescent="0.15">
      <c r="B330" s="1"/>
      <c r="C330" s="2"/>
      <c r="D330" s="2"/>
      <c r="E330" s="2"/>
      <c r="F330" s="2"/>
      <c r="G330" s="2"/>
      <c r="H330" s="3"/>
      <c r="I330" s="1"/>
    </row>
    <row r="331" spans="2:9" x14ac:dyDescent="0.15">
      <c r="B331" s="1"/>
      <c r="C331" s="2"/>
      <c r="D331" s="2"/>
      <c r="E331" s="2"/>
      <c r="F331" s="2"/>
      <c r="G331" s="2"/>
      <c r="H331" s="3"/>
      <c r="I331" s="1"/>
    </row>
    <row r="332" spans="2:9" x14ac:dyDescent="0.15">
      <c r="B332" s="1"/>
      <c r="C332" s="2"/>
      <c r="D332" s="2"/>
      <c r="E332" s="2"/>
      <c r="F332" s="2"/>
      <c r="G332" s="2"/>
      <c r="H332" s="3"/>
      <c r="I332" s="1"/>
    </row>
    <row r="333" spans="2:9" x14ac:dyDescent="0.15">
      <c r="B333" s="1"/>
      <c r="C333" s="2"/>
      <c r="D333" s="2"/>
      <c r="E333" s="2"/>
      <c r="F333" s="2"/>
      <c r="G333" s="2"/>
      <c r="H333" s="3"/>
      <c r="I333" s="1"/>
    </row>
    <row r="334" spans="2:9" x14ac:dyDescent="0.15">
      <c r="B334" s="1"/>
      <c r="C334" s="2"/>
      <c r="D334" s="2"/>
      <c r="E334" s="2"/>
      <c r="F334" s="2"/>
      <c r="G334" s="2"/>
      <c r="H334" s="3"/>
      <c r="I334" s="1"/>
    </row>
    <row r="335" spans="2:9" x14ac:dyDescent="0.15">
      <c r="B335" s="1"/>
      <c r="C335" s="2"/>
      <c r="D335" s="2"/>
      <c r="E335" s="2"/>
      <c r="F335" s="2"/>
      <c r="G335" s="2"/>
      <c r="H335" s="3"/>
      <c r="I335" s="1"/>
    </row>
    <row r="336" spans="2:9" x14ac:dyDescent="0.15">
      <c r="B336" s="1"/>
      <c r="C336" s="2"/>
      <c r="D336" s="2"/>
      <c r="E336" s="2"/>
      <c r="F336" s="2"/>
      <c r="G336" s="2"/>
      <c r="H336" s="3"/>
      <c r="I336" s="1"/>
    </row>
    <row r="337" spans="2:9" x14ac:dyDescent="0.15">
      <c r="B337" s="1"/>
      <c r="C337" s="2"/>
      <c r="D337" s="2"/>
      <c r="E337" s="2"/>
      <c r="F337" s="2"/>
      <c r="G337" s="2"/>
      <c r="H337" s="3"/>
      <c r="I337" s="1"/>
    </row>
    <row r="338" spans="2:9" x14ac:dyDescent="0.15">
      <c r="B338" s="1"/>
      <c r="C338" s="2"/>
      <c r="D338" s="2"/>
      <c r="E338" s="2"/>
      <c r="F338" s="2"/>
      <c r="G338" s="2"/>
      <c r="H338" s="3"/>
      <c r="I338" s="1"/>
    </row>
    <row r="339" spans="2:9" x14ac:dyDescent="0.15">
      <c r="B339" s="1"/>
      <c r="C339" s="2"/>
      <c r="D339" s="2"/>
      <c r="E339" s="2"/>
      <c r="F339" s="2"/>
      <c r="G339" s="2"/>
      <c r="H339" s="3"/>
      <c r="I339" s="1"/>
    </row>
    <row r="340" spans="2:9" x14ac:dyDescent="0.15">
      <c r="B340" s="1"/>
      <c r="C340" s="2"/>
      <c r="D340" s="2"/>
      <c r="E340" s="2"/>
      <c r="F340" s="2"/>
      <c r="G340" s="2"/>
      <c r="H340" s="3"/>
      <c r="I340" s="1"/>
    </row>
    <row r="341" spans="2:9" x14ac:dyDescent="0.15">
      <c r="B341" s="1"/>
      <c r="C341" s="2"/>
      <c r="D341" s="2"/>
      <c r="E341" s="2"/>
      <c r="F341" s="2"/>
      <c r="G341" s="2"/>
      <c r="H341" s="3"/>
      <c r="I341" s="1"/>
    </row>
    <row r="342" spans="2:9" x14ac:dyDescent="0.15">
      <c r="B342" s="1"/>
      <c r="C342" s="2"/>
      <c r="D342" s="2"/>
      <c r="E342" s="2"/>
      <c r="F342" s="2"/>
      <c r="G342" s="2"/>
      <c r="H342" s="3"/>
      <c r="I342" s="1"/>
    </row>
    <row r="343" spans="2:9" x14ac:dyDescent="0.15">
      <c r="B343" s="1"/>
      <c r="C343" s="2"/>
      <c r="D343" s="2"/>
      <c r="E343" s="2"/>
      <c r="F343" s="2"/>
      <c r="G343" s="2"/>
      <c r="H343" s="3"/>
      <c r="I343" s="1"/>
    </row>
    <row r="344" spans="2:9" x14ac:dyDescent="0.15">
      <c r="B344" s="1"/>
      <c r="C344" s="2"/>
      <c r="D344" s="2"/>
      <c r="E344" s="2"/>
      <c r="F344" s="2"/>
      <c r="G344" s="2"/>
      <c r="H344" s="3"/>
      <c r="I344" s="1"/>
    </row>
    <row r="345" spans="2:9" x14ac:dyDescent="0.15">
      <c r="B345" s="1"/>
      <c r="C345" s="2"/>
      <c r="D345" s="2"/>
      <c r="E345" s="2"/>
      <c r="F345" s="2"/>
      <c r="G345" s="2"/>
      <c r="H345" s="3"/>
      <c r="I345" s="1"/>
    </row>
    <row r="346" spans="2:9" x14ac:dyDescent="0.15">
      <c r="B346" s="1"/>
      <c r="C346" s="2"/>
      <c r="D346" s="2"/>
      <c r="E346" s="2"/>
      <c r="F346" s="2"/>
      <c r="G346" s="2"/>
      <c r="H346" s="3"/>
      <c r="I346" s="1"/>
    </row>
    <row r="347" spans="2:9" x14ac:dyDescent="0.15">
      <c r="B347" s="1"/>
      <c r="C347" s="2"/>
      <c r="D347" s="2"/>
      <c r="E347" s="2"/>
      <c r="F347" s="2"/>
      <c r="G347" s="2"/>
      <c r="H347" s="3"/>
      <c r="I347" s="1"/>
    </row>
    <row r="348" spans="2:9" x14ac:dyDescent="0.15">
      <c r="B348" s="1"/>
      <c r="C348" s="2"/>
      <c r="D348" s="2"/>
      <c r="E348" s="2"/>
      <c r="F348" s="2"/>
      <c r="G348" s="2"/>
      <c r="H348" s="3"/>
      <c r="I348" s="1"/>
    </row>
    <row r="349" spans="2:9" x14ac:dyDescent="0.15">
      <c r="B349" s="1"/>
      <c r="C349" s="2"/>
      <c r="D349" s="2"/>
      <c r="E349" s="2"/>
      <c r="F349" s="2"/>
      <c r="G349" s="2"/>
      <c r="H349" s="3"/>
      <c r="I349" s="1"/>
    </row>
    <row r="350" spans="2:9" x14ac:dyDescent="0.15">
      <c r="B350" s="1"/>
      <c r="C350" s="2"/>
      <c r="D350" s="2"/>
      <c r="E350" s="2"/>
      <c r="F350" s="2"/>
      <c r="G350" s="2"/>
      <c r="H350" s="3"/>
      <c r="I350" s="1"/>
    </row>
    <row r="351" spans="2:9" x14ac:dyDescent="0.15">
      <c r="B351" s="1"/>
      <c r="C351" s="2"/>
      <c r="D351" s="2"/>
      <c r="E351" s="2"/>
      <c r="F351" s="2"/>
      <c r="G351" s="2"/>
      <c r="H351" s="3"/>
      <c r="I351" s="1"/>
    </row>
    <row r="352" spans="2:9" x14ac:dyDescent="0.15">
      <c r="B352" s="1"/>
      <c r="C352" s="2"/>
      <c r="D352" s="2"/>
      <c r="E352" s="2"/>
      <c r="F352" s="2"/>
      <c r="G352" s="2"/>
      <c r="H352" s="3"/>
      <c r="I352" s="1"/>
    </row>
    <row r="353" spans="2:9" x14ac:dyDescent="0.15">
      <c r="B353" s="1"/>
      <c r="C353" s="2"/>
      <c r="D353" s="2"/>
      <c r="E353" s="2"/>
      <c r="F353" s="2"/>
      <c r="G353" s="2"/>
      <c r="H353" s="3"/>
      <c r="I353" s="1"/>
    </row>
    <row r="354" spans="2:9" x14ac:dyDescent="0.15">
      <c r="B354" s="1"/>
      <c r="C354" s="2"/>
      <c r="D354" s="2"/>
      <c r="E354" s="2"/>
      <c r="F354" s="2"/>
      <c r="G354" s="2"/>
      <c r="H354" s="3"/>
      <c r="I354" s="1"/>
    </row>
    <row r="355" spans="2:9" x14ac:dyDescent="0.15">
      <c r="B355" s="1"/>
      <c r="C355" s="2"/>
      <c r="D355" s="2"/>
      <c r="E355" s="2"/>
      <c r="F355" s="2"/>
      <c r="G355" s="2"/>
      <c r="H355" s="3"/>
      <c r="I355" s="1"/>
    </row>
    <row r="356" spans="2:9" x14ac:dyDescent="0.15">
      <c r="B356" s="1"/>
      <c r="C356" s="2"/>
      <c r="D356" s="2"/>
      <c r="E356" s="2"/>
      <c r="F356" s="2"/>
      <c r="G356" s="2"/>
      <c r="H356" s="3"/>
      <c r="I356" s="1"/>
    </row>
    <row r="357" spans="2:9" x14ac:dyDescent="0.15">
      <c r="B357" s="1"/>
      <c r="C357" s="2"/>
      <c r="D357" s="2"/>
      <c r="E357" s="2"/>
      <c r="F357" s="2"/>
      <c r="G357" s="2"/>
      <c r="H357" s="3"/>
      <c r="I357" s="1"/>
    </row>
    <row r="358" spans="2:9" x14ac:dyDescent="0.15">
      <c r="B358" s="1"/>
      <c r="C358" s="2"/>
      <c r="D358" s="2"/>
      <c r="E358" s="2"/>
      <c r="F358" s="2"/>
      <c r="G358" s="2"/>
      <c r="H358" s="3"/>
      <c r="I358" s="1"/>
    </row>
    <row r="359" spans="2:9" x14ac:dyDescent="0.15">
      <c r="B359" s="1"/>
      <c r="C359" s="2"/>
      <c r="D359" s="2"/>
      <c r="E359" s="2"/>
      <c r="F359" s="2"/>
      <c r="G359" s="2"/>
      <c r="H359" s="3"/>
      <c r="I359" s="1"/>
    </row>
    <row r="360" spans="2:9" x14ac:dyDescent="0.15">
      <c r="B360" s="1"/>
      <c r="C360" s="2"/>
      <c r="D360" s="2"/>
      <c r="E360" s="2"/>
      <c r="F360" s="2"/>
      <c r="G360" s="2"/>
      <c r="H360" s="3"/>
      <c r="I360" s="1"/>
    </row>
    <row r="361" spans="2:9" x14ac:dyDescent="0.15">
      <c r="B361" s="1"/>
      <c r="C361" s="2"/>
      <c r="D361" s="2"/>
      <c r="E361" s="2"/>
      <c r="F361" s="2"/>
      <c r="G361" s="2"/>
      <c r="H361" s="3"/>
      <c r="I361" s="1"/>
    </row>
    <row r="362" spans="2:9" x14ac:dyDescent="0.15">
      <c r="B362" s="1"/>
      <c r="C362" s="2"/>
      <c r="D362" s="2"/>
      <c r="E362" s="2"/>
      <c r="F362" s="2"/>
      <c r="G362" s="2"/>
      <c r="H362" s="3"/>
      <c r="I362" s="1"/>
    </row>
    <row r="363" spans="2:9" x14ac:dyDescent="0.15">
      <c r="B363" s="1"/>
      <c r="C363" s="2"/>
      <c r="D363" s="2"/>
      <c r="E363" s="2"/>
      <c r="F363" s="2"/>
      <c r="G363" s="2"/>
      <c r="H363" s="3"/>
      <c r="I363" s="1"/>
    </row>
    <row r="364" spans="2:9" x14ac:dyDescent="0.15">
      <c r="B364" s="1"/>
      <c r="C364" s="2"/>
      <c r="D364" s="2"/>
      <c r="E364" s="2"/>
      <c r="F364" s="2"/>
      <c r="G364" s="2"/>
      <c r="H364" s="3"/>
      <c r="I364" s="1"/>
    </row>
    <row r="365" spans="2:9" x14ac:dyDescent="0.15">
      <c r="B365" s="1"/>
      <c r="C365" s="2"/>
      <c r="D365" s="2"/>
      <c r="E365" s="2"/>
      <c r="F365" s="2"/>
      <c r="G365" s="2"/>
      <c r="H365" s="3"/>
      <c r="I365" s="1"/>
    </row>
    <row r="366" spans="2:9" x14ac:dyDescent="0.15">
      <c r="B366" s="1"/>
      <c r="C366" s="2"/>
      <c r="D366" s="2"/>
      <c r="E366" s="2"/>
      <c r="F366" s="2"/>
      <c r="G366" s="2"/>
      <c r="H366" s="3"/>
      <c r="I366" s="1"/>
    </row>
    <row r="367" spans="2:9" x14ac:dyDescent="0.15">
      <c r="B367" s="1"/>
      <c r="C367" s="2"/>
      <c r="D367" s="2"/>
      <c r="E367" s="2"/>
      <c r="F367" s="2"/>
      <c r="G367" s="2"/>
      <c r="H367" s="3"/>
      <c r="I367" s="1"/>
    </row>
    <row r="368" spans="2:9" x14ac:dyDescent="0.15">
      <c r="B368" s="1"/>
      <c r="C368" s="2"/>
      <c r="D368" s="2"/>
      <c r="E368" s="2"/>
      <c r="F368" s="2"/>
      <c r="G368" s="2"/>
      <c r="H368" s="3"/>
      <c r="I368" s="1"/>
    </row>
    <row r="369" spans="1:9" x14ac:dyDescent="0.15">
      <c r="B369" s="1"/>
      <c r="C369" s="2"/>
      <c r="D369" s="2"/>
      <c r="E369" s="2"/>
      <c r="F369" s="2"/>
      <c r="G369" s="2"/>
      <c r="H369" s="3"/>
      <c r="I369" s="1"/>
    </row>
    <row r="370" spans="1:9" x14ac:dyDescent="0.15">
      <c r="B370" s="1"/>
      <c r="C370" s="2"/>
      <c r="D370" s="2"/>
      <c r="E370" s="2"/>
      <c r="F370" s="2"/>
      <c r="G370" s="2"/>
      <c r="H370" s="3"/>
      <c r="I370" s="1"/>
    </row>
    <row r="371" spans="1:9" x14ac:dyDescent="0.15">
      <c r="A371" s="12"/>
      <c r="B371" s="17"/>
      <c r="C371" s="18"/>
      <c r="D371" s="18"/>
      <c r="E371" s="18"/>
      <c r="F371" s="18"/>
      <c r="G371" s="18"/>
      <c r="H371" s="3"/>
      <c r="I371" s="17"/>
    </row>
    <row r="372" spans="1:9" x14ac:dyDescent="0.15">
      <c r="B372" s="1"/>
      <c r="C372" s="2"/>
      <c r="D372" s="2"/>
      <c r="E372" s="2"/>
      <c r="F372" s="2"/>
      <c r="G372" s="2"/>
      <c r="H372" s="3"/>
      <c r="I372" s="1"/>
    </row>
    <row r="373" spans="1:9" x14ac:dyDescent="0.15">
      <c r="B373" s="1"/>
      <c r="C373" s="2"/>
      <c r="D373" s="2"/>
      <c r="E373" s="2"/>
      <c r="F373" s="2"/>
      <c r="G373" s="2"/>
      <c r="H373" s="3"/>
      <c r="I373" s="1"/>
    </row>
    <row r="374" spans="1:9" x14ac:dyDescent="0.15">
      <c r="B374" s="1"/>
      <c r="C374" s="2"/>
      <c r="D374" s="2"/>
      <c r="E374" s="2"/>
      <c r="F374" s="2"/>
      <c r="G374" s="2"/>
      <c r="H374" s="3"/>
      <c r="I374" s="1"/>
    </row>
    <row r="375" spans="1:9" x14ac:dyDescent="0.15">
      <c r="B375" s="1"/>
      <c r="C375" s="2"/>
      <c r="D375" s="2"/>
      <c r="E375" s="2"/>
      <c r="F375" s="2"/>
      <c r="G375" s="2"/>
      <c r="H375" s="3"/>
      <c r="I375" s="1"/>
    </row>
    <row r="376" spans="1:9" x14ac:dyDescent="0.15">
      <c r="B376" s="1"/>
      <c r="C376" s="2"/>
      <c r="D376" s="2"/>
      <c r="E376" s="2"/>
      <c r="F376" s="2"/>
      <c r="G376" s="2"/>
      <c r="H376" s="3"/>
      <c r="I376" s="1"/>
    </row>
    <row r="377" spans="1:9" x14ac:dyDescent="0.15">
      <c r="B377" s="1"/>
      <c r="C377" s="2"/>
      <c r="D377" s="2"/>
      <c r="E377" s="2"/>
      <c r="F377" s="2"/>
      <c r="G377" s="2"/>
      <c r="H377" s="3"/>
      <c r="I377" s="1"/>
    </row>
    <row r="378" spans="1:9" x14ac:dyDescent="0.15">
      <c r="B378" s="1"/>
      <c r="C378" s="2"/>
      <c r="D378" s="2"/>
      <c r="E378" s="2"/>
      <c r="F378" s="2"/>
      <c r="G378" s="2"/>
      <c r="H378" s="3"/>
      <c r="I378" s="1"/>
    </row>
    <row r="379" spans="1:9" x14ac:dyDescent="0.15">
      <c r="B379" s="1"/>
      <c r="C379" s="2"/>
      <c r="D379" s="2"/>
      <c r="E379" s="2"/>
      <c r="F379" s="2"/>
      <c r="G379" s="2"/>
      <c r="H379" s="3"/>
      <c r="I379" s="1"/>
    </row>
    <row r="380" spans="1:9" x14ac:dyDescent="0.15">
      <c r="B380" s="1"/>
      <c r="C380" s="2"/>
      <c r="D380" s="2"/>
      <c r="E380" s="2"/>
      <c r="F380" s="2"/>
      <c r="G380" s="2"/>
      <c r="H380" s="3"/>
      <c r="I380" s="1"/>
    </row>
    <row r="381" spans="1:9" x14ac:dyDescent="0.15">
      <c r="B381" s="1"/>
      <c r="C381" s="2"/>
      <c r="D381" s="2"/>
      <c r="E381" s="2"/>
      <c r="F381" s="2"/>
      <c r="G381" s="2"/>
      <c r="H381" s="3"/>
      <c r="I381" s="1"/>
    </row>
    <row r="382" spans="1:9" x14ac:dyDescent="0.15">
      <c r="B382" s="1"/>
      <c r="C382" s="2"/>
      <c r="D382" s="2"/>
      <c r="E382" s="2"/>
      <c r="F382" s="2"/>
      <c r="G382" s="2"/>
      <c r="H382" s="3"/>
      <c r="I382" s="1"/>
    </row>
    <row r="383" spans="1:9" x14ac:dyDescent="0.15">
      <c r="B383" s="1"/>
      <c r="C383" s="2"/>
      <c r="D383" s="2"/>
      <c r="E383" s="2"/>
      <c r="F383" s="2"/>
      <c r="G383" s="2"/>
      <c r="H383" s="3"/>
      <c r="I383" s="1"/>
    </row>
    <row r="384" spans="1:9" x14ac:dyDescent="0.15">
      <c r="B384" s="1"/>
      <c r="C384" s="2"/>
      <c r="D384" s="2"/>
      <c r="E384" s="2"/>
      <c r="F384" s="2"/>
      <c r="G384" s="2"/>
      <c r="H384" s="3"/>
      <c r="I384" s="1"/>
    </row>
    <row r="385" spans="2:9" x14ac:dyDescent="0.15">
      <c r="B385" s="1"/>
      <c r="C385" s="2"/>
      <c r="D385" s="2"/>
      <c r="E385" s="2"/>
      <c r="F385" s="2"/>
      <c r="G385" s="2"/>
      <c r="H385" s="3"/>
      <c r="I385" s="1"/>
    </row>
    <row r="386" spans="2:9" x14ac:dyDescent="0.15">
      <c r="B386" s="1"/>
      <c r="C386" s="2"/>
      <c r="D386" s="2"/>
      <c r="E386" s="2"/>
      <c r="F386" s="2"/>
      <c r="G386" s="2"/>
      <c r="H386" s="3"/>
      <c r="I386" s="1"/>
    </row>
    <row r="387" spans="2:9" x14ac:dyDescent="0.15">
      <c r="B387" s="1"/>
      <c r="C387" s="2"/>
      <c r="D387" s="2"/>
      <c r="E387" s="2"/>
      <c r="F387" s="2"/>
      <c r="G387" s="2"/>
      <c r="H387" s="3"/>
      <c r="I387" s="1"/>
    </row>
    <row r="388" spans="2:9" x14ac:dyDescent="0.15">
      <c r="B388" s="1"/>
      <c r="C388" s="2"/>
      <c r="D388" s="2"/>
      <c r="E388" s="2"/>
      <c r="F388" s="2"/>
      <c r="G388" s="2"/>
      <c r="H388" s="3"/>
      <c r="I388" s="1"/>
    </row>
    <row r="389" spans="2:9" x14ac:dyDescent="0.15">
      <c r="B389" s="1"/>
      <c r="C389" s="2"/>
      <c r="D389" s="2"/>
      <c r="E389" s="2"/>
      <c r="F389" s="2"/>
      <c r="G389" s="2"/>
      <c r="H389" s="3"/>
      <c r="I389" s="1"/>
    </row>
    <row r="390" spans="2:9" x14ac:dyDescent="0.15">
      <c r="B390" s="1"/>
      <c r="C390" s="2"/>
      <c r="D390" s="2"/>
      <c r="E390" s="2"/>
      <c r="F390" s="2"/>
      <c r="G390" s="2"/>
      <c r="H390" s="3"/>
      <c r="I390" s="1"/>
    </row>
    <row r="391" spans="2:9" x14ac:dyDescent="0.15">
      <c r="B391" s="1"/>
      <c r="C391" s="2"/>
      <c r="D391" s="2"/>
      <c r="E391" s="2"/>
      <c r="F391" s="2"/>
      <c r="G391" s="2"/>
      <c r="H391" s="3"/>
      <c r="I391" s="1"/>
    </row>
    <row r="392" spans="2:9" x14ac:dyDescent="0.15">
      <c r="B392" s="1"/>
      <c r="C392" s="2"/>
      <c r="D392" s="2"/>
      <c r="E392" s="2"/>
      <c r="F392" s="2"/>
      <c r="G392" s="2"/>
      <c r="H392" s="3"/>
      <c r="I392" s="1"/>
    </row>
    <row r="393" spans="2:9" x14ac:dyDescent="0.15">
      <c r="B393" s="1"/>
      <c r="C393" s="2"/>
      <c r="D393" s="2"/>
      <c r="E393" s="2"/>
      <c r="F393" s="2"/>
      <c r="G393" s="2"/>
      <c r="H393" s="3"/>
      <c r="I393" s="1"/>
    </row>
    <row r="394" spans="2:9" x14ac:dyDescent="0.15">
      <c r="B394" s="1"/>
      <c r="C394" s="2"/>
      <c r="D394" s="2"/>
      <c r="E394" s="2"/>
      <c r="F394" s="2"/>
      <c r="G394" s="2"/>
      <c r="H394" s="3"/>
      <c r="I394" s="1"/>
    </row>
    <row r="395" spans="2:9" x14ac:dyDescent="0.15">
      <c r="B395" s="1"/>
      <c r="C395" s="2"/>
      <c r="D395" s="2"/>
      <c r="E395" s="2"/>
      <c r="F395" s="2"/>
      <c r="G395" s="2"/>
      <c r="H395" s="3"/>
      <c r="I395" s="1"/>
    </row>
    <row r="396" spans="2:9" x14ac:dyDescent="0.15">
      <c r="B396" s="1"/>
      <c r="C396" s="2"/>
      <c r="D396" s="2"/>
      <c r="E396" s="2"/>
      <c r="F396" s="2"/>
      <c r="G396" s="2"/>
      <c r="H396" s="3"/>
      <c r="I396" s="1"/>
    </row>
    <row r="397" spans="2:9" x14ac:dyDescent="0.15">
      <c r="B397" s="1"/>
      <c r="C397" s="2"/>
      <c r="D397" s="2"/>
      <c r="E397" s="2"/>
      <c r="F397" s="2"/>
      <c r="G397" s="2"/>
      <c r="H397" s="3"/>
      <c r="I397" s="1"/>
    </row>
    <row r="398" spans="2:9" x14ac:dyDescent="0.15">
      <c r="B398" s="1"/>
      <c r="C398" s="2"/>
      <c r="D398" s="2"/>
      <c r="E398" s="2"/>
      <c r="F398" s="2"/>
      <c r="G398" s="2"/>
      <c r="H398" s="3"/>
      <c r="I398" s="1"/>
    </row>
    <row r="399" spans="2:9" x14ac:dyDescent="0.15">
      <c r="B399" s="1"/>
      <c r="C399" s="2"/>
      <c r="D399" s="2"/>
      <c r="E399" s="2"/>
      <c r="F399" s="2"/>
      <c r="G399" s="2"/>
      <c r="H399" s="3"/>
      <c r="I399" s="1"/>
    </row>
    <row r="400" spans="2:9" x14ac:dyDescent="0.15">
      <c r="B400" s="1"/>
      <c r="C400" s="2"/>
      <c r="D400" s="2"/>
      <c r="E400" s="2"/>
      <c r="F400" s="2"/>
      <c r="G400" s="2"/>
      <c r="H400" s="3"/>
      <c r="I400" s="1"/>
    </row>
    <row r="401" spans="2:9" x14ac:dyDescent="0.15">
      <c r="B401" s="1"/>
      <c r="C401" s="2"/>
      <c r="D401" s="2"/>
      <c r="E401" s="2"/>
      <c r="F401" s="2"/>
      <c r="G401" s="2"/>
      <c r="H401" s="3"/>
      <c r="I401" s="1"/>
    </row>
    <row r="402" spans="2:9" x14ac:dyDescent="0.15">
      <c r="B402" s="1"/>
      <c r="C402" s="2"/>
      <c r="D402" s="2"/>
      <c r="E402" s="2"/>
      <c r="F402" s="2"/>
      <c r="G402" s="2"/>
      <c r="H402" s="3"/>
      <c r="I402" s="1"/>
    </row>
    <row r="403" spans="2:9" x14ac:dyDescent="0.15">
      <c r="B403" s="1"/>
      <c r="C403" s="2"/>
      <c r="D403" s="2"/>
      <c r="E403" s="2"/>
      <c r="F403" s="2"/>
      <c r="G403" s="2"/>
      <c r="H403" s="3"/>
      <c r="I403" s="1"/>
    </row>
    <row r="404" spans="2:9" x14ac:dyDescent="0.15">
      <c r="B404" s="1"/>
      <c r="C404" s="2"/>
      <c r="D404" s="2"/>
      <c r="E404" s="2"/>
      <c r="F404" s="2"/>
      <c r="G404" s="2"/>
      <c r="H404" s="3"/>
      <c r="I404" s="1"/>
    </row>
    <row r="405" spans="2:9" x14ac:dyDescent="0.15">
      <c r="B405" s="1"/>
      <c r="C405" s="2"/>
      <c r="D405" s="2"/>
      <c r="E405" s="2"/>
      <c r="F405" s="2"/>
      <c r="G405" s="2"/>
      <c r="H405" s="3"/>
      <c r="I405" s="1"/>
    </row>
    <row r="406" spans="2:9" x14ac:dyDescent="0.15">
      <c r="B406" s="1"/>
      <c r="C406" s="2"/>
      <c r="D406" s="2"/>
      <c r="E406" s="2"/>
      <c r="F406" s="2"/>
      <c r="G406" s="2"/>
      <c r="H406" s="3"/>
      <c r="I406" s="1"/>
    </row>
    <row r="407" spans="2:9" x14ac:dyDescent="0.15">
      <c r="B407" s="1"/>
      <c r="C407" s="2"/>
      <c r="D407" s="2"/>
      <c r="E407" s="2"/>
      <c r="F407" s="2"/>
      <c r="G407" s="2"/>
      <c r="H407" s="3"/>
      <c r="I407" s="1"/>
    </row>
    <row r="408" spans="2:9" x14ac:dyDescent="0.15">
      <c r="B408" s="1"/>
      <c r="C408" s="2"/>
      <c r="D408" s="2"/>
      <c r="E408" s="2"/>
      <c r="F408" s="2"/>
      <c r="G408" s="2"/>
      <c r="H408" s="3"/>
      <c r="I408" s="1"/>
    </row>
    <row r="409" spans="2:9" x14ac:dyDescent="0.15">
      <c r="B409" s="1"/>
      <c r="C409" s="2"/>
      <c r="D409" s="2"/>
      <c r="E409" s="2"/>
      <c r="F409" s="2"/>
      <c r="G409" s="2"/>
      <c r="H409" s="3"/>
      <c r="I409" s="1"/>
    </row>
    <row r="410" spans="2:9" x14ac:dyDescent="0.15">
      <c r="B410" s="1"/>
      <c r="C410" s="2"/>
      <c r="D410" s="2"/>
      <c r="E410" s="2"/>
      <c r="F410" s="2"/>
      <c r="G410" s="2"/>
      <c r="H410" s="3"/>
      <c r="I410" s="1"/>
    </row>
    <row r="411" spans="2:9" x14ac:dyDescent="0.15">
      <c r="B411" s="1"/>
      <c r="C411" s="2"/>
      <c r="D411" s="2"/>
      <c r="E411" s="2"/>
      <c r="F411" s="2"/>
      <c r="G411" s="2"/>
      <c r="H411" s="3"/>
      <c r="I411" s="1"/>
    </row>
    <row r="412" spans="2:9" x14ac:dyDescent="0.15">
      <c r="B412" s="1"/>
      <c r="C412" s="2"/>
      <c r="D412" s="2"/>
      <c r="E412" s="2"/>
      <c r="F412" s="2"/>
      <c r="G412" s="2"/>
      <c r="H412" s="3"/>
      <c r="I412" s="1"/>
    </row>
    <row r="413" spans="2:9" x14ac:dyDescent="0.15">
      <c r="B413" s="1"/>
      <c r="C413" s="2"/>
      <c r="D413" s="2"/>
      <c r="E413" s="2"/>
      <c r="F413" s="2"/>
      <c r="G413" s="2"/>
      <c r="H413" s="3"/>
      <c r="I413" s="1"/>
    </row>
    <row r="414" spans="2:9" x14ac:dyDescent="0.15">
      <c r="B414" s="1"/>
      <c r="C414" s="2"/>
      <c r="D414" s="2"/>
      <c r="E414" s="2"/>
      <c r="F414" s="2"/>
      <c r="G414" s="2"/>
      <c r="H414" s="3"/>
      <c r="I414" s="1"/>
    </row>
    <row r="415" spans="2:9" x14ac:dyDescent="0.15">
      <c r="B415" s="1"/>
      <c r="C415" s="2"/>
      <c r="D415" s="2"/>
      <c r="E415" s="2"/>
      <c r="F415" s="2"/>
      <c r="G415" s="2"/>
      <c r="H415" s="3"/>
      <c r="I415" s="1"/>
    </row>
    <row r="416" spans="2:9" x14ac:dyDescent="0.15">
      <c r="B416" s="1"/>
      <c r="C416" s="2"/>
      <c r="D416" s="2"/>
      <c r="E416" s="2"/>
      <c r="F416" s="2"/>
      <c r="G416" s="2"/>
      <c r="H416" s="3"/>
      <c r="I416" s="1"/>
    </row>
    <row r="417" spans="2:9" x14ac:dyDescent="0.15">
      <c r="B417" s="1"/>
      <c r="C417" s="2"/>
      <c r="D417" s="2"/>
      <c r="E417" s="2"/>
      <c r="F417" s="2"/>
      <c r="G417" s="2"/>
      <c r="H417" s="3"/>
      <c r="I417" s="1"/>
    </row>
    <row r="418" spans="2:9" x14ac:dyDescent="0.15">
      <c r="B418" s="1"/>
      <c r="C418" s="2"/>
      <c r="D418" s="2"/>
      <c r="E418" s="2"/>
      <c r="F418" s="2"/>
      <c r="G418" s="2"/>
      <c r="H418" s="3"/>
      <c r="I418" s="1"/>
    </row>
    <row r="419" spans="2:9" x14ac:dyDescent="0.15">
      <c r="B419" s="1"/>
      <c r="C419" s="2"/>
      <c r="D419" s="2"/>
      <c r="E419" s="2"/>
      <c r="F419" s="2"/>
      <c r="G419" s="2"/>
      <c r="H419" s="3"/>
      <c r="I419" s="1"/>
    </row>
    <row r="420" spans="2:9" x14ac:dyDescent="0.15">
      <c r="B420" s="1"/>
      <c r="C420" s="2"/>
      <c r="D420" s="2"/>
      <c r="E420" s="2"/>
      <c r="F420" s="2"/>
      <c r="G420" s="2"/>
      <c r="H420" s="3"/>
      <c r="I420" s="1"/>
    </row>
    <row r="421" spans="2:9" x14ac:dyDescent="0.15">
      <c r="B421" s="1"/>
      <c r="C421" s="2"/>
      <c r="D421" s="2"/>
      <c r="E421" s="2"/>
      <c r="F421" s="2"/>
      <c r="G421" s="2"/>
      <c r="H421" s="3"/>
      <c r="I421" s="1"/>
    </row>
    <row r="422" spans="2:9" x14ac:dyDescent="0.15">
      <c r="B422" s="1"/>
      <c r="C422" s="2"/>
      <c r="D422" s="2"/>
      <c r="E422" s="2"/>
      <c r="F422" s="2"/>
      <c r="G422" s="2"/>
      <c r="H422" s="3"/>
      <c r="I422" s="1"/>
    </row>
    <row r="423" spans="2:9" x14ac:dyDescent="0.15">
      <c r="B423" s="1"/>
      <c r="C423" s="2"/>
      <c r="D423" s="2"/>
      <c r="E423" s="2"/>
      <c r="F423" s="2"/>
      <c r="G423" s="2"/>
      <c r="H423" s="3"/>
      <c r="I423" s="1"/>
    </row>
    <row r="424" spans="2:9" x14ac:dyDescent="0.15">
      <c r="B424" s="1"/>
      <c r="C424" s="2"/>
      <c r="D424" s="2"/>
      <c r="E424" s="2"/>
      <c r="F424" s="2"/>
      <c r="G424" s="2"/>
      <c r="H424" s="3"/>
      <c r="I424" s="1"/>
    </row>
    <row r="425" spans="2:9" x14ac:dyDescent="0.15">
      <c r="B425" s="1"/>
      <c r="C425" s="2"/>
      <c r="D425" s="2"/>
      <c r="E425" s="2"/>
      <c r="F425" s="2"/>
      <c r="G425" s="2"/>
      <c r="H425" s="3"/>
      <c r="I425" s="1"/>
    </row>
    <row r="426" spans="2:9" x14ac:dyDescent="0.15">
      <c r="B426" s="1"/>
      <c r="C426" s="2"/>
      <c r="D426" s="2"/>
      <c r="E426" s="2"/>
      <c r="F426" s="2"/>
      <c r="G426" s="2"/>
      <c r="H426" s="3"/>
      <c r="I426" s="1"/>
    </row>
    <row r="427" spans="2:9" x14ac:dyDescent="0.15">
      <c r="B427" s="1"/>
      <c r="C427" s="2"/>
      <c r="D427" s="2"/>
      <c r="E427" s="2"/>
      <c r="F427" s="2"/>
      <c r="G427" s="2"/>
      <c r="H427" s="3"/>
      <c r="I427" s="1"/>
    </row>
    <row r="428" spans="2:9" x14ac:dyDescent="0.15">
      <c r="B428" s="1"/>
      <c r="C428" s="2"/>
      <c r="D428" s="2"/>
      <c r="E428" s="2"/>
      <c r="F428" s="2"/>
      <c r="G428" s="2"/>
      <c r="H428" s="3"/>
      <c r="I428" s="1"/>
    </row>
    <row r="429" spans="2:9" x14ac:dyDescent="0.15">
      <c r="B429" s="1"/>
      <c r="C429" s="2"/>
      <c r="D429" s="2"/>
      <c r="E429" s="2"/>
      <c r="F429" s="2"/>
      <c r="G429" s="2"/>
      <c r="H429" s="3"/>
      <c r="I429" s="1"/>
    </row>
    <row r="430" spans="2:9" x14ac:dyDescent="0.15">
      <c r="B430" s="1"/>
      <c r="C430" s="2"/>
      <c r="D430" s="2"/>
      <c r="E430" s="2"/>
      <c r="F430" s="2"/>
      <c r="G430" s="2"/>
      <c r="H430" s="3"/>
      <c r="I430" s="1"/>
    </row>
    <row r="431" spans="2:9" x14ac:dyDescent="0.15">
      <c r="B431" s="1"/>
      <c r="C431" s="2"/>
      <c r="D431" s="2"/>
      <c r="E431" s="2"/>
      <c r="F431" s="2"/>
      <c r="G431" s="2"/>
      <c r="H431" s="3"/>
      <c r="I431" s="1"/>
    </row>
    <row r="432" spans="2:9" x14ac:dyDescent="0.15">
      <c r="B432" s="1"/>
      <c r="C432" s="2"/>
      <c r="D432" s="2"/>
      <c r="E432" s="2"/>
      <c r="F432" s="2"/>
      <c r="G432" s="2"/>
      <c r="H432" s="3"/>
      <c r="I432" s="1"/>
    </row>
    <row r="433" spans="2:9" x14ac:dyDescent="0.15">
      <c r="B433" s="1"/>
      <c r="C433" s="2"/>
      <c r="D433" s="2"/>
      <c r="E433" s="2"/>
      <c r="F433" s="2"/>
      <c r="G433" s="2"/>
      <c r="H433" s="3"/>
      <c r="I433" s="1"/>
    </row>
    <row r="434" spans="2:9" x14ac:dyDescent="0.15">
      <c r="B434" s="1"/>
      <c r="C434" s="2"/>
      <c r="D434" s="2"/>
      <c r="E434" s="2"/>
      <c r="F434" s="2"/>
      <c r="G434" s="2"/>
      <c r="H434" s="3"/>
      <c r="I434" s="1"/>
    </row>
    <row r="435" spans="2:9" x14ac:dyDescent="0.15">
      <c r="B435" s="1"/>
      <c r="C435" s="2"/>
      <c r="D435" s="2"/>
      <c r="E435" s="2"/>
      <c r="F435" s="2"/>
      <c r="G435" s="2"/>
      <c r="H435" s="3"/>
      <c r="I435" s="1"/>
    </row>
    <row r="436" spans="2:9" x14ac:dyDescent="0.15">
      <c r="B436" s="1"/>
      <c r="C436" s="2"/>
      <c r="D436" s="2"/>
      <c r="E436" s="2"/>
      <c r="F436" s="2"/>
      <c r="G436" s="2"/>
      <c r="H436" s="3"/>
      <c r="I436" s="1"/>
    </row>
    <row r="437" spans="2:9" x14ac:dyDescent="0.15">
      <c r="B437" s="1"/>
      <c r="C437" s="2"/>
      <c r="D437" s="2"/>
      <c r="E437" s="2"/>
      <c r="F437" s="2"/>
      <c r="G437" s="2"/>
      <c r="H437" s="3"/>
      <c r="I437" s="1"/>
    </row>
    <row r="438" spans="2:9" x14ac:dyDescent="0.15">
      <c r="B438" s="1"/>
      <c r="C438" s="2"/>
      <c r="D438" s="2"/>
      <c r="E438" s="2"/>
      <c r="F438" s="2"/>
      <c r="G438" s="2"/>
      <c r="H438" s="3"/>
      <c r="I438" s="1"/>
    </row>
    <row r="439" spans="2:9" x14ac:dyDescent="0.15">
      <c r="B439" s="1"/>
      <c r="C439" s="2"/>
      <c r="D439" s="2"/>
      <c r="E439" s="2"/>
      <c r="F439" s="2"/>
      <c r="G439" s="2"/>
      <c r="H439" s="3"/>
      <c r="I439" s="1"/>
    </row>
    <row r="440" spans="2:9" x14ac:dyDescent="0.15">
      <c r="B440" s="1"/>
      <c r="C440" s="2"/>
      <c r="D440" s="2"/>
      <c r="E440" s="2"/>
      <c r="F440" s="2"/>
      <c r="G440" s="2"/>
      <c r="H440" s="3"/>
      <c r="I440" s="1"/>
    </row>
    <row r="441" spans="2:9" x14ac:dyDescent="0.15">
      <c r="B441" s="1"/>
      <c r="C441" s="2"/>
      <c r="D441" s="2"/>
      <c r="E441" s="2"/>
      <c r="F441" s="2"/>
      <c r="G441" s="2"/>
      <c r="H441" s="3"/>
      <c r="I441" s="1"/>
    </row>
    <row r="442" spans="2:9" x14ac:dyDescent="0.15">
      <c r="B442" s="1"/>
      <c r="C442" s="2"/>
      <c r="D442" s="2"/>
      <c r="E442" s="2"/>
      <c r="F442" s="2"/>
      <c r="G442" s="2"/>
      <c r="H442" s="3"/>
      <c r="I442" s="1"/>
    </row>
    <row r="443" spans="2:9" x14ac:dyDescent="0.15">
      <c r="B443" s="1"/>
      <c r="C443" s="2"/>
      <c r="D443" s="2"/>
      <c r="E443" s="2"/>
      <c r="F443" s="2"/>
      <c r="G443" s="2"/>
      <c r="H443" s="3"/>
      <c r="I443" s="1"/>
    </row>
    <row r="444" spans="2:9" x14ac:dyDescent="0.15">
      <c r="B444" s="1"/>
      <c r="C444" s="2"/>
      <c r="D444" s="2"/>
      <c r="E444" s="2"/>
      <c r="F444" s="2"/>
      <c r="G444" s="2"/>
      <c r="H444" s="3"/>
      <c r="I444" s="1"/>
    </row>
    <row r="445" spans="2:9" x14ac:dyDescent="0.15">
      <c r="B445" s="1"/>
      <c r="C445" s="2"/>
      <c r="D445" s="2"/>
      <c r="E445" s="2"/>
      <c r="F445" s="2"/>
      <c r="G445" s="2"/>
      <c r="H445" s="3"/>
      <c r="I445" s="1"/>
    </row>
    <row r="446" spans="2:9" x14ac:dyDescent="0.15">
      <c r="B446" s="1"/>
      <c r="C446" s="2"/>
      <c r="D446" s="2"/>
      <c r="E446" s="2"/>
      <c r="F446" s="2"/>
      <c r="G446" s="2"/>
      <c r="H446" s="3"/>
      <c r="I446" s="1"/>
    </row>
    <row r="447" spans="2:9" x14ac:dyDescent="0.15">
      <c r="B447" s="1"/>
      <c r="C447" s="2"/>
      <c r="D447" s="2"/>
      <c r="E447" s="2"/>
      <c r="F447" s="2"/>
      <c r="G447" s="2"/>
      <c r="H447" s="3"/>
      <c r="I447" s="1"/>
    </row>
    <row r="448" spans="2:9" x14ac:dyDescent="0.15">
      <c r="B448" s="1"/>
      <c r="C448" s="2"/>
      <c r="D448" s="2"/>
      <c r="E448" s="2"/>
      <c r="F448" s="2"/>
      <c r="G448" s="2"/>
      <c r="H448" s="3"/>
      <c r="I448" s="1"/>
    </row>
    <row r="449" spans="2:9" x14ac:dyDescent="0.15">
      <c r="B449" s="1"/>
      <c r="C449" s="2"/>
      <c r="D449" s="2"/>
      <c r="E449" s="2"/>
      <c r="F449" s="2"/>
      <c r="G449" s="2"/>
      <c r="H449" s="3"/>
      <c r="I449" s="1"/>
    </row>
    <row r="450" spans="2:9" x14ac:dyDescent="0.15">
      <c r="B450" s="1"/>
      <c r="C450" s="2"/>
      <c r="D450" s="2"/>
      <c r="E450" s="2"/>
      <c r="F450" s="2"/>
      <c r="G450" s="2"/>
      <c r="H450" s="3"/>
      <c r="I450" s="1"/>
    </row>
    <row r="451" spans="2:9" x14ac:dyDescent="0.15">
      <c r="B451" s="1"/>
      <c r="C451" s="2"/>
      <c r="D451" s="2"/>
      <c r="E451" s="2"/>
      <c r="F451" s="2"/>
      <c r="G451" s="2"/>
      <c r="H451" s="3"/>
      <c r="I451" s="1"/>
    </row>
    <row r="452" spans="2:9" x14ac:dyDescent="0.15">
      <c r="B452" s="1"/>
      <c r="C452" s="2"/>
      <c r="D452" s="2"/>
      <c r="E452" s="2"/>
      <c r="F452" s="2"/>
      <c r="G452" s="2"/>
      <c r="H452" s="3"/>
      <c r="I452" s="1"/>
    </row>
    <row r="453" spans="2:9" x14ac:dyDescent="0.15">
      <c r="B453" s="1"/>
      <c r="C453" s="2"/>
      <c r="D453" s="2"/>
      <c r="E453" s="2"/>
      <c r="F453" s="2"/>
      <c r="G453" s="2"/>
      <c r="H453" s="3"/>
      <c r="I453" s="1"/>
    </row>
    <row r="454" spans="2:9" x14ac:dyDescent="0.15">
      <c r="B454" s="1"/>
      <c r="C454" s="2"/>
      <c r="D454" s="2"/>
      <c r="E454" s="2"/>
      <c r="F454" s="2"/>
      <c r="G454" s="2"/>
      <c r="H454" s="3"/>
      <c r="I454" s="1"/>
    </row>
    <row r="455" spans="2:9" x14ac:dyDescent="0.15">
      <c r="B455" s="1"/>
      <c r="C455" s="2"/>
      <c r="D455" s="2"/>
      <c r="E455" s="2"/>
      <c r="F455" s="2"/>
      <c r="G455" s="2"/>
      <c r="H455" s="3"/>
      <c r="I455" s="1"/>
    </row>
    <row r="456" spans="2:9" x14ac:dyDescent="0.15">
      <c r="B456" s="1"/>
      <c r="C456" s="2"/>
      <c r="D456" s="2"/>
      <c r="E456" s="2"/>
      <c r="F456" s="2"/>
      <c r="G456" s="2"/>
      <c r="H456" s="3"/>
      <c r="I456" s="1"/>
    </row>
    <row r="457" spans="2:9" x14ac:dyDescent="0.15">
      <c r="B457" s="1"/>
      <c r="C457" s="2"/>
      <c r="D457" s="2"/>
      <c r="E457" s="2"/>
      <c r="F457" s="2"/>
      <c r="G457" s="2"/>
      <c r="H457" s="3"/>
      <c r="I457" s="1"/>
    </row>
    <row r="458" spans="2:9" x14ac:dyDescent="0.15">
      <c r="B458" s="1"/>
      <c r="C458" s="2"/>
      <c r="D458" s="2"/>
      <c r="E458" s="2"/>
      <c r="F458" s="2"/>
      <c r="G458" s="2"/>
      <c r="H458" s="3"/>
      <c r="I458" s="1"/>
    </row>
    <row r="459" spans="2:9" x14ac:dyDescent="0.15">
      <c r="B459" s="1"/>
      <c r="C459" s="2"/>
      <c r="D459" s="2"/>
      <c r="E459" s="2"/>
      <c r="F459" s="2"/>
      <c r="G459" s="2"/>
      <c r="H459" s="3"/>
      <c r="I459" s="1"/>
    </row>
    <row r="460" spans="2:9" x14ac:dyDescent="0.15">
      <c r="B460" s="1"/>
      <c r="C460" s="2"/>
      <c r="D460" s="2"/>
      <c r="E460" s="2"/>
      <c r="F460" s="2"/>
      <c r="G460" s="2"/>
      <c r="H460" s="3"/>
      <c r="I460" s="1"/>
    </row>
    <row r="461" spans="2:9" x14ac:dyDescent="0.15">
      <c r="B461" s="1"/>
      <c r="C461" s="2"/>
      <c r="D461" s="2"/>
      <c r="E461" s="2"/>
      <c r="F461" s="2"/>
      <c r="G461" s="2"/>
      <c r="H461" s="3"/>
      <c r="I461" s="1"/>
    </row>
    <row r="462" spans="2:9" x14ac:dyDescent="0.15">
      <c r="B462" s="1"/>
      <c r="C462" s="2"/>
      <c r="D462" s="2"/>
      <c r="E462" s="2"/>
      <c r="F462" s="2"/>
      <c r="G462" s="2"/>
      <c r="H462" s="3"/>
      <c r="I462" s="1"/>
    </row>
    <row r="463" spans="2:9" x14ac:dyDescent="0.15">
      <c r="B463" s="1"/>
      <c r="C463" s="2"/>
      <c r="D463" s="2"/>
      <c r="E463" s="2"/>
      <c r="F463" s="2"/>
      <c r="G463" s="2"/>
      <c r="H463" s="3"/>
      <c r="I463" s="1"/>
    </row>
    <row r="464" spans="2:9" x14ac:dyDescent="0.15">
      <c r="B464" s="1"/>
      <c r="C464" s="2"/>
      <c r="D464" s="2"/>
      <c r="E464" s="2"/>
      <c r="F464" s="2"/>
      <c r="G464" s="2"/>
      <c r="H464" s="3"/>
      <c r="I464" s="1"/>
    </row>
    <row r="465" spans="2:9" x14ac:dyDescent="0.15">
      <c r="B465" s="1"/>
      <c r="C465" s="2"/>
      <c r="D465" s="2"/>
      <c r="E465" s="2"/>
      <c r="F465" s="2"/>
      <c r="G465" s="2"/>
      <c r="H465" s="3"/>
      <c r="I465" s="1"/>
    </row>
    <row r="466" spans="2:9" x14ac:dyDescent="0.15">
      <c r="B466" s="1"/>
      <c r="C466" s="2"/>
      <c r="D466" s="2"/>
      <c r="E466" s="2"/>
      <c r="F466" s="2"/>
      <c r="G466" s="2"/>
      <c r="H466" s="3"/>
      <c r="I466" s="1"/>
    </row>
    <row r="467" spans="2:9" x14ac:dyDescent="0.15">
      <c r="B467" s="1"/>
      <c r="C467" s="2"/>
      <c r="D467" s="2"/>
      <c r="E467" s="2"/>
      <c r="F467" s="2"/>
      <c r="G467" s="2"/>
      <c r="H467" s="3"/>
      <c r="I467" s="1"/>
    </row>
    <row r="468" spans="2:9" x14ac:dyDescent="0.15">
      <c r="B468" s="1"/>
      <c r="C468" s="2"/>
      <c r="D468" s="2"/>
      <c r="E468" s="2"/>
      <c r="F468" s="2"/>
      <c r="G468" s="2"/>
      <c r="H468" s="3"/>
      <c r="I468" s="1"/>
    </row>
    <row r="469" spans="2:9" x14ac:dyDescent="0.15">
      <c r="B469" s="1"/>
      <c r="C469" s="2"/>
      <c r="D469" s="2"/>
      <c r="E469" s="2"/>
      <c r="F469" s="2"/>
      <c r="G469" s="2"/>
      <c r="H469" s="3"/>
      <c r="I469" s="1"/>
    </row>
    <row r="470" spans="2:9" x14ac:dyDescent="0.15">
      <c r="B470" s="1"/>
      <c r="C470" s="2"/>
      <c r="D470" s="2"/>
      <c r="E470" s="2"/>
      <c r="F470" s="2"/>
      <c r="G470" s="2"/>
      <c r="H470" s="3"/>
      <c r="I470" s="1"/>
    </row>
    <row r="471" spans="2:9" x14ac:dyDescent="0.15">
      <c r="B471" s="1"/>
      <c r="C471" s="2"/>
      <c r="D471" s="2"/>
      <c r="E471" s="2"/>
      <c r="F471" s="2"/>
      <c r="G471" s="2"/>
      <c r="H471" s="3"/>
      <c r="I471" s="1"/>
    </row>
    <row r="472" spans="2:9" x14ac:dyDescent="0.15">
      <c r="B472" s="1"/>
      <c r="C472" s="2"/>
      <c r="D472" s="2"/>
      <c r="E472" s="2"/>
      <c r="F472" s="2"/>
      <c r="G472" s="2"/>
      <c r="H472" s="3"/>
      <c r="I472" s="1"/>
    </row>
    <row r="473" spans="2:9" x14ac:dyDescent="0.15">
      <c r="B473" s="1"/>
      <c r="C473" s="2"/>
      <c r="D473" s="2"/>
      <c r="E473" s="2"/>
      <c r="F473" s="2"/>
      <c r="G473" s="2"/>
      <c r="H473" s="3"/>
      <c r="I473" s="1"/>
    </row>
    <row r="474" spans="2:9" x14ac:dyDescent="0.15">
      <c r="B474" s="1"/>
      <c r="C474" s="2"/>
      <c r="D474" s="2"/>
      <c r="E474" s="2"/>
      <c r="F474" s="2"/>
      <c r="G474" s="2"/>
      <c r="H474" s="3"/>
      <c r="I474" s="1"/>
    </row>
    <row r="475" spans="2:9" x14ac:dyDescent="0.15">
      <c r="B475" s="1"/>
      <c r="C475" s="2"/>
      <c r="D475" s="2"/>
      <c r="E475" s="2"/>
      <c r="F475" s="2"/>
      <c r="G475" s="2"/>
      <c r="H475" s="3"/>
      <c r="I475" s="1"/>
    </row>
    <row r="476" spans="2:9" x14ac:dyDescent="0.15">
      <c r="B476" s="1"/>
      <c r="C476" s="2"/>
      <c r="D476" s="2"/>
      <c r="E476" s="2"/>
      <c r="F476" s="2"/>
      <c r="G476" s="2"/>
      <c r="H476" s="3"/>
      <c r="I476" s="1"/>
    </row>
    <row r="477" spans="2:9" x14ac:dyDescent="0.15">
      <c r="B477" s="1"/>
      <c r="C477" s="2"/>
      <c r="D477" s="2"/>
      <c r="E477" s="2"/>
      <c r="F477" s="2"/>
      <c r="G477" s="2"/>
      <c r="H477" s="3"/>
      <c r="I477" s="1"/>
    </row>
    <row r="478" spans="2:9" x14ac:dyDescent="0.15">
      <c r="B478" s="1"/>
      <c r="C478" s="2"/>
      <c r="D478" s="2"/>
      <c r="E478" s="2"/>
      <c r="F478" s="2"/>
      <c r="G478" s="2"/>
      <c r="H478" s="3"/>
      <c r="I478" s="1"/>
    </row>
    <row r="479" spans="2:9" x14ac:dyDescent="0.15">
      <c r="B479" s="1"/>
      <c r="C479" s="2"/>
      <c r="D479" s="2"/>
      <c r="E479" s="2"/>
      <c r="F479" s="2"/>
      <c r="G479" s="2"/>
      <c r="H479" s="3"/>
      <c r="I479" s="1"/>
    </row>
    <row r="480" spans="2:9" x14ac:dyDescent="0.15">
      <c r="B480" s="1"/>
      <c r="C480" s="2"/>
      <c r="D480" s="2"/>
      <c r="E480" s="2"/>
      <c r="F480" s="2"/>
      <c r="G480" s="2"/>
      <c r="H480" s="3"/>
      <c r="I480" s="1"/>
    </row>
    <row r="481" spans="2:9" x14ac:dyDescent="0.15">
      <c r="B481" s="1"/>
      <c r="C481" s="2"/>
      <c r="D481" s="2"/>
      <c r="E481" s="2"/>
      <c r="F481" s="2"/>
      <c r="G481" s="2"/>
      <c r="H481" s="3"/>
      <c r="I481" s="1"/>
    </row>
    <row r="482" spans="2:9" x14ac:dyDescent="0.15">
      <c r="B482" s="1"/>
      <c r="C482" s="2"/>
      <c r="D482" s="2"/>
      <c r="E482" s="2"/>
      <c r="F482" s="2"/>
      <c r="G482" s="2"/>
      <c r="H482" s="3"/>
      <c r="I482" s="1"/>
    </row>
    <row r="483" spans="2:9" x14ac:dyDescent="0.15">
      <c r="B483" s="1"/>
      <c r="C483" s="2"/>
      <c r="D483" s="2"/>
      <c r="E483" s="2"/>
      <c r="F483" s="2"/>
      <c r="G483" s="2"/>
      <c r="H483" s="3"/>
      <c r="I483" s="1"/>
    </row>
    <row r="484" spans="2:9" x14ac:dyDescent="0.15">
      <c r="B484" s="1"/>
      <c r="C484" s="2"/>
      <c r="D484" s="2"/>
      <c r="E484" s="2"/>
      <c r="F484" s="2"/>
      <c r="G484" s="2"/>
      <c r="H484" s="3"/>
      <c r="I484" s="1"/>
    </row>
    <row r="485" spans="2:9" x14ac:dyDescent="0.15">
      <c r="B485" s="1"/>
      <c r="C485" s="2"/>
      <c r="D485" s="2"/>
      <c r="E485" s="2"/>
      <c r="F485" s="2"/>
      <c r="G485" s="2"/>
      <c r="H485" s="3"/>
      <c r="I485" s="1"/>
    </row>
    <row r="486" spans="2:9" x14ac:dyDescent="0.15">
      <c r="B486" s="1"/>
      <c r="C486" s="2"/>
      <c r="D486" s="2"/>
      <c r="E486" s="2"/>
      <c r="F486" s="2"/>
      <c r="G486" s="2"/>
      <c r="H486" s="3"/>
      <c r="I486" s="1"/>
    </row>
    <row r="487" spans="2:9" x14ac:dyDescent="0.15">
      <c r="B487" s="1"/>
      <c r="C487" s="2"/>
      <c r="D487" s="2"/>
      <c r="E487" s="2"/>
      <c r="F487" s="2"/>
      <c r="G487" s="2"/>
      <c r="H487" s="3"/>
      <c r="I487" s="1"/>
    </row>
    <row r="488" spans="2:9" x14ac:dyDescent="0.15">
      <c r="B488" s="1"/>
      <c r="C488" s="2"/>
      <c r="D488" s="2"/>
      <c r="E488" s="2"/>
      <c r="F488" s="2"/>
      <c r="G488" s="2"/>
      <c r="H488" s="3"/>
      <c r="I488" s="1"/>
    </row>
    <row r="489" spans="2:9" x14ac:dyDescent="0.15">
      <c r="B489" s="1"/>
      <c r="C489" s="2"/>
      <c r="D489" s="2"/>
      <c r="E489" s="2"/>
      <c r="F489" s="2"/>
      <c r="G489" s="2"/>
      <c r="H489" s="3"/>
      <c r="I489" s="1"/>
    </row>
    <row r="490" spans="2:9" x14ac:dyDescent="0.15">
      <c r="B490" s="1"/>
      <c r="C490" s="2"/>
      <c r="D490" s="2"/>
      <c r="E490" s="2"/>
      <c r="F490" s="2"/>
      <c r="G490" s="2"/>
      <c r="H490" s="3"/>
      <c r="I490" s="1"/>
    </row>
    <row r="491" spans="2:9" x14ac:dyDescent="0.15">
      <c r="B491" s="1"/>
      <c r="C491" s="2"/>
      <c r="D491" s="2"/>
      <c r="E491" s="2"/>
      <c r="F491" s="2"/>
      <c r="G491" s="2"/>
      <c r="H491" s="3"/>
      <c r="I491" s="1"/>
    </row>
    <row r="492" spans="2:9" x14ac:dyDescent="0.15">
      <c r="B492" s="1"/>
      <c r="C492" s="2"/>
      <c r="D492" s="2"/>
      <c r="E492" s="2"/>
      <c r="F492" s="2"/>
      <c r="G492" s="2"/>
      <c r="H492" s="3"/>
      <c r="I492" s="1"/>
    </row>
    <row r="493" spans="2:9" x14ac:dyDescent="0.15">
      <c r="B493" s="1"/>
      <c r="C493" s="2"/>
      <c r="D493" s="2"/>
      <c r="E493" s="2"/>
      <c r="F493" s="2"/>
      <c r="G493" s="2"/>
      <c r="H493" s="3"/>
      <c r="I493" s="1"/>
    </row>
    <row r="494" spans="2:9" x14ac:dyDescent="0.15">
      <c r="B494" s="1"/>
      <c r="C494" s="2"/>
      <c r="D494" s="2"/>
      <c r="E494" s="2"/>
      <c r="F494" s="2"/>
      <c r="G494" s="2"/>
      <c r="H494" s="3"/>
      <c r="I494" s="1"/>
    </row>
    <row r="495" spans="2:9" x14ac:dyDescent="0.15">
      <c r="B495" s="1"/>
      <c r="C495" s="2"/>
      <c r="D495" s="2"/>
      <c r="E495" s="2"/>
      <c r="F495" s="2"/>
      <c r="G495" s="2"/>
      <c r="H495" s="3"/>
      <c r="I495" s="1"/>
    </row>
    <row r="496" spans="2:9" x14ac:dyDescent="0.15">
      <c r="B496" s="1"/>
      <c r="C496" s="2"/>
      <c r="D496" s="2"/>
      <c r="E496" s="2"/>
      <c r="F496" s="2"/>
      <c r="G496" s="2"/>
      <c r="H496" s="3"/>
      <c r="I496" s="1"/>
    </row>
    <row r="497" spans="2:9" x14ac:dyDescent="0.15">
      <c r="B497" s="1"/>
      <c r="C497" s="2"/>
      <c r="D497" s="2"/>
      <c r="E497" s="2"/>
      <c r="F497" s="2"/>
      <c r="G497" s="2"/>
      <c r="H497" s="3"/>
      <c r="I497" s="1"/>
    </row>
    <row r="498" spans="2:9" x14ac:dyDescent="0.15">
      <c r="B498" s="1"/>
      <c r="C498" s="2"/>
      <c r="D498" s="2"/>
      <c r="E498" s="2"/>
      <c r="F498" s="2"/>
      <c r="G498" s="2"/>
      <c r="H498" s="3"/>
      <c r="I498" s="1"/>
    </row>
    <row r="499" spans="2:9" x14ac:dyDescent="0.15">
      <c r="B499" s="1"/>
      <c r="C499" s="2"/>
      <c r="D499" s="2"/>
      <c r="E499" s="2"/>
      <c r="F499" s="2"/>
      <c r="G499" s="2"/>
      <c r="H499" s="3"/>
      <c r="I499" s="1"/>
    </row>
    <row r="500" spans="2:9" x14ac:dyDescent="0.15">
      <c r="B500" s="1"/>
      <c r="C500" s="2"/>
      <c r="D500" s="2"/>
      <c r="E500" s="2"/>
      <c r="F500" s="2"/>
      <c r="G500" s="2"/>
      <c r="H500" s="3"/>
      <c r="I500" s="1"/>
    </row>
    <row r="501" spans="2:9" x14ac:dyDescent="0.15">
      <c r="B501" s="1"/>
      <c r="C501" s="2"/>
      <c r="D501" s="2"/>
      <c r="E501" s="2"/>
      <c r="F501" s="2"/>
      <c r="G501" s="2"/>
      <c r="H501" s="3"/>
      <c r="I501" s="1"/>
    </row>
    <row r="502" spans="2:9" x14ac:dyDescent="0.15">
      <c r="B502" s="1"/>
      <c r="C502" s="2"/>
      <c r="D502" s="2"/>
      <c r="E502" s="2"/>
      <c r="F502" s="2"/>
      <c r="G502" s="2"/>
      <c r="H502" s="3"/>
      <c r="I502" s="1"/>
    </row>
    <row r="503" spans="2:9" x14ac:dyDescent="0.15">
      <c r="B503" s="1"/>
      <c r="C503" s="2"/>
      <c r="D503" s="2"/>
      <c r="E503" s="2"/>
      <c r="F503" s="2"/>
      <c r="G503" s="2"/>
      <c r="H503" s="3"/>
      <c r="I503" s="1"/>
    </row>
    <row r="504" spans="2:9" x14ac:dyDescent="0.15">
      <c r="B504" s="1"/>
      <c r="C504" s="2"/>
      <c r="D504" s="2"/>
      <c r="E504" s="2"/>
      <c r="F504" s="2"/>
      <c r="G504" s="2"/>
      <c r="H504" s="3"/>
      <c r="I504" s="1"/>
    </row>
    <row r="505" spans="2:9" x14ac:dyDescent="0.15">
      <c r="B505" s="1"/>
      <c r="C505" s="2"/>
      <c r="D505" s="2"/>
      <c r="E505" s="2"/>
      <c r="F505" s="2"/>
      <c r="G505" s="2"/>
      <c r="H505" s="3"/>
      <c r="I505" s="1"/>
    </row>
    <row r="506" spans="2:9" x14ac:dyDescent="0.15">
      <c r="B506" s="1"/>
      <c r="C506" s="2"/>
      <c r="D506" s="2"/>
      <c r="E506" s="2"/>
      <c r="F506" s="2"/>
      <c r="G506" s="2"/>
      <c r="H506" s="3"/>
      <c r="I506" s="1"/>
    </row>
    <row r="507" spans="2:9" x14ac:dyDescent="0.15">
      <c r="B507" s="1"/>
      <c r="C507" s="2"/>
      <c r="D507" s="2"/>
      <c r="E507" s="2"/>
      <c r="F507" s="2"/>
      <c r="G507" s="2"/>
      <c r="H507" s="3"/>
      <c r="I507" s="1"/>
    </row>
    <row r="508" spans="2:9" x14ac:dyDescent="0.15">
      <c r="B508" s="1"/>
      <c r="C508" s="2"/>
      <c r="D508" s="2"/>
      <c r="E508" s="2"/>
      <c r="F508" s="2"/>
      <c r="G508" s="2"/>
      <c r="H508" s="3"/>
      <c r="I508" s="1"/>
    </row>
    <row r="509" spans="2:9" x14ac:dyDescent="0.15">
      <c r="B509" s="1"/>
      <c r="C509" s="2"/>
      <c r="D509" s="2"/>
      <c r="E509" s="2"/>
      <c r="F509" s="2"/>
      <c r="G509" s="2"/>
      <c r="H509" s="3"/>
      <c r="I509" s="1"/>
    </row>
    <row r="510" spans="2:9" x14ac:dyDescent="0.15">
      <c r="B510" s="1"/>
      <c r="C510" s="2"/>
      <c r="D510" s="2"/>
      <c r="E510" s="2"/>
      <c r="F510" s="2"/>
      <c r="G510" s="2"/>
      <c r="H510" s="3"/>
      <c r="I510" s="1"/>
    </row>
    <row r="511" spans="2:9" x14ac:dyDescent="0.15">
      <c r="B511" s="1"/>
      <c r="C511" s="2"/>
      <c r="D511" s="2"/>
      <c r="E511" s="2"/>
      <c r="F511" s="2"/>
      <c r="G511" s="2"/>
      <c r="H511" s="3"/>
      <c r="I511" s="1"/>
    </row>
    <row r="512" spans="2:9" x14ac:dyDescent="0.15">
      <c r="B512" s="1"/>
      <c r="C512" s="2"/>
      <c r="D512" s="2"/>
      <c r="E512" s="2"/>
      <c r="F512" s="2"/>
      <c r="G512" s="2"/>
      <c r="H512" s="3"/>
      <c r="I512" s="1"/>
    </row>
    <row r="513" spans="2:9" x14ac:dyDescent="0.15">
      <c r="B513" s="1"/>
      <c r="C513" s="2"/>
      <c r="D513" s="2"/>
      <c r="E513" s="2"/>
      <c r="F513" s="2"/>
      <c r="G513" s="2"/>
      <c r="H513" s="3"/>
      <c r="I513" s="1"/>
    </row>
    <row r="514" spans="2:9" x14ac:dyDescent="0.15">
      <c r="B514" s="1"/>
      <c r="C514" s="2"/>
      <c r="D514" s="2"/>
      <c r="E514" s="2"/>
      <c r="F514" s="2"/>
      <c r="G514" s="2"/>
      <c r="H514" s="3"/>
      <c r="I514" s="1"/>
    </row>
    <row r="515" spans="2:9" x14ac:dyDescent="0.15">
      <c r="B515" s="1"/>
      <c r="C515" s="2"/>
      <c r="D515" s="2"/>
      <c r="E515" s="2"/>
      <c r="F515" s="2"/>
      <c r="G515" s="2"/>
      <c r="H515" s="3"/>
      <c r="I515" s="1"/>
    </row>
    <row r="516" spans="2:9" x14ac:dyDescent="0.15">
      <c r="B516" s="1"/>
      <c r="C516" s="2"/>
      <c r="D516" s="2"/>
      <c r="E516" s="2"/>
      <c r="F516" s="2"/>
      <c r="G516" s="2"/>
      <c r="H516" s="3"/>
      <c r="I516" s="1"/>
    </row>
    <row r="517" spans="2:9" x14ac:dyDescent="0.15">
      <c r="B517" s="1"/>
      <c r="C517" s="2"/>
      <c r="D517" s="2"/>
      <c r="E517" s="2"/>
      <c r="F517" s="2"/>
      <c r="G517" s="2"/>
      <c r="H517" s="3"/>
      <c r="I517" s="1"/>
    </row>
    <row r="518" spans="2:9" x14ac:dyDescent="0.15">
      <c r="B518" s="1"/>
      <c r="C518" s="2"/>
      <c r="D518" s="2"/>
      <c r="E518" s="2"/>
      <c r="F518" s="2"/>
      <c r="G518" s="2"/>
      <c r="H518" s="3"/>
      <c r="I518" s="1"/>
    </row>
    <row r="519" spans="2:9" x14ac:dyDescent="0.15">
      <c r="B519" s="1"/>
      <c r="C519" s="2"/>
      <c r="D519" s="2"/>
      <c r="E519" s="2"/>
      <c r="F519" s="2"/>
      <c r="G519" s="2"/>
      <c r="H519" s="3"/>
      <c r="I519" s="1"/>
    </row>
    <row r="520" spans="2:9" x14ac:dyDescent="0.15">
      <c r="B520" s="1"/>
      <c r="C520" s="2"/>
      <c r="D520" s="2"/>
      <c r="E520" s="2"/>
      <c r="F520" s="2"/>
      <c r="G520" s="2"/>
      <c r="H520" s="3"/>
      <c r="I520" s="1"/>
    </row>
    <row r="521" spans="2:9" x14ac:dyDescent="0.15">
      <c r="B521" s="1"/>
      <c r="C521" s="2"/>
      <c r="D521" s="2"/>
      <c r="E521" s="2"/>
      <c r="F521" s="2"/>
      <c r="G521" s="2"/>
      <c r="H521" s="3"/>
      <c r="I521" s="1"/>
    </row>
    <row r="522" spans="2:9" x14ac:dyDescent="0.15">
      <c r="B522" s="1"/>
      <c r="C522" s="2"/>
      <c r="D522" s="2"/>
      <c r="E522" s="2"/>
      <c r="F522" s="2"/>
      <c r="G522" s="2"/>
      <c r="H522" s="3"/>
      <c r="I522" s="1"/>
    </row>
    <row r="523" spans="2:9" x14ac:dyDescent="0.15">
      <c r="B523" s="1"/>
      <c r="C523" s="2"/>
      <c r="D523" s="2"/>
      <c r="E523" s="2"/>
      <c r="F523" s="2"/>
      <c r="G523" s="2"/>
      <c r="H523" s="3"/>
      <c r="I523" s="1"/>
    </row>
    <row r="524" spans="2:9" x14ac:dyDescent="0.15">
      <c r="B524" s="1"/>
      <c r="C524" s="2"/>
      <c r="D524" s="2"/>
      <c r="E524" s="2"/>
      <c r="F524" s="2"/>
      <c r="G524" s="2"/>
      <c r="H524" s="3"/>
      <c r="I524" s="1"/>
    </row>
    <row r="525" spans="2:9" x14ac:dyDescent="0.15">
      <c r="B525" s="1"/>
      <c r="C525" s="2"/>
      <c r="D525" s="2"/>
      <c r="E525" s="2"/>
      <c r="F525" s="2"/>
      <c r="G525" s="2"/>
      <c r="H525" s="3"/>
      <c r="I525" s="1"/>
    </row>
    <row r="526" spans="2:9" x14ac:dyDescent="0.15">
      <c r="B526" s="1"/>
      <c r="C526" s="2"/>
      <c r="D526" s="2"/>
      <c r="E526" s="2"/>
      <c r="F526" s="2"/>
      <c r="G526" s="2"/>
      <c r="H526" s="3"/>
      <c r="I526" s="1"/>
    </row>
    <row r="527" spans="2:9" x14ac:dyDescent="0.15">
      <c r="B527" s="1"/>
      <c r="C527" s="2"/>
      <c r="D527" s="2"/>
      <c r="E527" s="2"/>
      <c r="F527" s="2"/>
      <c r="G527" s="2"/>
      <c r="H527" s="3"/>
      <c r="I527" s="1"/>
    </row>
    <row r="528" spans="2:9" x14ac:dyDescent="0.15">
      <c r="B528" s="1"/>
      <c r="C528" s="2"/>
      <c r="D528" s="2"/>
      <c r="E528" s="2"/>
      <c r="F528" s="2"/>
      <c r="G528" s="2"/>
      <c r="H528" s="3"/>
      <c r="I528" s="1"/>
    </row>
    <row r="529" spans="2:9" x14ac:dyDescent="0.15">
      <c r="B529" s="1"/>
      <c r="C529" s="2"/>
      <c r="D529" s="2"/>
      <c r="E529" s="2"/>
      <c r="F529" s="2"/>
      <c r="G529" s="2"/>
      <c r="H529" s="3"/>
      <c r="I529" s="1"/>
    </row>
    <row r="530" spans="2:9" x14ac:dyDescent="0.15">
      <c r="B530" s="1"/>
      <c r="C530" s="2"/>
      <c r="D530" s="2"/>
      <c r="E530" s="2"/>
      <c r="F530" s="2"/>
      <c r="G530" s="2"/>
      <c r="H530" s="3"/>
      <c r="I530" s="1"/>
    </row>
    <row r="531" spans="2:9" x14ac:dyDescent="0.15">
      <c r="B531" s="1"/>
      <c r="C531" s="2"/>
      <c r="D531" s="2"/>
      <c r="E531" s="2"/>
      <c r="F531" s="2"/>
      <c r="G531" s="2"/>
      <c r="H531" s="3"/>
      <c r="I531" s="1"/>
    </row>
    <row r="532" spans="2:9" x14ac:dyDescent="0.15">
      <c r="B532" s="1"/>
      <c r="C532" s="2"/>
      <c r="D532" s="2"/>
      <c r="E532" s="2"/>
      <c r="F532" s="2"/>
      <c r="G532" s="2"/>
      <c r="H532" s="3"/>
      <c r="I532" s="1"/>
    </row>
    <row r="533" spans="2:9" x14ac:dyDescent="0.15">
      <c r="B533" s="1"/>
      <c r="C533" s="2"/>
      <c r="D533" s="2"/>
      <c r="E533" s="2"/>
      <c r="F533" s="2"/>
      <c r="G533" s="2"/>
      <c r="H533" s="3"/>
      <c r="I533" s="1"/>
    </row>
    <row r="534" spans="2:9" x14ac:dyDescent="0.15">
      <c r="B534" s="1"/>
      <c r="C534" s="2"/>
      <c r="D534" s="2"/>
      <c r="E534" s="2"/>
      <c r="F534" s="2"/>
      <c r="G534" s="2"/>
      <c r="H534" s="3"/>
      <c r="I534" s="1"/>
    </row>
    <row r="535" spans="2:9" x14ac:dyDescent="0.15">
      <c r="B535" s="1"/>
      <c r="C535" s="2"/>
      <c r="D535" s="2"/>
      <c r="E535" s="2"/>
      <c r="F535" s="2"/>
      <c r="G535" s="2"/>
      <c r="H535" s="3"/>
      <c r="I535" s="1"/>
    </row>
    <row r="536" spans="2:9" x14ac:dyDescent="0.15">
      <c r="B536" s="1"/>
      <c r="C536" s="2"/>
      <c r="D536" s="2"/>
      <c r="E536" s="2"/>
      <c r="F536" s="2"/>
      <c r="G536" s="2"/>
      <c r="H536" s="3"/>
      <c r="I536" s="1"/>
    </row>
    <row r="537" spans="2:9" x14ac:dyDescent="0.15">
      <c r="B537" s="1"/>
      <c r="C537" s="2"/>
      <c r="D537" s="2"/>
      <c r="E537" s="2"/>
      <c r="F537" s="2"/>
      <c r="G537" s="2"/>
      <c r="H537" s="3"/>
      <c r="I537" s="1"/>
    </row>
    <row r="538" spans="2:9" x14ac:dyDescent="0.15">
      <c r="B538" s="1"/>
      <c r="C538" s="2"/>
      <c r="D538" s="2"/>
      <c r="E538" s="2"/>
      <c r="F538" s="2"/>
      <c r="G538" s="2"/>
      <c r="H538" s="3"/>
      <c r="I538" s="1"/>
    </row>
    <row r="539" spans="2:9" x14ac:dyDescent="0.15">
      <c r="B539" s="1"/>
      <c r="C539" s="2"/>
      <c r="D539" s="2"/>
      <c r="E539" s="2"/>
      <c r="F539" s="2"/>
      <c r="G539" s="2"/>
      <c r="H539" s="3"/>
      <c r="I539" s="1"/>
    </row>
    <row r="540" spans="2:9" x14ac:dyDescent="0.15">
      <c r="B540" s="1"/>
      <c r="C540" s="2"/>
      <c r="D540" s="2"/>
      <c r="E540" s="2"/>
      <c r="F540" s="2"/>
      <c r="G540" s="2"/>
      <c r="H540" s="3"/>
      <c r="I540" s="1"/>
    </row>
    <row r="541" spans="2:9" x14ac:dyDescent="0.15">
      <c r="B541" s="1"/>
      <c r="C541" s="2"/>
      <c r="D541" s="2"/>
      <c r="E541" s="2"/>
      <c r="F541" s="2"/>
      <c r="G541" s="2"/>
      <c r="H541" s="3"/>
      <c r="I541" s="1"/>
    </row>
    <row r="542" spans="2:9" x14ac:dyDescent="0.15">
      <c r="B542" s="1"/>
      <c r="C542" s="2"/>
      <c r="D542" s="2"/>
      <c r="E542" s="2"/>
      <c r="F542" s="2"/>
      <c r="G542" s="2"/>
      <c r="H542" s="3"/>
      <c r="I542" s="1"/>
    </row>
    <row r="543" spans="2:9" x14ac:dyDescent="0.15">
      <c r="B543" s="1"/>
      <c r="C543" s="2"/>
      <c r="D543" s="2"/>
      <c r="E543" s="2"/>
      <c r="F543" s="2"/>
      <c r="G543" s="2"/>
      <c r="H543" s="3"/>
      <c r="I543" s="1"/>
    </row>
    <row r="544" spans="2:9" x14ac:dyDescent="0.15">
      <c r="B544" s="1"/>
      <c r="C544" s="2"/>
      <c r="D544" s="2"/>
      <c r="E544" s="2"/>
      <c r="F544" s="2"/>
      <c r="G544" s="2"/>
      <c r="H544" s="3"/>
      <c r="I544" s="1"/>
    </row>
    <row r="545" spans="2:9" x14ac:dyDescent="0.15">
      <c r="B545" s="1"/>
      <c r="C545" s="2"/>
      <c r="D545" s="2"/>
      <c r="E545" s="2"/>
      <c r="F545" s="2"/>
      <c r="G545" s="2"/>
      <c r="H545" s="3"/>
      <c r="I545" s="1"/>
    </row>
    <row r="546" spans="2:9" x14ac:dyDescent="0.15">
      <c r="B546" s="1"/>
      <c r="C546" s="2"/>
      <c r="D546" s="2"/>
      <c r="E546" s="2"/>
      <c r="F546" s="2"/>
      <c r="G546" s="2"/>
      <c r="H546" s="3"/>
      <c r="I546" s="1"/>
    </row>
    <row r="547" spans="2:9" x14ac:dyDescent="0.15">
      <c r="B547" s="1"/>
      <c r="C547" s="2"/>
      <c r="D547" s="2"/>
      <c r="E547" s="2"/>
      <c r="F547" s="2"/>
      <c r="G547" s="2"/>
      <c r="H547" s="3"/>
      <c r="I547" s="1"/>
    </row>
    <row r="548" spans="2:9" x14ac:dyDescent="0.15">
      <c r="B548" s="1"/>
      <c r="C548" s="2"/>
      <c r="D548" s="2"/>
      <c r="E548" s="2"/>
      <c r="F548" s="2"/>
      <c r="G548" s="2"/>
      <c r="H548" s="3"/>
      <c r="I548" s="1"/>
    </row>
    <row r="549" spans="2:9" x14ac:dyDescent="0.15">
      <c r="B549" s="1"/>
      <c r="C549" s="2"/>
      <c r="D549" s="2"/>
      <c r="E549" s="2"/>
      <c r="F549" s="2"/>
      <c r="G549" s="2"/>
      <c r="H549" s="3"/>
      <c r="I549" s="1"/>
    </row>
    <row r="550" spans="2:9" x14ac:dyDescent="0.15">
      <c r="B550" s="1"/>
      <c r="C550" s="2"/>
      <c r="D550" s="2"/>
      <c r="E550" s="2"/>
      <c r="F550" s="2"/>
      <c r="G550" s="2"/>
      <c r="H550" s="3"/>
      <c r="I550" s="1"/>
    </row>
    <row r="551" spans="2:9" x14ac:dyDescent="0.15">
      <c r="B551" s="1"/>
      <c r="C551" s="2"/>
      <c r="D551" s="2"/>
      <c r="E551" s="2"/>
      <c r="F551" s="2"/>
      <c r="G551" s="2"/>
      <c r="H551" s="3"/>
      <c r="I551" s="1"/>
    </row>
    <row r="552" spans="2:9" x14ac:dyDescent="0.15">
      <c r="B552" s="1"/>
      <c r="C552" s="2"/>
      <c r="D552" s="2"/>
      <c r="E552" s="2"/>
      <c r="F552" s="2"/>
      <c r="G552" s="2"/>
      <c r="H552" s="3"/>
      <c r="I552" s="1"/>
    </row>
    <row r="553" spans="2:9" x14ac:dyDescent="0.15">
      <c r="B553" s="1"/>
      <c r="C553" s="2"/>
      <c r="D553" s="2"/>
      <c r="E553" s="2"/>
      <c r="F553" s="2"/>
      <c r="G553" s="2"/>
      <c r="H553" s="3"/>
      <c r="I553" s="1"/>
    </row>
    <row r="554" spans="2:9" x14ac:dyDescent="0.15">
      <c r="B554" s="1"/>
      <c r="C554" s="2"/>
      <c r="D554" s="2"/>
      <c r="E554" s="2"/>
      <c r="F554" s="2"/>
      <c r="G554" s="2"/>
      <c r="H554" s="3"/>
      <c r="I554" s="1"/>
    </row>
    <row r="555" spans="2:9" x14ac:dyDescent="0.15">
      <c r="B555" s="1"/>
      <c r="C555" s="2"/>
      <c r="D555" s="2"/>
      <c r="E555" s="2"/>
      <c r="F555" s="2"/>
      <c r="G555" s="2"/>
      <c r="H555" s="3"/>
      <c r="I555" s="1"/>
    </row>
    <row r="556" spans="2:9" x14ac:dyDescent="0.15">
      <c r="B556" s="1"/>
      <c r="C556" s="2"/>
      <c r="D556" s="2"/>
      <c r="E556" s="2"/>
      <c r="F556" s="2"/>
      <c r="G556" s="2"/>
      <c r="H556" s="3"/>
      <c r="I556" s="1"/>
    </row>
    <row r="557" spans="2:9" x14ac:dyDescent="0.15">
      <c r="B557" s="1"/>
      <c r="C557" s="2"/>
      <c r="D557" s="2"/>
      <c r="E557" s="2"/>
      <c r="F557" s="2"/>
      <c r="G557" s="2"/>
      <c r="H557" s="3"/>
      <c r="I557" s="1"/>
    </row>
    <row r="558" spans="2:9" x14ac:dyDescent="0.15">
      <c r="B558" s="1"/>
      <c r="C558" s="2"/>
      <c r="D558" s="2"/>
      <c r="E558" s="2"/>
      <c r="F558" s="2"/>
      <c r="G558" s="2"/>
      <c r="H558" s="3"/>
      <c r="I558" s="1"/>
    </row>
    <row r="559" spans="2:9" x14ac:dyDescent="0.15">
      <c r="B559" s="1"/>
      <c r="C559" s="2"/>
      <c r="D559" s="2"/>
      <c r="E559" s="2"/>
      <c r="F559" s="2"/>
      <c r="G559" s="2"/>
      <c r="H559" s="3"/>
      <c r="I559" s="1"/>
    </row>
    <row r="560" spans="2:9" x14ac:dyDescent="0.15">
      <c r="B560" s="1"/>
      <c r="C560" s="2"/>
      <c r="D560" s="2"/>
      <c r="E560" s="2"/>
      <c r="F560" s="2"/>
      <c r="G560" s="2"/>
      <c r="H560" s="3"/>
      <c r="I560" s="1"/>
    </row>
    <row r="561" spans="2:9" x14ac:dyDescent="0.15">
      <c r="B561" s="1"/>
      <c r="C561" s="2"/>
      <c r="D561" s="2"/>
      <c r="E561" s="2"/>
      <c r="F561" s="2"/>
      <c r="G561" s="2"/>
      <c r="H561" s="3"/>
      <c r="I561" s="1"/>
    </row>
    <row r="562" spans="2:9" x14ac:dyDescent="0.15">
      <c r="B562" s="1"/>
      <c r="C562" s="2"/>
      <c r="D562" s="2"/>
      <c r="E562" s="2"/>
      <c r="F562" s="2"/>
      <c r="G562" s="2"/>
      <c r="H562" s="3"/>
      <c r="I562" s="1"/>
    </row>
    <row r="563" spans="2:9" x14ac:dyDescent="0.15">
      <c r="B563" s="1"/>
      <c r="C563" s="2"/>
      <c r="D563" s="2"/>
      <c r="E563" s="2"/>
      <c r="F563" s="2"/>
      <c r="G563" s="2"/>
      <c r="H563" s="3"/>
      <c r="I563" s="1"/>
    </row>
    <row r="564" spans="2:9" x14ac:dyDescent="0.15">
      <c r="B564" s="1"/>
      <c r="C564" s="2"/>
      <c r="D564" s="2"/>
      <c r="E564" s="2"/>
      <c r="F564" s="2"/>
      <c r="G564" s="2"/>
      <c r="H564" s="3"/>
      <c r="I564" s="1"/>
    </row>
    <row r="565" spans="2:9" x14ac:dyDescent="0.15">
      <c r="B565" s="1"/>
      <c r="C565" s="2"/>
      <c r="D565" s="2"/>
      <c r="E565" s="2"/>
      <c r="F565" s="2"/>
      <c r="G565" s="2"/>
      <c r="H565" s="3"/>
      <c r="I565" s="1"/>
    </row>
    <row r="566" spans="2:9" x14ac:dyDescent="0.15">
      <c r="B566" s="1"/>
      <c r="C566" s="2"/>
      <c r="D566" s="2"/>
      <c r="E566" s="2"/>
      <c r="F566" s="2"/>
      <c r="G566" s="2"/>
      <c r="H566" s="3"/>
      <c r="I566" s="1"/>
    </row>
    <row r="567" spans="2:9" x14ac:dyDescent="0.15">
      <c r="B567" s="1"/>
      <c r="C567" s="2"/>
      <c r="D567" s="2"/>
      <c r="E567" s="2"/>
      <c r="F567" s="2"/>
      <c r="G567" s="2"/>
      <c r="H567" s="3"/>
      <c r="I567" s="1"/>
    </row>
    <row r="568" spans="2:9" x14ac:dyDescent="0.15">
      <c r="B568" s="1"/>
      <c r="C568" s="2"/>
      <c r="D568" s="2"/>
      <c r="E568" s="2"/>
      <c r="F568" s="2"/>
      <c r="G568" s="2"/>
      <c r="H568" s="3"/>
      <c r="I568" s="1"/>
    </row>
    <row r="569" spans="2:9" x14ac:dyDescent="0.15">
      <c r="B569" s="1"/>
      <c r="C569" s="2"/>
      <c r="D569" s="2"/>
      <c r="E569" s="2"/>
      <c r="F569" s="2"/>
      <c r="G569" s="2"/>
      <c r="H569" s="3"/>
      <c r="I569" s="1"/>
    </row>
    <row r="570" spans="2:9" x14ac:dyDescent="0.15">
      <c r="B570" s="1"/>
      <c r="C570" s="2"/>
      <c r="D570" s="2"/>
      <c r="E570" s="2"/>
      <c r="F570" s="2"/>
      <c r="G570" s="2"/>
      <c r="H570" s="3"/>
      <c r="I570" s="1"/>
    </row>
    <row r="571" spans="2:9" x14ac:dyDescent="0.15">
      <c r="B571" s="1"/>
      <c r="C571" s="2"/>
      <c r="D571" s="2"/>
      <c r="E571" s="2"/>
      <c r="F571" s="2"/>
      <c r="G571" s="2"/>
      <c r="H571" s="3"/>
      <c r="I571" s="1"/>
    </row>
    <row r="572" spans="2:9" x14ac:dyDescent="0.15">
      <c r="B572" s="1"/>
      <c r="C572" s="2"/>
      <c r="D572" s="2"/>
      <c r="E572" s="2"/>
      <c r="F572" s="2"/>
      <c r="G572" s="2"/>
      <c r="H572" s="3"/>
      <c r="I572" s="1"/>
    </row>
    <row r="573" spans="2:9" x14ac:dyDescent="0.15">
      <c r="B573" s="1"/>
      <c r="C573" s="2"/>
      <c r="D573" s="2"/>
      <c r="E573" s="2"/>
      <c r="F573" s="2"/>
      <c r="G573" s="2"/>
      <c r="H573" s="3"/>
      <c r="I573" s="1"/>
    </row>
    <row r="574" spans="2:9" x14ac:dyDescent="0.15">
      <c r="B574" s="1"/>
      <c r="C574" s="2"/>
      <c r="D574" s="2"/>
      <c r="E574" s="2"/>
      <c r="F574" s="2"/>
      <c r="G574" s="2"/>
      <c r="H574" s="3"/>
      <c r="I574" s="1"/>
    </row>
    <row r="575" spans="2:9" x14ac:dyDescent="0.15">
      <c r="B575" s="1"/>
      <c r="C575" s="2"/>
      <c r="D575" s="2"/>
      <c r="E575" s="2"/>
      <c r="F575" s="2"/>
      <c r="G575" s="2"/>
      <c r="H575" s="3"/>
      <c r="I575" s="1"/>
    </row>
    <row r="576" spans="2:9" x14ac:dyDescent="0.15">
      <c r="B576" s="1"/>
      <c r="C576" s="2"/>
      <c r="D576" s="2"/>
      <c r="E576" s="2"/>
      <c r="F576" s="2"/>
      <c r="G576" s="2"/>
      <c r="H576" s="3"/>
      <c r="I576" s="1"/>
    </row>
    <row r="577" spans="2:9" x14ac:dyDescent="0.15">
      <c r="B577" s="1"/>
      <c r="C577" s="2"/>
      <c r="D577" s="2"/>
      <c r="E577" s="2"/>
      <c r="F577" s="2"/>
      <c r="G577" s="2"/>
      <c r="H577" s="3"/>
      <c r="I577" s="1"/>
    </row>
    <row r="578" spans="2:9" x14ac:dyDescent="0.15">
      <c r="B578" s="1"/>
      <c r="C578" s="2"/>
      <c r="D578" s="2"/>
      <c r="E578" s="2"/>
      <c r="F578" s="2"/>
      <c r="G578" s="2"/>
      <c r="H578" s="3"/>
      <c r="I578" s="1"/>
    </row>
    <row r="579" spans="2:9" x14ac:dyDescent="0.15">
      <c r="B579" s="1"/>
      <c r="C579" s="2"/>
      <c r="D579" s="2"/>
      <c r="E579" s="2"/>
      <c r="F579" s="2"/>
      <c r="G579" s="2"/>
      <c r="H579" s="3"/>
      <c r="I579" s="1"/>
    </row>
    <row r="580" spans="2:9" x14ac:dyDescent="0.15">
      <c r="B580" s="1"/>
      <c r="C580" s="2"/>
      <c r="D580" s="2"/>
      <c r="E580" s="2"/>
      <c r="F580" s="2"/>
      <c r="G580" s="2"/>
      <c r="H580" s="3"/>
      <c r="I580" s="1"/>
    </row>
    <row r="581" spans="2:9" x14ac:dyDescent="0.15">
      <c r="B581" s="1"/>
      <c r="C581" s="2"/>
      <c r="D581" s="2"/>
      <c r="E581" s="2"/>
      <c r="F581" s="2"/>
      <c r="G581" s="2"/>
      <c r="H581" s="3"/>
      <c r="I581" s="1"/>
    </row>
    <row r="582" spans="2:9" x14ac:dyDescent="0.15">
      <c r="B582" s="1"/>
      <c r="C582" s="2"/>
      <c r="D582" s="2"/>
      <c r="E582" s="2"/>
      <c r="F582" s="2"/>
      <c r="G582" s="2"/>
      <c r="H582" s="3"/>
      <c r="I582" s="1"/>
    </row>
    <row r="583" spans="2:9" x14ac:dyDescent="0.15">
      <c r="B583" s="1"/>
      <c r="C583" s="2"/>
      <c r="D583" s="2"/>
      <c r="E583" s="2"/>
      <c r="F583" s="2"/>
      <c r="G583" s="2"/>
      <c r="H583" s="3"/>
      <c r="I583" s="1"/>
    </row>
    <row r="584" spans="2:9" x14ac:dyDescent="0.15">
      <c r="B584" s="1"/>
      <c r="C584" s="2"/>
      <c r="D584" s="2"/>
      <c r="E584" s="2"/>
      <c r="F584" s="2"/>
      <c r="G584" s="2"/>
      <c r="H584" s="3"/>
      <c r="I584" s="1"/>
    </row>
    <row r="585" spans="2:9" x14ac:dyDescent="0.15">
      <c r="B585" s="1"/>
      <c r="C585" s="2"/>
      <c r="D585" s="2"/>
      <c r="E585" s="2"/>
      <c r="F585" s="2"/>
      <c r="G585" s="2"/>
      <c r="H585" s="3"/>
      <c r="I585" s="1"/>
    </row>
    <row r="586" spans="2:9" x14ac:dyDescent="0.15">
      <c r="B586" s="1"/>
      <c r="C586" s="2"/>
      <c r="D586" s="2"/>
      <c r="E586" s="2"/>
      <c r="F586" s="2"/>
      <c r="G586" s="2"/>
      <c r="H586" s="3"/>
      <c r="I586" s="1"/>
    </row>
    <row r="587" spans="2:9" x14ac:dyDescent="0.15">
      <c r="B587" s="1"/>
      <c r="C587" s="2"/>
      <c r="D587" s="2"/>
      <c r="E587" s="2"/>
      <c r="F587" s="2"/>
      <c r="G587" s="2"/>
      <c r="H587" s="3"/>
      <c r="I587" s="1"/>
    </row>
    <row r="588" spans="2:9" x14ac:dyDescent="0.15">
      <c r="B588" s="1"/>
      <c r="C588" s="2"/>
      <c r="D588" s="2"/>
      <c r="E588" s="2"/>
      <c r="F588" s="2"/>
      <c r="G588" s="2"/>
      <c r="H588" s="3"/>
      <c r="I588" s="1"/>
    </row>
    <row r="589" spans="2:9" x14ac:dyDescent="0.15">
      <c r="B589" s="1"/>
      <c r="C589" s="2"/>
      <c r="D589" s="2"/>
      <c r="E589" s="2"/>
      <c r="F589" s="2"/>
      <c r="G589" s="2"/>
      <c r="H589" s="3"/>
      <c r="I589" s="1"/>
    </row>
    <row r="590" spans="2:9" x14ac:dyDescent="0.15">
      <c r="B590" s="1"/>
      <c r="C590" s="2"/>
      <c r="D590" s="2"/>
      <c r="E590" s="2"/>
      <c r="F590" s="2"/>
      <c r="G590" s="2"/>
      <c r="H590" s="3"/>
      <c r="I590" s="1"/>
    </row>
    <row r="591" spans="2:9" x14ac:dyDescent="0.15">
      <c r="B591" s="1"/>
      <c r="C591" s="2"/>
      <c r="D591" s="2"/>
      <c r="E591" s="2"/>
      <c r="F591" s="2"/>
      <c r="G591" s="2"/>
      <c r="H591" s="3"/>
      <c r="I591" s="1"/>
    </row>
    <row r="592" spans="2:9" x14ac:dyDescent="0.15">
      <c r="B592" s="1"/>
      <c r="C592" s="2"/>
      <c r="D592" s="2"/>
      <c r="E592" s="2"/>
      <c r="F592" s="2"/>
      <c r="G592" s="2"/>
      <c r="H592" s="3"/>
      <c r="I592" s="1"/>
    </row>
    <row r="593" spans="2:9" x14ac:dyDescent="0.15">
      <c r="B593" s="1"/>
      <c r="C593" s="2"/>
      <c r="D593" s="2"/>
      <c r="E593" s="2"/>
      <c r="F593" s="2"/>
      <c r="G593" s="2"/>
      <c r="H593" s="3"/>
      <c r="I593" s="1"/>
    </row>
    <row r="594" spans="2:9" x14ac:dyDescent="0.15">
      <c r="B594" s="1"/>
      <c r="C594" s="2"/>
      <c r="D594" s="2"/>
      <c r="E594" s="2"/>
      <c r="F594" s="2"/>
      <c r="G594" s="2"/>
      <c r="H594" s="3"/>
      <c r="I594" s="1"/>
    </row>
    <row r="595" spans="2:9" x14ac:dyDescent="0.15">
      <c r="B595" s="1"/>
      <c r="C595" s="2"/>
      <c r="D595" s="2"/>
      <c r="E595" s="2"/>
      <c r="F595" s="2"/>
      <c r="G595" s="2"/>
      <c r="H595" s="3"/>
      <c r="I595" s="1"/>
    </row>
    <row r="596" spans="2:9" x14ac:dyDescent="0.15">
      <c r="B596" s="1"/>
      <c r="C596" s="2"/>
      <c r="D596" s="2"/>
      <c r="E596" s="2"/>
      <c r="F596" s="2"/>
      <c r="G596" s="2"/>
      <c r="H596" s="3"/>
      <c r="I596" s="1"/>
    </row>
    <row r="597" spans="2:9" x14ac:dyDescent="0.15">
      <c r="B597" s="1"/>
      <c r="C597" s="2"/>
      <c r="D597" s="2"/>
      <c r="E597" s="2"/>
      <c r="F597" s="2"/>
      <c r="G597" s="2"/>
      <c r="H597" s="3"/>
      <c r="I597" s="1"/>
    </row>
    <row r="598" spans="2:9" x14ac:dyDescent="0.15">
      <c r="B598" s="1"/>
      <c r="C598" s="2"/>
      <c r="D598" s="2"/>
      <c r="E598" s="2"/>
      <c r="F598" s="2"/>
      <c r="G598" s="2"/>
      <c r="H598" s="3"/>
      <c r="I598" s="1"/>
    </row>
    <row r="599" spans="2:9" x14ac:dyDescent="0.15">
      <c r="B599" s="1"/>
      <c r="C599" s="2"/>
      <c r="D599" s="2"/>
      <c r="E599" s="2"/>
      <c r="F599" s="2"/>
      <c r="G599" s="2"/>
      <c r="H599" s="3"/>
      <c r="I599" s="1"/>
    </row>
    <row r="600" spans="2:9" x14ac:dyDescent="0.15">
      <c r="B600" s="1"/>
      <c r="C600" s="2"/>
      <c r="D600" s="2"/>
      <c r="E600" s="2"/>
      <c r="F600" s="2"/>
      <c r="G600" s="2"/>
      <c r="H600" s="3"/>
      <c r="I600" s="1"/>
    </row>
    <row r="601" spans="2:9" x14ac:dyDescent="0.15">
      <c r="B601" s="1"/>
      <c r="C601" s="2"/>
      <c r="D601" s="2"/>
      <c r="E601" s="2"/>
      <c r="F601" s="2"/>
      <c r="G601" s="2"/>
      <c r="H601" s="3"/>
      <c r="I601" s="1"/>
    </row>
    <row r="602" spans="2:9" x14ac:dyDescent="0.15">
      <c r="B602" s="1"/>
      <c r="C602" s="2"/>
      <c r="D602" s="2"/>
      <c r="E602" s="2"/>
      <c r="F602" s="2"/>
      <c r="G602" s="2"/>
      <c r="H602" s="3"/>
      <c r="I602" s="1"/>
    </row>
    <row r="603" spans="2:9" x14ac:dyDescent="0.15">
      <c r="B603" s="1"/>
      <c r="C603" s="2"/>
      <c r="D603" s="2"/>
      <c r="E603" s="2"/>
      <c r="F603" s="2"/>
      <c r="G603" s="2"/>
      <c r="H603" s="3"/>
      <c r="I603" s="1"/>
    </row>
    <row r="604" spans="2:9" x14ac:dyDescent="0.15">
      <c r="B604" s="1"/>
      <c r="C604" s="2"/>
      <c r="D604" s="2"/>
      <c r="E604" s="2"/>
      <c r="F604" s="2"/>
      <c r="G604" s="2"/>
      <c r="H604" s="3"/>
      <c r="I604" s="1"/>
    </row>
    <row r="605" spans="2:9" x14ac:dyDescent="0.15">
      <c r="B605" s="1"/>
      <c r="C605" s="2"/>
      <c r="D605" s="2"/>
      <c r="E605" s="2"/>
      <c r="F605" s="2"/>
      <c r="G605" s="2"/>
      <c r="H605" s="3"/>
      <c r="I605" s="1"/>
    </row>
    <row r="606" spans="2:9" x14ac:dyDescent="0.15">
      <c r="B606" s="1"/>
      <c r="C606" s="2"/>
      <c r="D606" s="2"/>
      <c r="E606" s="2"/>
      <c r="F606" s="2"/>
      <c r="G606" s="2"/>
      <c r="H606" s="3"/>
      <c r="I606" s="1"/>
    </row>
    <row r="607" spans="2:9" x14ac:dyDescent="0.15">
      <c r="B607" s="1"/>
      <c r="C607" s="2"/>
      <c r="D607" s="2"/>
      <c r="E607" s="2"/>
      <c r="F607" s="2"/>
      <c r="G607" s="2"/>
      <c r="H607" s="3"/>
      <c r="I607" s="1"/>
    </row>
    <row r="608" spans="2:9" x14ac:dyDescent="0.15">
      <c r="B608" s="1"/>
      <c r="C608" s="2"/>
      <c r="D608" s="2"/>
      <c r="E608" s="2"/>
      <c r="F608" s="2"/>
      <c r="G608" s="2"/>
      <c r="H608" s="3"/>
      <c r="I608" s="1"/>
    </row>
    <row r="609" spans="2:9" x14ac:dyDescent="0.15">
      <c r="B609" s="1"/>
      <c r="C609" s="2"/>
      <c r="D609" s="2"/>
      <c r="E609" s="2"/>
      <c r="F609" s="2"/>
      <c r="G609" s="2"/>
      <c r="H609" s="3"/>
      <c r="I609" s="1"/>
    </row>
    <row r="610" spans="2:9" x14ac:dyDescent="0.15">
      <c r="B610" s="1"/>
      <c r="C610" s="2"/>
      <c r="D610" s="2"/>
      <c r="E610" s="2"/>
      <c r="F610" s="2"/>
      <c r="G610" s="2"/>
      <c r="H610" s="3"/>
      <c r="I610" s="1"/>
    </row>
    <row r="611" spans="2:9" x14ac:dyDescent="0.15">
      <c r="B611" s="1"/>
      <c r="C611" s="2"/>
      <c r="D611" s="2"/>
      <c r="E611" s="2"/>
      <c r="F611" s="2"/>
      <c r="G611" s="2"/>
      <c r="H611" s="3"/>
      <c r="I611" s="1"/>
    </row>
    <row r="612" spans="2:9" x14ac:dyDescent="0.15">
      <c r="B612" s="1"/>
      <c r="C612" s="2"/>
      <c r="D612" s="2"/>
      <c r="E612" s="2"/>
      <c r="F612" s="2"/>
      <c r="G612" s="2"/>
      <c r="H612" s="3"/>
      <c r="I612" s="1"/>
    </row>
    <row r="613" spans="2:9" x14ac:dyDescent="0.15">
      <c r="B613" s="1"/>
      <c r="C613" s="2"/>
      <c r="D613" s="2"/>
      <c r="E613" s="2"/>
      <c r="F613" s="2"/>
      <c r="G613" s="2"/>
      <c r="H613" s="3"/>
      <c r="I613" s="1"/>
    </row>
    <row r="614" spans="2:9" x14ac:dyDescent="0.15">
      <c r="B614" s="1"/>
      <c r="C614" s="2"/>
      <c r="D614" s="2"/>
      <c r="E614" s="2"/>
      <c r="F614" s="2"/>
      <c r="G614" s="2"/>
      <c r="H614" s="3"/>
      <c r="I614" s="1"/>
    </row>
    <row r="615" spans="2:9" x14ac:dyDescent="0.15">
      <c r="B615" s="1"/>
      <c r="C615" s="2"/>
      <c r="D615" s="2"/>
      <c r="E615" s="2"/>
      <c r="F615" s="2"/>
      <c r="G615" s="2"/>
      <c r="H615" s="3"/>
      <c r="I615" s="1"/>
    </row>
    <row r="616" spans="2:9" x14ac:dyDescent="0.15">
      <c r="B616" s="1"/>
      <c r="C616" s="2"/>
      <c r="D616" s="2"/>
      <c r="E616" s="2"/>
      <c r="F616" s="2"/>
      <c r="G616" s="2"/>
      <c r="H616" s="3"/>
      <c r="I616" s="1"/>
    </row>
    <row r="617" spans="2:9" x14ac:dyDescent="0.15">
      <c r="B617" s="1"/>
      <c r="C617" s="2"/>
      <c r="D617" s="2"/>
      <c r="E617" s="2"/>
      <c r="F617" s="2"/>
      <c r="G617" s="2"/>
      <c r="H617" s="3"/>
      <c r="I617" s="1"/>
    </row>
    <row r="618" spans="2:9" x14ac:dyDescent="0.15">
      <c r="B618" s="1"/>
      <c r="C618" s="2"/>
      <c r="D618" s="2"/>
      <c r="E618" s="2"/>
      <c r="F618" s="2"/>
      <c r="G618" s="2"/>
      <c r="H618" s="3"/>
      <c r="I618" s="1"/>
    </row>
    <row r="619" spans="2:9" x14ac:dyDescent="0.15">
      <c r="B619" s="1"/>
      <c r="C619" s="2"/>
      <c r="D619" s="2"/>
      <c r="E619" s="2"/>
      <c r="F619" s="2"/>
      <c r="G619" s="2"/>
      <c r="H619" s="3"/>
      <c r="I619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Normal="100" workbookViewId="0">
      <selection activeCell="D121" sqref="D121:L141"/>
    </sheetView>
  </sheetViews>
  <sheetFormatPr baseColWidth="10" defaultColWidth="8.83203125" defaultRowHeight="13" x14ac:dyDescent="0.15"/>
  <cols>
    <col min="2" max="2" width="9.33203125" bestFit="1" customWidth="1"/>
    <col min="5" max="5" width="9.33203125" bestFit="1" customWidth="1"/>
    <col min="6" max="6" width="12.5" bestFit="1" customWidth="1"/>
    <col min="7" max="7" width="9.33203125" bestFit="1" customWidth="1"/>
  </cols>
  <sheetData>
    <row r="1" spans="1:12" x14ac:dyDescent="0.15">
      <c r="A1" s="12" t="s">
        <v>66</v>
      </c>
      <c r="D1" t="s">
        <v>9</v>
      </c>
    </row>
    <row r="2" spans="1:12" ht="14" thickBot="1" x14ac:dyDescent="0.2"/>
    <row r="3" spans="1:12" x14ac:dyDescent="0.15">
      <c r="A3" t="s">
        <v>7</v>
      </c>
      <c r="B3" t="s">
        <v>8</v>
      </c>
      <c r="D3" s="14" t="s">
        <v>10</v>
      </c>
      <c r="E3" s="14"/>
    </row>
    <row r="4" spans="1:12" x14ac:dyDescent="0.15">
      <c r="A4" s="3">
        <f>Data!C8/Data!F8</f>
        <v>50.522788312258079</v>
      </c>
      <c r="B4" s="3">
        <f>Data!H8</f>
        <v>0</v>
      </c>
      <c r="D4" t="s">
        <v>11</v>
      </c>
      <c r="E4">
        <v>0.372057770548956</v>
      </c>
    </row>
    <row r="5" spans="1:12" x14ac:dyDescent="0.15">
      <c r="A5" s="3">
        <f>Data!C9/Data!F9</f>
        <v>50.525959210996511</v>
      </c>
      <c r="B5" s="3">
        <f>Data!H9</f>
        <v>0.13333333333332575</v>
      </c>
      <c r="D5" t="s">
        <v>12</v>
      </c>
      <c r="E5">
        <v>0.13842698462585959</v>
      </c>
    </row>
    <row r="6" spans="1:12" x14ac:dyDescent="0.15">
      <c r="A6" s="3">
        <f>Data!C10/Data!F10</f>
        <v>50.458366962060325</v>
      </c>
      <c r="B6" s="3">
        <f>Data!H10</f>
        <v>0.29999999999995453</v>
      </c>
      <c r="D6" t="s">
        <v>13</v>
      </c>
      <c r="E6">
        <v>9.9264574836125927E-2</v>
      </c>
    </row>
    <row r="7" spans="1:12" x14ac:dyDescent="0.15">
      <c r="A7" s="3">
        <f>Data!C14/Data!F14</f>
        <v>50.610088263547311</v>
      </c>
      <c r="B7" s="3">
        <f>Data!H14</f>
        <v>9.6833333333332803</v>
      </c>
      <c r="D7" t="s">
        <v>14</v>
      </c>
      <c r="E7">
        <v>0.11557942338907971</v>
      </c>
    </row>
    <row r="8" spans="1:12" ht="14" thickBot="1" x14ac:dyDescent="0.2">
      <c r="A8" s="3">
        <f>Data!C15/Data!F15</f>
        <v>50.773230892330808</v>
      </c>
      <c r="B8" s="3">
        <f>Data!H15</f>
        <v>9.816666666666606</v>
      </c>
      <c r="D8" s="5" t="s">
        <v>15</v>
      </c>
      <c r="E8" s="5">
        <v>24</v>
      </c>
    </row>
    <row r="9" spans="1:12" x14ac:dyDescent="0.15">
      <c r="A9" s="3">
        <f>Data!C16/Data!F16</f>
        <v>50.697005816064213</v>
      </c>
      <c r="B9" s="3">
        <f>Data!H16</f>
        <v>10.033333333333303</v>
      </c>
    </row>
    <row r="10" spans="1:12" ht="14" thickBot="1" x14ac:dyDescent="0.2">
      <c r="A10" s="3">
        <f>Data!C56/Data!F56</f>
        <v>50.76678174708087</v>
      </c>
      <c r="B10" s="3">
        <f>Data!H56</f>
        <v>77.916666666666629</v>
      </c>
      <c r="D10" t="s">
        <v>16</v>
      </c>
    </row>
    <row r="11" spans="1:12" x14ac:dyDescent="0.15">
      <c r="A11" s="3">
        <f>Data!C57/Data!F57</f>
        <v>50.835574790108979</v>
      </c>
      <c r="B11" s="3">
        <f>Data!H57</f>
        <v>78</v>
      </c>
      <c r="D11" s="13"/>
      <c r="E11" s="13" t="s">
        <v>21</v>
      </c>
      <c r="F11" s="13" t="s">
        <v>22</v>
      </c>
      <c r="G11" s="13" t="s">
        <v>23</v>
      </c>
      <c r="H11" s="13" t="s">
        <v>24</v>
      </c>
      <c r="I11" s="13" t="s">
        <v>25</v>
      </c>
    </row>
    <row r="12" spans="1:12" x14ac:dyDescent="0.15">
      <c r="A12" s="3">
        <f>Data!C58/Data!F58</f>
        <v>50.759242556209273</v>
      </c>
      <c r="B12" s="3">
        <f>Data!H58</f>
        <v>78.133333333333326</v>
      </c>
      <c r="D12" t="s">
        <v>17</v>
      </c>
      <c r="E12">
        <v>1</v>
      </c>
      <c r="F12">
        <v>4.7218523001807067E-2</v>
      </c>
      <c r="G12">
        <v>4.7218523001807067E-2</v>
      </c>
      <c r="H12">
        <v>3.5346901625585856</v>
      </c>
      <c r="I12">
        <v>7.3404917628987959E-2</v>
      </c>
    </row>
    <row r="13" spans="1:12" x14ac:dyDescent="0.15">
      <c r="A13" s="3">
        <f>Data!C86/Data!F86</f>
        <v>50.671340953491665</v>
      </c>
      <c r="B13" s="3">
        <f>Data!H86</f>
        <v>131.91666666666663</v>
      </c>
      <c r="D13" t="s">
        <v>18</v>
      </c>
      <c r="E13">
        <v>22</v>
      </c>
      <c r="F13">
        <v>0.2938892684409472</v>
      </c>
      <c r="G13">
        <v>1.3358603110952145E-2</v>
      </c>
    </row>
    <row r="14" spans="1:12" ht="14" thickBot="1" x14ac:dyDescent="0.2">
      <c r="A14" s="3">
        <f>Data!C87/Data!F87</f>
        <v>50.476653028811519</v>
      </c>
      <c r="B14" s="3">
        <f>Data!H87</f>
        <v>132.13333333333333</v>
      </c>
      <c r="D14" s="5" t="s">
        <v>19</v>
      </c>
      <c r="E14" s="5">
        <v>23</v>
      </c>
      <c r="F14" s="5">
        <v>0.34110779144275427</v>
      </c>
      <c r="G14" s="5"/>
      <c r="H14" s="5"/>
      <c r="I14" s="5"/>
    </row>
    <row r="15" spans="1:12" ht="14" thickBot="1" x14ac:dyDescent="0.2">
      <c r="A15" s="3">
        <f>Data!C88/Data!F88</f>
        <v>50.50178725298651</v>
      </c>
      <c r="B15" s="3">
        <f>Data!H88</f>
        <v>132.43333333333328</v>
      </c>
    </row>
    <row r="16" spans="1:12" x14ac:dyDescent="0.15">
      <c r="A16" s="3">
        <f>Data!C92/Data!F92</f>
        <v>50.599723563361913</v>
      </c>
      <c r="B16" s="3">
        <f>Data!H92</f>
        <v>146.0333333333333</v>
      </c>
      <c r="D16" s="13"/>
      <c r="E16" s="13" t="s">
        <v>26</v>
      </c>
      <c r="F16" s="13" t="s">
        <v>14</v>
      </c>
      <c r="G16" s="13" t="s">
        <v>27</v>
      </c>
      <c r="H16" s="13" t="s">
        <v>28</v>
      </c>
      <c r="I16" s="13" t="s">
        <v>29</v>
      </c>
      <c r="J16" s="13" t="s">
        <v>30</v>
      </c>
      <c r="K16" s="13" t="s">
        <v>31</v>
      </c>
      <c r="L16" s="13" t="s">
        <v>32</v>
      </c>
    </row>
    <row r="17" spans="1:12" x14ac:dyDescent="0.15">
      <c r="A17" s="3">
        <f>Data!C93/Data!F93</f>
        <v>50.472232490613436</v>
      </c>
      <c r="B17" s="3">
        <f>Data!H93</f>
        <v>146.13333333333333</v>
      </c>
      <c r="D17" t="s">
        <v>20</v>
      </c>
      <c r="E17">
        <v>50.635991684299462</v>
      </c>
      <c r="F17">
        <v>3.7517723976204669E-2</v>
      </c>
      <c r="G17">
        <v>1349.6552113986168</v>
      </c>
      <c r="H17">
        <v>1.3411799638304E-55</v>
      </c>
      <c r="I17">
        <v>50.558184686976155</v>
      </c>
      <c r="J17">
        <v>50.713798681622769</v>
      </c>
      <c r="K17">
        <v>50.558184686976155</v>
      </c>
      <c r="L17">
        <v>50.713798681622769</v>
      </c>
    </row>
    <row r="18" spans="1:12" ht="14" thickBot="1" x14ac:dyDescent="0.2">
      <c r="A18" s="3">
        <f>Data!C94/Data!F94</f>
        <v>50.646816535331894</v>
      </c>
      <c r="B18" s="3">
        <f>Data!H94</f>
        <v>146.21666666666658</v>
      </c>
      <c r="D18" s="5" t="s">
        <v>33</v>
      </c>
      <c r="E18" s="5">
        <v>-3.1869096271286922E-4</v>
      </c>
      <c r="F18" s="5">
        <v>1.695095115855941E-4</v>
      </c>
      <c r="G18" s="5">
        <v>-1.8800771693094385</v>
      </c>
      <c r="H18" s="5">
        <v>7.3404917628987681E-2</v>
      </c>
      <c r="I18" s="5">
        <v>-6.7023217354379824E-4</v>
      </c>
      <c r="J18" s="5">
        <v>3.2850248118059802E-5</v>
      </c>
      <c r="K18" s="5">
        <v>-6.7023217354379824E-4</v>
      </c>
      <c r="L18" s="5">
        <v>3.2850248118059802E-5</v>
      </c>
    </row>
    <row r="19" spans="1:12" x14ac:dyDescent="0.15">
      <c r="A19" s="3">
        <f>Data!C152/Data!F152</f>
        <v>50.477509776938696</v>
      </c>
      <c r="B19" s="3">
        <f>Data!H152</f>
        <v>270.83333333333326</v>
      </c>
    </row>
    <row r="20" spans="1:12" x14ac:dyDescent="0.15">
      <c r="A20" s="3">
        <f>Data!C153/Data!F153</f>
        <v>50.441874897869077</v>
      </c>
      <c r="B20" s="3">
        <f>Data!H153</f>
        <v>270.96666666666658</v>
      </c>
    </row>
    <row r="21" spans="1:12" x14ac:dyDescent="0.15">
      <c r="A21" s="3">
        <f>Data!C154/Data!F154</f>
        <v>50.423412940157135</v>
      </c>
      <c r="B21" s="3">
        <f>Data!H154</f>
        <v>271.04999999999995</v>
      </c>
    </row>
    <row r="22" spans="1:12" x14ac:dyDescent="0.15">
      <c r="A22" s="3">
        <f>Data!C212/Data!F212</f>
        <v>50.583894697780011</v>
      </c>
      <c r="B22" s="3">
        <f>Data!H212</f>
        <v>364.51666666666665</v>
      </c>
    </row>
    <row r="23" spans="1:12" x14ac:dyDescent="0.15">
      <c r="A23" s="3">
        <f>Data!C213/Data!F213</f>
        <v>50.541285333212215</v>
      </c>
      <c r="B23" s="3">
        <f>Data!H213</f>
        <v>364.65</v>
      </c>
    </row>
    <row r="24" spans="1:12" x14ac:dyDescent="0.15">
      <c r="A24" s="3">
        <f>Data!C214/Data!F214</f>
        <v>50.638356267355661</v>
      </c>
      <c r="B24" s="3">
        <f>Data!H214</f>
        <v>364.7833333333333</v>
      </c>
    </row>
    <row r="25" spans="1:12" x14ac:dyDescent="0.15">
      <c r="A25" s="3">
        <f>Data!C218/Data!F218</f>
        <v>50.61954064981672</v>
      </c>
      <c r="B25" s="3">
        <f>Data!H218</f>
        <v>374.73333333333335</v>
      </c>
    </row>
    <row r="26" spans="1:12" x14ac:dyDescent="0.15">
      <c r="A26" s="3">
        <f>Data!C219/Data!F219</f>
        <v>50.473698427220839</v>
      </c>
      <c r="B26" s="3">
        <f>Data!H219</f>
        <v>374.86666666666667</v>
      </c>
    </row>
    <row r="27" spans="1:12" x14ac:dyDescent="0.15">
      <c r="A27" s="3">
        <f>Data!C220/Data!F220</f>
        <v>50.430367020354396</v>
      </c>
      <c r="B27" s="3">
        <f>Data!H220</f>
        <v>374.94999999999993</v>
      </c>
    </row>
    <row r="28" spans="1:12" x14ac:dyDescent="0.15">
      <c r="A28" s="3" t="e">
        <f>Data!C416/Data!F416</f>
        <v>#DIV/0!</v>
      </c>
      <c r="B28" s="3">
        <f>Data!H416</f>
        <v>0</v>
      </c>
    </row>
    <row r="29" spans="1:12" x14ac:dyDescent="0.15">
      <c r="A29" s="3" t="e">
        <f>Data!C417/Data!F417</f>
        <v>#DIV/0!</v>
      </c>
      <c r="B29" s="3">
        <f>Data!H417</f>
        <v>0</v>
      </c>
    </row>
    <row r="30" spans="1:12" x14ac:dyDescent="0.15">
      <c r="A30" s="3" t="e">
        <f>Data!C418/Data!F418</f>
        <v>#DIV/0!</v>
      </c>
      <c r="B30" s="3">
        <f>Data!H418</f>
        <v>0</v>
      </c>
    </row>
    <row r="31" spans="1:12" x14ac:dyDescent="0.15">
      <c r="A31" s="3" t="e">
        <f>Data!C542/Data!F542</f>
        <v>#DIV/0!</v>
      </c>
      <c r="B31" s="3">
        <f>Data!H542</f>
        <v>0</v>
      </c>
    </row>
    <row r="32" spans="1:12" x14ac:dyDescent="0.15">
      <c r="A32" s="3" t="e">
        <f>Data!C543/Data!F543</f>
        <v>#DIV/0!</v>
      </c>
      <c r="B32" s="3">
        <f>Data!H543</f>
        <v>0</v>
      </c>
    </row>
    <row r="33" spans="1:5" x14ac:dyDescent="0.15">
      <c r="A33" s="3" t="e">
        <f>Data!C544/Data!F544</f>
        <v>#DIV/0!</v>
      </c>
      <c r="B33" s="3">
        <f>Data!H544</f>
        <v>0</v>
      </c>
    </row>
    <row r="34" spans="1:5" x14ac:dyDescent="0.15">
      <c r="A34" s="3" t="e">
        <f>Data!C608/Data!F608</f>
        <v>#DIV/0!</v>
      </c>
      <c r="B34" s="3">
        <f>Data!H608</f>
        <v>0</v>
      </c>
    </row>
    <row r="35" spans="1:5" x14ac:dyDescent="0.15">
      <c r="A35" s="3" t="e">
        <f>Data!C609/Data!F609</f>
        <v>#DIV/0!</v>
      </c>
      <c r="B35" s="3">
        <f>Data!H609</f>
        <v>0</v>
      </c>
    </row>
    <row r="36" spans="1:5" x14ac:dyDescent="0.15">
      <c r="A36" s="3" t="e">
        <f>Data!C610/Data!F610</f>
        <v>#DIV/0!</v>
      </c>
      <c r="B36" s="3">
        <f>Data!H610</f>
        <v>0</v>
      </c>
    </row>
    <row r="37" spans="1:5" x14ac:dyDescent="0.15">
      <c r="A37" s="3" t="e">
        <f>Data!C614/Data!F614</f>
        <v>#DIV/0!</v>
      </c>
      <c r="B37" s="3">
        <f>Data!H614</f>
        <v>0</v>
      </c>
    </row>
    <row r="38" spans="1:5" x14ac:dyDescent="0.15">
      <c r="A38" s="3" t="e">
        <f>Data!C615/Data!F615</f>
        <v>#DIV/0!</v>
      </c>
      <c r="B38" s="3">
        <f>Data!H615</f>
        <v>0</v>
      </c>
    </row>
    <row r="39" spans="1:5" x14ac:dyDescent="0.15">
      <c r="A39" s="3" t="e">
        <f>Data!C616/Data!F616</f>
        <v>#DIV/0!</v>
      </c>
      <c r="B39" s="3">
        <f>Data!H616</f>
        <v>0</v>
      </c>
    </row>
    <row r="40" spans="1:5" s="12" customFormat="1" x14ac:dyDescent="0.15"/>
    <row r="41" spans="1:5" x14ac:dyDescent="0.15">
      <c r="A41" s="12" t="s">
        <v>67</v>
      </c>
      <c r="D41" t="s">
        <v>9</v>
      </c>
    </row>
    <row r="42" spans="1:5" ht="14" thickBot="1" x14ac:dyDescent="0.2"/>
    <row r="43" spans="1:5" x14ac:dyDescent="0.15">
      <c r="A43" t="s">
        <v>7</v>
      </c>
      <c r="B43" t="s">
        <v>8</v>
      </c>
      <c r="D43" s="14" t="s">
        <v>10</v>
      </c>
      <c r="E43" s="14"/>
    </row>
    <row r="44" spans="1:5" x14ac:dyDescent="0.15">
      <c r="A44" s="3">
        <f>Data!C11/Data!F11</f>
        <v>51.296013781678099</v>
      </c>
      <c r="B44" s="3">
        <f>Data!H11</f>
        <v>5.0833333333332575</v>
      </c>
      <c r="D44" t="s">
        <v>11</v>
      </c>
      <c r="E44">
        <v>0.44806264595817802</v>
      </c>
    </row>
    <row r="45" spans="1:5" x14ac:dyDescent="0.15">
      <c r="A45" s="3">
        <f>Data!C12/Data!F12</f>
        <v>51.182840854756726</v>
      </c>
      <c r="B45" s="3">
        <f>Data!H12</f>
        <v>5.2166666666665833</v>
      </c>
      <c r="D45" t="s">
        <v>12</v>
      </c>
      <c r="E45">
        <v>0.20076013470304357</v>
      </c>
    </row>
    <row r="46" spans="1:5" x14ac:dyDescent="0.15">
      <c r="A46" s="3">
        <f>Data!C13/Data!F13</f>
        <v>51.177940245459567</v>
      </c>
      <c r="B46" s="3">
        <f>Data!H13</f>
        <v>5.3500000000000227</v>
      </c>
      <c r="D46" t="s">
        <v>13</v>
      </c>
      <c r="E46">
        <v>0.16443104991681826</v>
      </c>
    </row>
    <row r="47" spans="1:5" x14ac:dyDescent="0.15">
      <c r="A47" s="3">
        <f>Data!C17/Data!F17</f>
        <v>51.325729498406673</v>
      </c>
      <c r="B47" s="3">
        <f>Data!H17</f>
        <v>16.416666666666629</v>
      </c>
      <c r="D47" t="s">
        <v>14</v>
      </c>
      <c r="E47">
        <v>7.7765521730176132E-2</v>
      </c>
    </row>
    <row r="48" spans="1:5" ht="14" thickBot="1" x14ac:dyDescent="0.2">
      <c r="A48" s="3">
        <f>Data!C18/Data!F18</f>
        <v>51.226924158180793</v>
      </c>
      <c r="B48" s="3">
        <f>Data!H18</f>
        <v>16.549999999999955</v>
      </c>
      <c r="D48" s="5" t="s">
        <v>15</v>
      </c>
      <c r="E48" s="5">
        <v>24</v>
      </c>
    </row>
    <row r="49" spans="1:12" x14ac:dyDescent="0.15">
      <c r="A49" s="3">
        <f>Data!C19/Data!F19</f>
        <v>51.184228114904371</v>
      </c>
      <c r="B49" s="3">
        <f>Data!H19</f>
        <v>16.68333333333328</v>
      </c>
    </row>
    <row r="50" spans="1:12" ht="14" thickBot="1" x14ac:dyDescent="0.2">
      <c r="A50" s="3">
        <f>Data!C59/Data!F59</f>
        <v>51.254389850955839</v>
      </c>
      <c r="B50" s="3">
        <f>Data!H59</f>
        <v>81.93333333333328</v>
      </c>
      <c r="D50" t="s">
        <v>16</v>
      </c>
    </row>
    <row r="51" spans="1:12" x14ac:dyDescent="0.15">
      <c r="A51" s="3">
        <f>Data!C60/Data!F60</f>
        <v>51.366558382863602</v>
      </c>
      <c r="B51" s="3">
        <f>Data!H60</f>
        <v>82.049999999999955</v>
      </c>
      <c r="D51" s="13"/>
      <c r="E51" s="13" t="s">
        <v>21</v>
      </c>
      <c r="F51" s="13" t="s">
        <v>22</v>
      </c>
      <c r="G51" s="13" t="s">
        <v>23</v>
      </c>
      <c r="H51" s="13" t="s">
        <v>24</v>
      </c>
      <c r="I51" s="13" t="s">
        <v>25</v>
      </c>
    </row>
    <row r="52" spans="1:12" x14ac:dyDescent="0.15">
      <c r="A52" s="3">
        <f>Data!C61/Data!F61</f>
        <v>51.422491464764619</v>
      </c>
      <c r="B52" s="3">
        <f>Data!H61</f>
        <v>82.18333333333328</v>
      </c>
      <c r="D52" t="s">
        <v>17</v>
      </c>
      <c r="E52">
        <v>1</v>
      </c>
      <c r="F52">
        <v>3.3419288644130324E-2</v>
      </c>
      <c r="G52">
        <v>3.3419288644130324E-2</v>
      </c>
      <c r="H52">
        <v>5.5261544815784829</v>
      </c>
      <c r="I52">
        <v>2.8108272850301996E-2</v>
      </c>
    </row>
    <row r="53" spans="1:12" x14ac:dyDescent="0.15">
      <c r="A53" s="3">
        <f>Data!C89/Data!F89</f>
        <v>51.2952229860853</v>
      </c>
      <c r="B53" s="3">
        <f>Data!H89</f>
        <v>141.04999999999995</v>
      </c>
      <c r="D53" t="s">
        <v>18</v>
      </c>
      <c r="E53">
        <v>22</v>
      </c>
      <c r="F53">
        <v>0.1330444801392629</v>
      </c>
      <c r="G53">
        <v>6.0474763699664954E-3</v>
      </c>
    </row>
    <row r="54" spans="1:12" ht="14" thickBot="1" x14ac:dyDescent="0.2">
      <c r="A54" s="3">
        <f>Data!C90/Data!F90</f>
        <v>51.285608667005256</v>
      </c>
      <c r="B54" s="3">
        <f>Data!H90</f>
        <v>141.13333333333333</v>
      </c>
      <c r="D54" s="5" t="s">
        <v>19</v>
      </c>
      <c r="E54" s="5">
        <v>23</v>
      </c>
      <c r="F54" s="5">
        <v>0.16646376878339322</v>
      </c>
      <c r="G54" s="5"/>
      <c r="H54" s="5"/>
      <c r="I54" s="5"/>
    </row>
    <row r="55" spans="1:12" ht="14" thickBot="1" x14ac:dyDescent="0.2">
      <c r="A55" s="3">
        <f>Data!C91/Data!F91</f>
        <v>51.492878407030169</v>
      </c>
      <c r="B55" s="3">
        <f>Data!H91</f>
        <v>141.21666666666658</v>
      </c>
    </row>
    <row r="56" spans="1:12" x14ac:dyDescent="0.15">
      <c r="A56" s="3">
        <f>Data!C95/Data!F95</f>
        <v>51.238874806387109</v>
      </c>
      <c r="B56" s="3">
        <f>Data!H95</f>
        <v>150.36666666666667</v>
      </c>
      <c r="D56" s="13"/>
      <c r="E56" s="13" t="s">
        <v>26</v>
      </c>
      <c r="F56" s="13" t="s">
        <v>14</v>
      </c>
      <c r="G56" s="13" t="s">
        <v>27</v>
      </c>
      <c r="H56" s="13" t="s">
        <v>28</v>
      </c>
      <c r="I56" s="13" t="s">
        <v>29</v>
      </c>
      <c r="J56" s="13" t="s">
        <v>30</v>
      </c>
      <c r="K56" s="13" t="s">
        <v>31</v>
      </c>
      <c r="L56" s="13" t="s">
        <v>32</v>
      </c>
    </row>
    <row r="57" spans="1:12" x14ac:dyDescent="0.15">
      <c r="A57" s="3">
        <f>Data!C96/Data!F96</f>
        <v>51.427708231807934</v>
      </c>
      <c r="B57" s="3">
        <f>Data!H96</f>
        <v>150.5</v>
      </c>
      <c r="D57" t="s">
        <v>20</v>
      </c>
      <c r="E57">
        <v>51.274999637146173</v>
      </c>
      <c r="F57">
        <v>2.5762051262334978E-2</v>
      </c>
      <c r="G57">
        <v>1990.3306268205445</v>
      </c>
      <c r="H57">
        <v>2.6065397112024056E-59</v>
      </c>
      <c r="I57">
        <v>51.221572412859253</v>
      </c>
      <c r="J57">
        <v>51.328426861433094</v>
      </c>
      <c r="K57">
        <v>51.221572412859253</v>
      </c>
      <c r="L57">
        <v>51.328426861433094</v>
      </c>
    </row>
    <row r="58" spans="1:12" ht="14" thickBot="1" x14ac:dyDescent="0.2">
      <c r="A58" s="3">
        <f>Data!C97/Data!F97</f>
        <v>51.393934283925539</v>
      </c>
      <c r="B58" s="3">
        <f>Data!H97</f>
        <v>150.88333333333333</v>
      </c>
      <c r="D58" s="5" t="s">
        <v>33</v>
      </c>
      <c r="E58" s="5">
        <v>2.6778935169376856E-4</v>
      </c>
      <c r="F58" s="5">
        <v>1.1391523048418451E-4</v>
      </c>
      <c r="G58" s="5">
        <v>2.3507774206799086</v>
      </c>
      <c r="H58" s="5">
        <v>2.8108272850301937E-2</v>
      </c>
      <c r="I58" s="5">
        <v>3.1543623168538615E-5</v>
      </c>
      <c r="J58" s="5">
        <v>5.0403508021899844E-4</v>
      </c>
      <c r="K58" s="5">
        <v>3.1543623168538615E-5</v>
      </c>
      <c r="L58" s="5">
        <v>5.0403508021899844E-4</v>
      </c>
    </row>
    <row r="59" spans="1:12" x14ac:dyDescent="0.15">
      <c r="A59" s="3">
        <f>Data!C155/Data!F155</f>
        <v>51.289490397356822</v>
      </c>
      <c r="B59" s="3">
        <f>Data!H155</f>
        <v>278.56666666666661</v>
      </c>
    </row>
    <row r="60" spans="1:12" x14ac:dyDescent="0.15">
      <c r="A60" s="3">
        <f>Data!C156/Data!F156</f>
        <v>51.407470590015443</v>
      </c>
      <c r="B60" s="3">
        <f>Data!H156</f>
        <v>278.64999999999998</v>
      </c>
    </row>
    <row r="61" spans="1:12" x14ac:dyDescent="0.15">
      <c r="A61" s="3">
        <f>Data!C157/Data!F157</f>
        <v>51.336332179213187</v>
      </c>
      <c r="B61" s="3">
        <f>Data!H157</f>
        <v>278.73333333333335</v>
      </c>
    </row>
    <row r="62" spans="1:12" x14ac:dyDescent="0.15">
      <c r="A62" s="3">
        <f>Data!C215/Data!F215</f>
        <v>51.361534623297445</v>
      </c>
      <c r="B62" s="3">
        <f>Data!H215</f>
        <v>369.93333333333328</v>
      </c>
    </row>
    <row r="63" spans="1:12" x14ac:dyDescent="0.15">
      <c r="A63" s="3">
        <f>Data!C216/Data!F216</f>
        <v>51.26713152649225</v>
      </c>
      <c r="B63" s="3">
        <f>Data!H216</f>
        <v>370.06666666666661</v>
      </c>
    </row>
    <row r="64" spans="1:12" x14ac:dyDescent="0.15">
      <c r="A64" s="3">
        <f>Data!C217/Data!F217</f>
        <v>51.396685820382828</v>
      </c>
      <c r="B64" s="3">
        <f>Data!H217</f>
        <v>370.41666666666663</v>
      </c>
    </row>
    <row r="65" spans="1:2" x14ac:dyDescent="0.15">
      <c r="A65" s="3">
        <f>Data!C221/Data!F221</f>
        <v>51.381916642857171</v>
      </c>
      <c r="B65" s="3">
        <f>Data!H221</f>
        <v>380.5333333333333</v>
      </c>
    </row>
    <row r="66" spans="1:2" x14ac:dyDescent="0.15">
      <c r="A66" s="3">
        <f>Data!C222/Data!F222</f>
        <v>51.355546100403103</v>
      </c>
      <c r="B66" s="3">
        <f>Data!H222</f>
        <v>380.63333333333333</v>
      </c>
    </row>
    <row r="67" spans="1:2" x14ac:dyDescent="0.15">
      <c r="A67" s="3">
        <f>Data!C223/Data!F223</f>
        <v>51.377303450522042</v>
      </c>
      <c r="B67" s="3">
        <f>Data!H223</f>
        <v>380.71666666666658</v>
      </c>
    </row>
    <row r="68" spans="1:2" x14ac:dyDescent="0.15">
      <c r="A68" s="3" t="e">
        <f>Data!C419/Data!F419</f>
        <v>#DIV/0!</v>
      </c>
      <c r="B68" s="3">
        <f>Data!H419</f>
        <v>0</v>
      </c>
    </row>
    <row r="69" spans="1:2" x14ac:dyDescent="0.15">
      <c r="A69" s="3" t="e">
        <f>Data!C420/Data!F420</f>
        <v>#DIV/0!</v>
      </c>
      <c r="B69" s="3">
        <f>Data!H420</f>
        <v>0</v>
      </c>
    </row>
    <row r="70" spans="1:2" x14ac:dyDescent="0.15">
      <c r="A70" s="3" t="e">
        <f>Data!C421/Data!F421</f>
        <v>#DIV/0!</v>
      </c>
      <c r="B70" s="3">
        <f>Data!H421</f>
        <v>0</v>
      </c>
    </row>
    <row r="71" spans="1:2" x14ac:dyDescent="0.15">
      <c r="A71" s="3" t="e">
        <f>Data!C545/Data!F545</f>
        <v>#DIV/0!</v>
      </c>
      <c r="B71" s="3">
        <f>Data!H545</f>
        <v>0</v>
      </c>
    </row>
    <row r="72" spans="1:2" x14ac:dyDescent="0.15">
      <c r="A72" s="3" t="e">
        <f>Data!C546/Data!F546</f>
        <v>#DIV/0!</v>
      </c>
      <c r="B72" s="3">
        <f>Data!H546</f>
        <v>0</v>
      </c>
    </row>
    <row r="73" spans="1:2" x14ac:dyDescent="0.15">
      <c r="A73" s="3" t="e">
        <f>Data!C547/Data!F547</f>
        <v>#DIV/0!</v>
      </c>
      <c r="B73" s="3">
        <f>Data!H547</f>
        <v>0</v>
      </c>
    </row>
    <row r="74" spans="1:2" x14ac:dyDescent="0.15">
      <c r="A74" s="3" t="e">
        <f>Data!C611/Data!F611</f>
        <v>#DIV/0!</v>
      </c>
      <c r="B74" s="3">
        <f>Data!H611</f>
        <v>0</v>
      </c>
    </row>
    <row r="75" spans="1:2" x14ac:dyDescent="0.15">
      <c r="A75" s="3" t="e">
        <f>Data!C612/Data!F612</f>
        <v>#DIV/0!</v>
      </c>
      <c r="B75" s="3">
        <f>Data!H612</f>
        <v>0</v>
      </c>
    </row>
    <row r="76" spans="1:2" x14ac:dyDescent="0.15">
      <c r="A76" s="3" t="e">
        <f>Data!C613/Data!F613</f>
        <v>#DIV/0!</v>
      </c>
      <c r="B76" s="3">
        <f>Data!H613</f>
        <v>0</v>
      </c>
    </row>
    <row r="77" spans="1:2" x14ac:dyDescent="0.15">
      <c r="A77" s="3" t="e">
        <f>Data!C617/Data!F617</f>
        <v>#DIV/0!</v>
      </c>
      <c r="B77" s="3">
        <f>Data!H617</f>
        <v>0</v>
      </c>
    </row>
    <row r="78" spans="1:2" x14ac:dyDescent="0.15">
      <c r="A78" s="3" t="e">
        <f>Data!C618/Data!F618</f>
        <v>#DIV/0!</v>
      </c>
      <c r="B78" s="3">
        <f>Data!H618</f>
        <v>0</v>
      </c>
    </row>
    <row r="79" spans="1:2" x14ac:dyDescent="0.15">
      <c r="A79" s="3" t="e">
        <f>Data!C619/Data!F619</f>
        <v>#DIV/0!</v>
      </c>
      <c r="B79" s="3">
        <f>Data!H619</f>
        <v>0</v>
      </c>
    </row>
    <row r="81" spans="1:12" x14ac:dyDescent="0.15">
      <c r="A81" s="12" t="s">
        <v>68</v>
      </c>
      <c r="D81" t="s">
        <v>9</v>
      </c>
    </row>
    <row r="82" spans="1:12" ht="14" thickBot="1" x14ac:dyDescent="0.2"/>
    <row r="83" spans="1:12" x14ac:dyDescent="0.15">
      <c r="A83" t="s">
        <v>34</v>
      </c>
      <c r="B83" t="s">
        <v>35</v>
      </c>
      <c r="D83" s="14" t="s">
        <v>10</v>
      </c>
      <c r="E83" s="14"/>
    </row>
    <row r="84" spans="1:12" x14ac:dyDescent="0.15">
      <c r="A84" s="3">
        <f>Data!G8/Data!F8</f>
        <v>24.348914614857854</v>
      </c>
      <c r="B84" s="3">
        <f>Data!H8</f>
        <v>0</v>
      </c>
      <c r="D84" t="s">
        <v>11</v>
      </c>
      <c r="E84">
        <v>4.7939096813220852E-2</v>
      </c>
    </row>
    <row r="85" spans="1:12" x14ac:dyDescent="0.15">
      <c r="A85" s="3">
        <f>Data!G9/Data!F9</f>
        <v>24.327747873315754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15">
      <c r="A86" s="3">
        <f>Data!G10/Data!F10</f>
        <v>24.315348771008182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15">
      <c r="A87" s="3">
        <f>Data!G14/Data!F14</f>
        <v>24.375486313161641</v>
      </c>
      <c r="B87" s="3">
        <f>Data!H14</f>
        <v>9.6833333333332803</v>
      </c>
      <c r="D87" t="s">
        <v>14</v>
      </c>
      <c r="E87">
        <v>5.6283917918550197E-2</v>
      </c>
    </row>
    <row r="88" spans="1:12" ht="14" thickBot="1" x14ac:dyDescent="0.2">
      <c r="A88" s="3">
        <f>Data!G15/Data!F15</f>
        <v>24.425288013259635</v>
      </c>
      <c r="B88" s="3">
        <f>Data!H15</f>
        <v>9.816666666666606</v>
      </c>
      <c r="D88" s="5" t="s">
        <v>15</v>
      </c>
      <c r="E88" s="5">
        <v>24</v>
      </c>
    </row>
    <row r="89" spans="1:12" x14ac:dyDescent="0.15">
      <c r="A89" s="3">
        <f>Data!G16/Data!F16</f>
        <v>24.417957108464009</v>
      </c>
      <c r="B89" s="3">
        <f>Data!H16</f>
        <v>10.033333333333303</v>
      </c>
    </row>
    <row r="90" spans="1:12" ht="14" thickBot="1" x14ac:dyDescent="0.2">
      <c r="A90" s="3">
        <f>Data!G56/Data!F56</f>
        <v>24.475959273761926</v>
      </c>
      <c r="B90" s="3">
        <f>Data!H56</f>
        <v>77.916666666666629</v>
      </c>
      <c r="D90" t="s">
        <v>16</v>
      </c>
    </row>
    <row r="91" spans="1:12" x14ac:dyDescent="0.15">
      <c r="A91" s="3">
        <f>Data!G57/Data!F57</f>
        <v>24.533741012226049</v>
      </c>
      <c r="B91" s="3">
        <f>Data!H57</f>
        <v>78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15">
      <c r="A92" s="3">
        <f>Data!G58/Data!F58</f>
        <v>24.45721175859018</v>
      </c>
      <c r="B92" s="3">
        <f>Data!H58</f>
        <v>78.133333333333326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15">
      <c r="A93" s="3">
        <f>Data!G86/Data!F86</f>
        <v>24.506869141501348</v>
      </c>
      <c r="B93" s="3">
        <f>Data!H86</f>
        <v>131.91666666666663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4" thickBot="1" x14ac:dyDescent="0.2">
      <c r="A94" s="3">
        <f>Data!G87/Data!F87</f>
        <v>24.372660111576131</v>
      </c>
      <c r="B94" s="3">
        <f>Data!H87</f>
        <v>132.13333333333333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4" thickBot="1" x14ac:dyDescent="0.2">
      <c r="A95" s="3">
        <f>Data!G88/Data!F88</f>
        <v>24.389251614440273</v>
      </c>
      <c r="B95" s="3">
        <f>Data!H88</f>
        <v>132.43333333333328</v>
      </c>
    </row>
    <row r="96" spans="1:12" x14ac:dyDescent="0.15">
      <c r="A96" s="3">
        <f>Data!G92/Data!F92</f>
        <v>24.440614681317463</v>
      </c>
      <c r="B96" s="3">
        <f>Data!H92</f>
        <v>146.0333333333333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15">
      <c r="A97" s="3">
        <f>Data!G93/Data!F93</f>
        <v>24.406051723257285</v>
      </c>
      <c r="B97" s="3">
        <f>Data!H93</f>
        <v>146.13333333333333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4" thickBot="1" x14ac:dyDescent="0.2">
      <c r="A98" s="3">
        <f>Data!G94/Data!F94</f>
        <v>24.456216724954071</v>
      </c>
      <c r="B98" s="3">
        <f>Data!H94</f>
        <v>146.21666666666658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15">
      <c r="A99" s="3">
        <f>Data!G152/Data!F152</f>
        <v>24.399409162164446</v>
      </c>
      <c r="B99" s="3">
        <f>Data!H152</f>
        <v>270.83333333333326</v>
      </c>
    </row>
    <row r="100" spans="1:12" x14ac:dyDescent="0.15">
      <c r="A100" s="3">
        <f>Data!G153/Data!F153</f>
        <v>24.342059515821166</v>
      </c>
      <c r="B100" s="3">
        <f>Data!H153</f>
        <v>270.96666666666658</v>
      </c>
    </row>
    <row r="101" spans="1:12" x14ac:dyDescent="0.15">
      <c r="A101" s="3">
        <f>Data!G154/Data!F154</f>
        <v>24.341021137623546</v>
      </c>
      <c r="B101" s="3">
        <f>Data!H154</f>
        <v>271.04999999999995</v>
      </c>
    </row>
    <row r="102" spans="1:12" x14ac:dyDescent="0.15">
      <c r="A102" s="3">
        <f>Data!G212/Data!F212</f>
        <v>24.404374495208572</v>
      </c>
      <c r="B102" s="3">
        <f>Data!H212</f>
        <v>364.51666666666665</v>
      </c>
    </row>
    <row r="103" spans="1:12" x14ac:dyDescent="0.15">
      <c r="A103" s="3">
        <f>Data!G213/Data!F213</f>
        <v>24.420387706723641</v>
      </c>
      <c r="B103" s="3">
        <f>Data!H213</f>
        <v>364.65</v>
      </c>
    </row>
    <row r="104" spans="1:12" x14ac:dyDescent="0.15">
      <c r="A104" s="3">
        <f>Data!G214/Data!F214</f>
        <v>24.409511930557244</v>
      </c>
      <c r="B104" s="3">
        <f>Data!H214</f>
        <v>364.7833333333333</v>
      </c>
    </row>
    <row r="105" spans="1:12" x14ac:dyDescent="0.15">
      <c r="A105" s="3">
        <f>Data!G218/Data!F218</f>
        <v>24.429885206155205</v>
      </c>
      <c r="B105" s="3">
        <f>Data!H218</f>
        <v>374.73333333333335</v>
      </c>
    </row>
    <row r="106" spans="1:12" x14ac:dyDescent="0.15">
      <c r="A106" s="3">
        <f>Data!G219/Data!F219</f>
        <v>24.376543371236874</v>
      </c>
      <c r="B106" s="3">
        <f>Data!H219</f>
        <v>374.86666666666667</v>
      </c>
    </row>
    <row r="107" spans="1:12" x14ac:dyDescent="0.15">
      <c r="A107" s="3">
        <f>Data!G220/Data!F220</f>
        <v>24.365082753171034</v>
      </c>
      <c r="B107" s="3">
        <f>Data!H220</f>
        <v>374.94999999999993</v>
      </c>
    </row>
    <row r="108" spans="1:12" x14ac:dyDescent="0.15">
      <c r="A108" s="3" t="e">
        <f>Data!G416/Data!F416</f>
        <v>#DIV/0!</v>
      </c>
      <c r="B108" s="3">
        <f>Data!H416</f>
        <v>0</v>
      </c>
    </row>
    <row r="109" spans="1:12" x14ac:dyDescent="0.15">
      <c r="A109" s="3" t="e">
        <f>Data!G417/Data!F417</f>
        <v>#DIV/0!</v>
      </c>
      <c r="B109" s="3">
        <f>Data!H417</f>
        <v>0</v>
      </c>
    </row>
    <row r="110" spans="1:12" x14ac:dyDescent="0.15">
      <c r="A110" s="3" t="e">
        <f>Data!G418/Data!F418</f>
        <v>#DIV/0!</v>
      </c>
      <c r="B110" s="3">
        <f>Data!H418</f>
        <v>0</v>
      </c>
    </row>
    <row r="111" spans="1:12" x14ac:dyDescent="0.15">
      <c r="A111" s="3" t="e">
        <f>Data!G542/Data!F542</f>
        <v>#DIV/0!</v>
      </c>
      <c r="B111" s="3">
        <f>Data!H542</f>
        <v>0</v>
      </c>
    </row>
    <row r="112" spans="1:12" x14ac:dyDescent="0.15">
      <c r="A112" s="3" t="e">
        <f>Data!G543/Data!F543</f>
        <v>#DIV/0!</v>
      </c>
      <c r="B112" s="3">
        <f>Data!H543</f>
        <v>0</v>
      </c>
    </row>
    <row r="113" spans="1:5" x14ac:dyDescent="0.15">
      <c r="A113" s="3" t="e">
        <f>Data!G544/Data!F544</f>
        <v>#DIV/0!</v>
      </c>
      <c r="B113" s="3">
        <f>Data!H544</f>
        <v>0</v>
      </c>
    </row>
    <row r="114" spans="1:5" x14ac:dyDescent="0.15">
      <c r="A114" s="3" t="e">
        <f>Data!G608/Data!F608</f>
        <v>#DIV/0!</v>
      </c>
      <c r="B114" s="3">
        <f>Data!H608</f>
        <v>0</v>
      </c>
    </row>
    <row r="115" spans="1:5" x14ac:dyDescent="0.15">
      <c r="A115" s="3" t="e">
        <f>Data!G609/Data!F609</f>
        <v>#DIV/0!</v>
      </c>
      <c r="B115" s="3">
        <f>Data!H609</f>
        <v>0</v>
      </c>
    </row>
    <row r="116" spans="1:5" x14ac:dyDescent="0.15">
      <c r="A116" s="3" t="e">
        <f>Data!G610/Data!F610</f>
        <v>#DIV/0!</v>
      </c>
      <c r="B116" s="3">
        <f>Data!H610</f>
        <v>0</v>
      </c>
    </row>
    <row r="117" spans="1:5" x14ac:dyDescent="0.15">
      <c r="A117" s="3" t="e">
        <f>Data!G614/Data!F614</f>
        <v>#DIV/0!</v>
      </c>
      <c r="B117" s="3">
        <f>Data!H614</f>
        <v>0</v>
      </c>
    </row>
    <row r="118" spans="1:5" x14ac:dyDescent="0.15">
      <c r="A118" s="3" t="e">
        <f>Data!G615/Data!F615</f>
        <v>#DIV/0!</v>
      </c>
      <c r="B118" s="3">
        <f>Data!H615</f>
        <v>0</v>
      </c>
    </row>
    <row r="119" spans="1:5" x14ac:dyDescent="0.15">
      <c r="A119" s="3" t="e">
        <f>Data!G616/Data!F616</f>
        <v>#DIV/0!</v>
      </c>
      <c r="B119" s="3">
        <f>Data!H616</f>
        <v>0</v>
      </c>
    </row>
    <row r="121" spans="1:5" x14ac:dyDescent="0.15">
      <c r="A121" s="12" t="s">
        <v>69</v>
      </c>
      <c r="D121" t="s">
        <v>9</v>
      </c>
    </row>
    <row r="122" spans="1:5" ht="14" thickBot="1" x14ac:dyDescent="0.2"/>
    <row r="123" spans="1:5" x14ac:dyDescent="0.15">
      <c r="A123" t="s">
        <v>34</v>
      </c>
      <c r="B123" t="s">
        <v>8</v>
      </c>
      <c r="D123" s="14" t="s">
        <v>10</v>
      </c>
      <c r="E123" s="14"/>
    </row>
    <row r="124" spans="1:5" x14ac:dyDescent="0.15">
      <c r="A124" s="3">
        <f>Data!G11/Data!F11</f>
        <v>24.35606682249389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15">
      <c r="A125" s="3">
        <f>Data!G12/Data!F12</f>
        <v>24.348239753190111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15">
      <c r="A126" s="3">
        <f>Data!G13/Data!F13</f>
        <v>24.294029878239726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15">
      <c r="A127" s="3">
        <f>Data!G17/Data!F17</f>
        <v>24.367859197212383</v>
      </c>
      <c r="B127" s="3">
        <f>Data!H17</f>
        <v>16.416666666666629</v>
      </c>
      <c r="D127" t="s">
        <v>14</v>
      </c>
      <c r="E127">
        <v>4.0535840083857903E-2</v>
      </c>
    </row>
    <row r="128" spans="1:5" ht="14" thickBot="1" x14ac:dyDescent="0.2">
      <c r="A128" s="3">
        <f>Data!G18/Data!F18</f>
        <v>24.384390422939962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15">
      <c r="A129" s="3">
        <f>Data!G19/Data!F19</f>
        <v>24.329872463988711</v>
      </c>
      <c r="B129" s="3">
        <f>Data!H19</f>
        <v>16.68333333333328</v>
      </c>
    </row>
    <row r="130" spans="1:12" ht="14" thickBot="1" x14ac:dyDescent="0.2">
      <c r="A130" s="3">
        <f>Data!G59/Data!F59</f>
        <v>24.399564451161964</v>
      </c>
      <c r="B130" s="3">
        <f>Data!H59</f>
        <v>81.93333333333328</v>
      </c>
      <c r="D130" t="s">
        <v>16</v>
      </c>
    </row>
    <row r="131" spans="1:12" x14ac:dyDescent="0.15">
      <c r="A131" s="3">
        <f>Data!G60/Data!F60</f>
        <v>24.443210580979763</v>
      </c>
      <c r="B131" s="3">
        <f>Data!H60</f>
        <v>82.049999999999955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15">
      <c r="A132" s="3">
        <f>Data!G61/Data!F61</f>
        <v>24.451690132699817</v>
      </c>
      <c r="B132" s="3">
        <f>Data!H61</f>
        <v>82.18333333333328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15">
      <c r="A133" s="3">
        <f>Data!G89/Data!F89</f>
        <v>24.373377289590419</v>
      </c>
      <c r="B133" s="3">
        <f>Data!H89</f>
        <v>141.04999999999995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4" thickBot="1" x14ac:dyDescent="0.2">
      <c r="A134" s="3">
        <f>Data!G90/Data!F90</f>
        <v>24.371558366920222</v>
      </c>
      <c r="B134" s="3">
        <f>Data!H90</f>
        <v>141.13333333333333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4" thickBot="1" x14ac:dyDescent="0.2">
      <c r="A135" s="3">
        <f>Data!G91/Data!F91</f>
        <v>24.468080148125235</v>
      </c>
      <c r="B135" s="3">
        <f>Data!H91</f>
        <v>141.21666666666658</v>
      </c>
    </row>
    <row r="136" spans="1:12" x14ac:dyDescent="0.15">
      <c r="A136" s="3">
        <f>Data!G95/Data!F95</f>
        <v>24.396886669544411</v>
      </c>
      <c r="B136" s="3">
        <f>Data!H95</f>
        <v>150.36666666666667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15">
      <c r="A137" s="3">
        <f>Data!G96/Data!F96</f>
        <v>24.448089874155073</v>
      </c>
      <c r="B137" s="3">
        <f>Data!H96</f>
        <v>150.5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4" thickBot="1" x14ac:dyDescent="0.2">
      <c r="A138" s="3">
        <f>Data!G97/Data!F97</f>
        <v>24.427857627536856</v>
      </c>
      <c r="B138" s="3">
        <f>Data!H97</f>
        <v>150.88333333333333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15">
      <c r="A139" s="3">
        <f>Data!G155/Data!F155</f>
        <v>24.370925080009073</v>
      </c>
      <c r="B139" s="3">
        <f>Data!H155</f>
        <v>278.56666666666661</v>
      </c>
    </row>
    <row r="140" spans="1:12" x14ac:dyDescent="0.15">
      <c r="A140" s="3">
        <f>Data!G156/Data!F156</f>
        <v>24.43468696062456</v>
      </c>
      <c r="B140" s="3">
        <f>Data!H156</f>
        <v>278.64999999999998</v>
      </c>
    </row>
    <row r="141" spans="1:12" x14ac:dyDescent="0.15">
      <c r="A141" s="3">
        <f>Data!G157/Data!F157</f>
        <v>24.386351310854433</v>
      </c>
      <c r="B141" s="3">
        <f>Data!H157</f>
        <v>278.73333333333335</v>
      </c>
    </row>
    <row r="142" spans="1:12" x14ac:dyDescent="0.15">
      <c r="A142" s="3">
        <f>Data!G215/Data!F215</f>
        <v>24.39298146236759</v>
      </c>
      <c r="B142" s="3">
        <f>Data!H215</f>
        <v>369.93333333333328</v>
      </c>
    </row>
    <row r="143" spans="1:12" x14ac:dyDescent="0.15">
      <c r="A143" s="3">
        <f>Data!G216/Data!F216</f>
        <v>24.359278262672714</v>
      </c>
      <c r="B143" s="3">
        <f>Data!H216</f>
        <v>370.06666666666661</v>
      </c>
    </row>
    <row r="144" spans="1:12" x14ac:dyDescent="0.15">
      <c r="A144" s="3">
        <f>Data!G217/Data!F217</f>
        <v>24.422142827717668</v>
      </c>
      <c r="B144" s="3">
        <f>Data!H217</f>
        <v>370.41666666666663</v>
      </c>
    </row>
    <row r="145" spans="1:2" x14ac:dyDescent="0.15">
      <c r="A145" s="3">
        <f>Data!G221/Data!F221</f>
        <v>24.405604071929211</v>
      </c>
      <c r="B145" s="3">
        <f>Data!H221</f>
        <v>380.5333333333333</v>
      </c>
    </row>
    <row r="146" spans="1:2" x14ac:dyDescent="0.15">
      <c r="A146" s="3">
        <f>Data!G222/Data!F222</f>
        <v>24.402710728185525</v>
      </c>
      <c r="B146" s="3">
        <f>Data!H222</f>
        <v>380.63333333333333</v>
      </c>
    </row>
    <row r="147" spans="1:2" x14ac:dyDescent="0.15">
      <c r="A147" s="3">
        <f>Data!G223/Data!F223</f>
        <v>24.42806749565521</v>
      </c>
      <c r="B147" s="3">
        <f>Data!H223</f>
        <v>380.71666666666658</v>
      </c>
    </row>
    <row r="148" spans="1:2" x14ac:dyDescent="0.15">
      <c r="A148" s="3" t="e">
        <f>Data!G419/Data!F419</f>
        <v>#DIV/0!</v>
      </c>
      <c r="B148" s="3">
        <f>Data!H419</f>
        <v>0</v>
      </c>
    </row>
    <row r="149" spans="1:2" x14ac:dyDescent="0.15">
      <c r="A149" s="3" t="e">
        <f>Data!G420/Data!F420</f>
        <v>#DIV/0!</v>
      </c>
      <c r="B149" s="3">
        <f>Data!H420</f>
        <v>0</v>
      </c>
    </row>
    <row r="150" spans="1:2" x14ac:dyDescent="0.15">
      <c r="A150" s="3" t="e">
        <f>Data!G421/Data!F421</f>
        <v>#DIV/0!</v>
      </c>
      <c r="B150" s="3">
        <f>Data!H421</f>
        <v>0</v>
      </c>
    </row>
    <row r="151" spans="1:2" x14ac:dyDescent="0.15">
      <c r="A151" s="3" t="e">
        <f>Data!G545/Data!F545</f>
        <v>#DIV/0!</v>
      </c>
      <c r="B151" s="3">
        <f>Data!H545</f>
        <v>0</v>
      </c>
    </row>
    <row r="152" spans="1:2" x14ac:dyDescent="0.15">
      <c r="A152" s="3" t="e">
        <f>Data!G546/Data!F546</f>
        <v>#DIV/0!</v>
      </c>
      <c r="B152" s="3">
        <f>Data!H546</f>
        <v>0</v>
      </c>
    </row>
    <row r="153" spans="1:2" x14ac:dyDescent="0.15">
      <c r="A153" s="3" t="e">
        <f>Data!G547/Data!F547</f>
        <v>#DIV/0!</v>
      </c>
      <c r="B153" s="3">
        <f>Data!H547</f>
        <v>0</v>
      </c>
    </row>
    <row r="154" spans="1:2" x14ac:dyDescent="0.15">
      <c r="A154" s="3" t="e">
        <f>Data!G611/Data!F611</f>
        <v>#DIV/0!</v>
      </c>
      <c r="B154" s="3">
        <f>Data!H611</f>
        <v>0</v>
      </c>
    </row>
    <row r="155" spans="1:2" x14ac:dyDescent="0.15">
      <c r="A155" s="3" t="e">
        <f>Data!G612/Data!F612</f>
        <v>#DIV/0!</v>
      </c>
      <c r="B155" s="3">
        <f>Data!H612</f>
        <v>0</v>
      </c>
    </row>
    <row r="156" spans="1:2" x14ac:dyDescent="0.15">
      <c r="A156" s="3" t="e">
        <f>Data!G613/Data!F613</f>
        <v>#DIV/0!</v>
      </c>
      <c r="B156" s="3">
        <f>Data!H613</f>
        <v>0</v>
      </c>
    </row>
    <row r="157" spans="1:2" x14ac:dyDescent="0.15">
      <c r="A157" s="3" t="e">
        <f>Data!G617/Data!F617</f>
        <v>#DIV/0!</v>
      </c>
      <c r="B157" s="3">
        <f>Data!H617</f>
        <v>0</v>
      </c>
    </row>
    <row r="158" spans="1:2" x14ac:dyDescent="0.15">
      <c r="A158" s="3" t="e">
        <f>Data!G618/Data!F618</f>
        <v>#DIV/0!</v>
      </c>
      <c r="B158" s="3">
        <f>Data!H618</f>
        <v>0</v>
      </c>
    </row>
    <row r="159" spans="1:2" x14ac:dyDescent="0.15">
      <c r="A159" s="3" t="e">
        <f>Data!G619/Data!F619</f>
        <v>#DIV/0!</v>
      </c>
      <c r="B159" s="3">
        <f>Data!H619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4"/>
  <sheetViews>
    <sheetView tabSelected="1" topLeftCell="F25" zoomScale="120" zoomScaleNormal="120" workbookViewId="0">
      <selection activeCell="K31" sqref="K31:K33"/>
    </sheetView>
  </sheetViews>
  <sheetFormatPr baseColWidth="10" defaultColWidth="8.83203125" defaultRowHeight="13" x14ac:dyDescent="0.15"/>
  <cols>
    <col min="1" max="1" width="20.6640625" customWidth="1"/>
    <col min="11" max="11" width="10.83203125" customWidth="1"/>
    <col min="12" max="12" width="10.5" customWidth="1"/>
    <col min="13" max="13" width="10.83203125" customWidth="1"/>
    <col min="14" max="14" width="10.5" customWidth="1"/>
    <col min="15" max="15" width="25.1640625" style="4" customWidth="1"/>
  </cols>
  <sheetData>
    <row r="1" spans="1:20" ht="15" x14ac:dyDescent="0.2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" x14ac:dyDescent="0.2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0.13842698462585959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1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50.635991684299462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1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-3.1869096271286922E-4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15">
      <c r="F5" s="4"/>
      <c r="K5" s="3"/>
      <c r="L5" s="3"/>
      <c r="M5" s="3"/>
      <c r="N5" s="3"/>
      <c r="Q5" s="3"/>
      <c r="R5" s="3"/>
      <c r="S5" s="3"/>
      <c r="T5" s="3"/>
    </row>
    <row r="6" spans="1:20" x14ac:dyDescent="0.15">
      <c r="A6" s="6" t="s">
        <v>44</v>
      </c>
      <c r="B6">
        <f>(Regs!E57+Regs!E58*(Data!H223/2))-(Regs!E17+Regs!E18*(Data!H223/2))</f>
        <v>0.7506493680299684</v>
      </c>
      <c r="K6" s="3"/>
      <c r="L6" s="3"/>
      <c r="M6" s="3"/>
      <c r="N6" s="3"/>
      <c r="Q6" s="3"/>
      <c r="R6" s="3"/>
      <c r="S6" s="3"/>
      <c r="T6" s="3"/>
    </row>
    <row r="7" spans="1:20" x14ac:dyDescent="0.15">
      <c r="A7" s="7" t="s">
        <v>45</v>
      </c>
      <c r="B7" s="3">
        <f>AVERAGE(D13:D15,D19:D21,D61:D63,D91:D93,D97:D99,D157:D159,D217:D219,D223:D225)</f>
        <v>0.75496927237544542</v>
      </c>
      <c r="C7" s="3">
        <f>AVERAGE(F13:F15,F19:F21,F61:F63,F91:F93,F97:F99,F157:F159,F217:F219,F223:F225)</f>
        <v>0.83558643701311563</v>
      </c>
      <c r="K7" s="3"/>
      <c r="L7" s="3"/>
      <c r="M7" s="3"/>
      <c r="N7" s="3"/>
      <c r="Q7" s="3"/>
      <c r="R7" s="3"/>
      <c r="S7" s="3"/>
      <c r="T7" s="3"/>
    </row>
    <row r="8" spans="1:20" x14ac:dyDescent="0.15">
      <c r="A8" s="7" t="s">
        <v>46</v>
      </c>
      <c r="B8">
        <f>B6*B7</f>
        <v>0.5667172071906732</v>
      </c>
      <c r="K8" s="3"/>
      <c r="L8" s="3"/>
      <c r="M8" s="3"/>
      <c r="N8" s="3"/>
      <c r="Q8" s="3"/>
      <c r="R8" s="3"/>
      <c r="S8" s="3"/>
      <c r="T8" s="3"/>
    </row>
    <row r="9" spans="1:20" x14ac:dyDescent="0.15">
      <c r="A9" s="7" t="s">
        <v>47</v>
      </c>
      <c r="B9">
        <f>B8/(B4-B3)</f>
        <v>0.84082671690010924</v>
      </c>
      <c r="K9" s="3"/>
      <c r="L9" s="3"/>
      <c r="M9" s="3"/>
      <c r="N9" s="3"/>
      <c r="Q9" s="3"/>
      <c r="R9" s="3"/>
      <c r="S9" s="3"/>
      <c r="T9" s="3"/>
    </row>
    <row r="10" spans="1:20" x14ac:dyDescent="0.15">
      <c r="A10" s="7"/>
      <c r="K10" s="3"/>
      <c r="M10" s="3"/>
    </row>
    <row r="11" spans="1:20" x14ac:dyDescent="0.15">
      <c r="E11" t="s">
        <v>48</v>
      </c>
      <c r="H11" s="8"/>
      <c r="J11" t="s">
        <v>36</v>
      </c>
    </row>
    <row r="12" spans="1:20" ht="15" x14ac:dyDescent="0.2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15">
      <c r="A13" t="str">
        <f>Data!A8</f>
        <v>20/0</v>
      </c>
      <c r="B13" s="3">
        <f>Data!H8</f>
        <v>0</v>
      </c>
      <c r="C13" s="3">
        <f>Data!C8/Data!F8</f>
        <v>50.522788312258079</v>
      </c>
      <c r="D13" s="3">
        <f>B$3/C13</f>
        <v>0.75583714350806896</v>
      </c>
      <c r="E13" s="3">
        <f>Data!G8/Data!F8</f>
        <v>24.348914614857854</v>
      </c>
      <c r="F13" s="3">
        <f>C$3/E13</f>
        <v>0.8375321989735045</v>
      </c>
      <c r="G13" s="3">
        <f>C13-(G$3+G$4*B13)</f>
        <v>-0.11320337204138298</v>
      </c>
      <c r="H13" s="10">
        <f>E13-(H$3+H$4*B13)</f>
        <v>-6.0016347995180297E-2</v>
      </c>
      <c r="I13" s="3">
        <f>G13*(B$7/B$9)+B$3</f>
        <v>38.085355908889746</v>
      </c>
      <c r="J13" s="3">
        <f>H13*(C$7)+C$3</f>
        <v>20.34285115361617</v>
      </c>
      <c r="K13" s="3">
        <f>I13*D$3</f>
        <v>529.38644713356746</v>
      </c>
      <c r="L13" s="3">
        <f>J13*D$3</f>
        <v>282.76563103526479</v>
      </c>
      <c r="O13" s="4" t="str">
        <f>Data!A8</f>
        <v>20/0</v>
      </c>
    </row>
    <row r="14" spans="1:20" x14ac:dyDescent="0.15">
      <c r="B14" s="3">
        <f>Data!H9</f>
        <v>0.13333333333332575</v>
      </c>
      <c r="C14" s="3">
        <f>Data!C9/Data!F9</f>
        <v>50.525959210996511</v>
      </c>
      <c r="D14" s="3">
        <f>B$3/C14</f>
        <v>0.75578970882138041</v>
      </c>
      <c r="E14" s="3">
        <f>Data!G9/Data!F9</f>
        <v>24.327747873315754</v>
      </c>
      <c r="F14" s="3">
        <f>C$3/E14</f>
        <v>0.83826090710058532</v>
      </c>
      <c r="G14" s="3">
        <f t="shared" ref="G14:G77" si="0">C14-(G$3+G$4*B14)</f>
        <v>-0.1099899811745928</v>
      </c>
      <c r="H14" s="10">
        <f t="shared" ref="H14:H77" si="1">E14-(H$3+H$4*B14)</f>
        <v>-8.1180611901825017E-2</v>
      </c>
      <c r="I14" s="3">
        <f t="shared" ref="I14:I77" si="2">G14*(B$7/B$9)+B$3</f>
        <v>38.088241178013334</v>
      </c>
      <c r="J14" s="3">
        <f t="shared" ref="J14:J77" si="3">H14*(C$7)+C$3</f>
        <v>20.325166581746409</v>
      </c>
      <c r="K14" s="3">
        <f t="shared" ref="K14:K77" si="4">I14*D$3</f>
        <v>529.42655237438532</v>
      </c>
      <c r="L14" s="3">
        <f t="shared" ref="L14:L77" si="5">J14*D$3</f>
        <v>282.51981548627509</v>
      </c>
    </row>
    <row r="15" spans="1:20" x14ac:dyDescent="0.15">
      <c r="B15" s="3">
        <f>Data!H10</f>
        <v>0.29999999999995453</v>
      </c>
      <c r="C15" s="3">
        <f>Data!C10/Data!F10</f>
        <v>50.458366962060325</v>
      </c>
      <c r="D15" s="3">
        <f>B$3/C15</f>
        <v>0.75680213806191599</v>
      </c>
      <c r="E15" s="3">
        <f>Data!G10/Data!F10</f>
        <v>24.315348771008182</v>
      </c>
      <c r="F15" s="3">
        <f>C$3/E15</f>
        <v>0.83868836067509345</v>
      </c>
      <c r="G15" s="3">
        <f t="shared" si="0"/>
        <v>-0.17752911495032464</v>
      </c>
      <c r="H15" s="10">
        <f t="shared" si="1"/>
        <v>-9.3576617165076925E-2</v>
      </c>
      <c r="I15" s="3">
        <f t="shared" si="2"/>
        <v>38.027598515668444</v>
      </c>
      <c r="J15" s="3">
        <f t="shared" si="3"/>
        <v>20.314808647875292</v>
      </c>
      <c r="K15" s="3">
        <f t="shared" si="4"/>
        <v>528.58361936779136</v>
      </c>
      <c r="L15" s="3">
        <f t="shared" si="5"/>
        <v>282.37584020546655</v>
      </c>
    </row>
    <row r="16" spans="1:20" x14ac:dyDescent="0.15">
      <c r="A16" t="str">
        <f>Data!A11</f>
        <v>30/0</v>
      </c>
      <c r="B16" s="3">
        <f>Data!H11</f>
        <v>5.0833333333332575</v>
      </c>
      <c r="C16" s="3">
        <f>Data!C11/Data!F11</f>
        <v>51.296013781678099</v>
      </c>
      <c r="D16" s="3">
        <f>B$4/C16</f>
        <v>0.75758323376543468</v>
      </c>
      <c r="E16" s="3">
        <f>Data!G11/Data!F11</f>
        <v>24.35606682249389</v>
      </c>
      <c r="F16" s="3">
        <f>C$4/E16</f>
        <v>0.83675250805184109</v>
      </c>
      <c r="G16" s="3">
        <f t="shared" si="0"/>
        <v>0.66164210977242988</v>
      </c>
      <c r="H16" s="10">
        <f t="shared" si="1"/>
        <v>-5.2769680507374517E-2</v>
      </c>
      <c r="I16" s="3">
        <f t="shared" si="2"/>
        <v>38.781081339410136</v>
      </c>
      <c r="J16" s="3">
        <f t="shared" si="3"/>
        <v>20.348906370682524</v>
      </c>
      <c r="K16" s="3">
        <f t="shared" si="4"/>
        <v>539.05703061780093</v>
      </c>
      <c r="L16" s="3">
        <f t="shared" si="5"/>
        <v>282.84979855248707</v>
      </c>
      <c r="O16" s="4" t="str">
        <f>Data!A11</f>
        <v>30/0</v>
      </c>
    </row>
    <row r="17" spans="1:15" x14ac:dyDescent="0.15">
      <c r="B17" s="3">
        <f>Data!H12</f>
        <v>5.2166666666665833</v>
      </c>
      <c r="C17" s="3">
        <f>Data!C12/Data!F12</f>
        <v>51.182840854756726</v>
      </c>
      <c r="D17" s="3">
        <f>B$4/C17</f>
        <v>0.7592583637605651</v>
      </c>
      <c r="E17" s="3">
        <f>Data!G12/Data!F12</f>
        <v>24.348239753190111</v>
      </c>
      <c r="F17" s="3">
        <f>C$4/E17</f>
        <v>0.83702149340507492</v>
      </c>
      <c r="G17" s="3">
        <f t="shared" si="0"/>
        <v>0.54851167497941589</v>
      </c>
      <c r="H17" s="10">
        <f t="shared" si="1"/>
        <v>-6.0594272175698904E-2</v>
      </c>
      <c r="I17" s="3">
        <f t="shared" si="2"/>
        <v>38.679502737871303</v>
      </c>
      <c r="J17" s="3">
        <f t="shared" si="3"/>
        <v>20.342368248009304</v>
      </c>
      <c r="K17" s="3">
        <f t="shared" si="4"/>
        <v>537.64508805641117</v>
      </c>
      <c r="L17" s="3">
        <f t="shared" si="5"/>
        <v>282.75891864732932</v>
      </c>
    </row>
    <row r="18" spans="1:15" x14ac:dyDescent="0.15">
      <c r="B18" s="3">
        <f>Data!H13</f>
        <v>5.3500000000000227</v>
      </c>
      <c r="C18" s="3">
        <f>Data!C13/Data!F13</f>
        <v>51.177940245459567</v>
      </c>
      <c r="D18" s="3">
        <f>B$4/C18</f>
        <v>0.75933106751883572</v>
      </c>
      <c r="E18" s="3">
        <f>Data!G13/Data!F13</f>
        <v>24.294029878239726</v>
      </c>
      <c r="F18" s="3">
        <f>C$4/E18</f>
        <v>0.838889229252758</v>
      </c>
      <c r="G18" s="3">
        <f t="shared" si="0"/>
        <v>0.54365355781062163</v>
      </c>
      <c r="H18" s="10">
        <f t="shared" si="1"/>
        <v>-0.11480166949062465</v>
      </c>
      <c r="I18" s="3">
        <f t="shared" si="2"/>
        <v>38.675140686677736</v>
      </c>
      <c r="J18" s="3">
        <f t="shared" si="3"/>
        <v>20.297073282027171</v>
      </c>
      <c r="K18" s="3">
        <f t="shared" si="4"/>
        <v>537.58445554482057</v>
      </c>
      <c r="L18" s="3">
        <f t="shared" si="5"/>
        <v>282.12931862017768</v>
      </c>
    </row>
    <row r="19" spans="1:15" x14ac:dyDescent="0.15">
      <c r="A19" t="str">
        <f>Data!A14</f>
        <v>20/0</v>
      </c>
      <c r="B19" s="3">
        <f>Data!H14</f>
        <v>9.6833333333332803</v>
      </c>
      <c r="C19" s="3">
        <f>Data!C14/Data!F14</f>
        <v>50.610088263547311</v>
      </c>
      <c r="D19" s="3">
        <f>B$3/C19</f>
        <v>0.75453336103949786</v>
      </c>
      <c r="E19" s="3">
        <f>Data!G14/Data!F14</f>
        <v>24.375486313161641</v>
      </c>
      <c r="F19" s="3">
        <f>C$3/E19</f>
        <v>0.83661920578744386</v>
      </c>
      <c r="G19" s="3">
        <f t="shared" si="0"/>
        <v>-2.2817429929880007E-2</v>
      </c>
      <c r="H19" s="10">
        <f t="shared" si="1"/>
        <v>-3.3264711416382653E-2</v>
      </c>
      <c r="I19" s="3">
        <f t="shared" si="2"/>
        <v>38.166512474894766</v>
      </c>
      <c r="J19" s="3">
        <f t="shared" si="3"/>
        <v>20.365204458309314</v>
      </c>
      <c r="K19" s="3">
        <f t="shared" si="4"/>
        <v>530.51452340103731</v>
      </c>
      <c r="L19" s="3">
        <f t="shared" si="5"/>
        <v>283.07634197049947</v>
      </c>
      <c r="O19" s="4" t="str">
        <f>Data!A14</f>
        <v>20/0</v>
      </c>
    </row>
    <row r="20" spans="1:15" x14ac:dyDescent="0.15">
      <c r="B20" s="3">
        <f>Data!H15</f>
        <v>9.816666666666606</v>
      </c>
      <c r="C20" s="3">
        <f>Data!C15/Data!F15</f>
        <v>50.773230892330808</v>
      </c>
      <c r="D20" s="3">
        <f>B$3/C20</f>
        <v>0.75210892292789</v>
      </c>
      <c r="E20" s="3">
        <f>Data!G15/Data!F15</f>
        <v>24.425288013259635</v>
      </c>
      <c r="F20" s="3">
        <f>C$3/E20</f>
        <v>0.83491338930903713</v>
      </c>
      <c r="G20" s="3">
        <f t="shared" si="0"/>
        <v>0.1403676909819751</v>
      </c>
      <c r="H20" s="10">
        <f t="shared" si="1"/>
        <v>1.6539466317066598E-2</v>
      </c>
      <c r="I20" s="3">
        <f t="shared" si="2"/>
        <v>38.313034641140298</v>
      </c>
      <c r="J20" s="3">
        <f t="shared" si="3"/>
        <v>20.406820153729978</v>
      </c>
      <c r="K20" s="3">
        <f t="shared" si="4"/>
        <v>532.55118151185013</v>
      </c>
      <c r="L20" s="3">
        <f t="shared" si="5"/>
        <v>283.65480013684669</v>
      </c>
    </row>
    <row r="21" spans="1:15" x14ac:dyDescent="0.15">
      <c r="B21" s="3">
        <f>Data!H16</f>
        <v>10.033333333333303</v>
      </c>
      <c r="C21" s="3">
        <f>Data!C16/Data!F16</f>
        <v>50.697005816064213</v>
      </c>
      <c r="D21" s="3">
        <f>B$3/C21</f>
        <v>0.75323975026351153</v>
      </c>
      <c r="E21" s="3">
        <f>Data!G16/Data!F16</f>
        <v>24.417957108464009</v>
      </c>
      <c r="F21" s="3">
        <f>C$3/E21</f>
        <v>0.83516405198906529</v>
      </c>
      <c r="G21" s="3">
        <f t="shared" si="0"/>
        <v>6.4211664423972081E-2</v>
      </c>
      <c r="H21" s="10">
        <f t="shared" si="1"/>
        <v>9.2125876790554173E-3</v>
      </c>
      <c r="I21" s="3">
        <f t="shared" si="2"/>
        <v>38.244654963375694</v>
      </c>
      <c r="J21" s="3">
        <f t="shared" si="3"/>
        <v>20.400697913314414</v>
      </c>
      <c r="K21" s="3">
        <f t="shared" si="4"/>
        <v>531.60070399092217</v>
      </c>
      <c r="L21" s="3">
        <f t="shared" si="5"/>
        <v>283.56970099507038</v>
      </c>
    </row>
    <row r="22" spans="1:15" x14ac:dyDescent="0.15">
      <c r="A22" t="str">
        <f>Data!A17</f>
        <v>30/0</v>
      </c>
      <c r="B22" s="3">
        <f>Data!H17</f>
        <v>16.416666666666629</v>
      </c>
      <c r="C22" s="3">
        <f>Data!C17/Data!F17</f>
        <v>51.325729498406673</v>
      </c>
      <c r="D22" s="3">
        <f>B$4/C22</f>
        <v>0.75714462083206002</v>
      </c>
      <c r="E22" s="3">
        <f>Data!G17/Data!F17</f>
        <v>24.367859197212383</v>
      </c>
      <c r="F22" s="3">
        <f>C$4/E22</f>
        <v>0.83634757715324526</v>
      </c>
      <c r="G22" s="3">
        <f t="shared" si="0"/>
        <v>0.69496965741174677</v>
      </c>
      <c r="H22" s="10">
        <f t="shared" si="1"/>
        <v>-4.076670677510208E-2</v>
      </c>
      <c r="I22" s="3">
        <f t="shared" si="2"/>
        <v>38.811005786249879</v>
      </c>
      <c r="J22" s="3">
        <f t="shared" si="3"/>
        <v>20.358935892737033</v>
      </c>
      <c r="K22" s="3">
        <f t="shared" si="4"/>
        <v>539.47298042887337</v>
      </c>
      <c r="L22" s="3">
        <f t="shared" si="5"/>
        <v>282.98920890904475</v>
      </c>
      <c r="O22" s="4" t="str">
        <f>Data!A17</f>
        <v>30/0</v>
      </c>
    </row>
    <row r="23" spans="1:15" x14ac:dyDescent="0.15">
      <c r="B23" s="3">
        <f>Data!H18</f>
        <v>16.549999999999955</v>
      </c>
      <c r="C23" s="3">
        <f>Data!C18/Data!F18</f>
        <v>51.226924158180793</v>
      </c>
      <c r="D23" s="3">
        <f>B$4/C23</f>
        <v>0.75860498436336443</v>
      </c>
      <c r="E23" s="3">
        <f>Data!G18/Data!F18</f>
        <v>24.384390422939962</v>
      </c>
      <c r="F23" s="3">
        <f>C$4/E23</f>
        <v>0.83578058120440957</v>
      </c>
      <c r="G23" s="3">
        <f t="shared" si="0"/>
        <v>0.59620680931423209</v>
      </c>
      <c r="H23" s="10">
        <f t="shared" si="1"/>
        <v>-2.4233003412064136E-2</v>
      </c>
      <c r="I23" s="3">
        <f t="shared" si="2"/>
        <v>38.722327686390258</v>
      </c>
      <c r="J23" s="3">
        <f t="shared" si="3"/>
        <v>20.372751231020786</v>
      </c>
      <c r="K23" s="3">
        <f t="shared" si="4"/>
        <v>538.24035484082458</v>
      </c>
      <c r="L23" s="3">
        <f t="shared" si="5"/>
        <v>283.18124211118891</v>
      </c>
    </row>
    <row r="24" spans="1:15" x14ac:dyDescent="0.15">
      <c r="B24" s="3">
        <f>Data!H19</f>
        <v>16.68333333333328</v>
      </c>
      <c r="C24" s="3">
        <f>Data!C19/Data!F19</f>
        <v>51.184228114904371</v>
      </c>
      <c r="D24" s="3">
        <f>B$4/C24</f>
        <v>0.75923778537326492</v>
      </c>
      <c r="E24" s="3">
        <f>Data!G19/Data!F19</f>
        <v>24.329872463988711</v>
      </c>
      <c r="F24" s="3">
        <f>C$4/E24</f>
        <v>0.83765338392813105</v>
      </c>
      <c r="G24" s="3">
        <f t="shared" si="0"/>
        <v>0.5535532581661684</v>
      </c>
      <c r="H24" s="10">
        <f t="shared" si="1"/>
        <v>-7.8748484727860557E-2</v>
      </c>
      <c r="I24" s="3">
        <f t="shared" si="2"/>
        <v>38.684029521230613</v>
      </c>
      <c r="J24" s="3">
        <f t="shared" si="3"/>
        <v>20.327198834226067</v>
      </c>
      <c r="K24" s="3">
        <f t="shared" si="4"/>
        <v>537.70801034510555</v>
      </c>
      <c r="L24" s="3">
        <f t="shared" si="5"/>
        <v>282.54806379574234</v>
      </c>
    </row>
    <row r="25" spans="1:15" x14ac:dyDescent="0.15">
      <c r="A25" t="str">
        <f>Data!A20</f>
        <v>051221-LS-WM-5m-To</v>
      </c>
      <c r="B25" s="3">
        <f>Data!H20</f>
        <v>22.199999999999932</v>
      </c>
      <c r="C25" s="3">
        <f>Data!C20/Data!F20</f>
        <v>49.157819122442653</v>
      </c>
      <c r="D25" s="3"/>
      <c r="E25" s="3">
        <f>Data!G20/Data!F20</f>
        <v>24.057639626347392</v>
      </c>
      <c r="F25" s="3"/>
      <c r="G25" s="3">
        <f t="shared" si="0"/>
        <v>-1.4710976224845851</v>
      </c>
      <c r="H25" s="10">
        <f t="shared" si="1"/>
        <v>-0.35087881020217893</v>
      </c>
      <c r="I25" s="3">
        <f t="shared" si="2"/>
        <v>36.866117255294853</v>
      </c>
      <c r="J25" s="3">
        <f t="shared" si="3"/>
        <v>20.09981042515976</v>
      </c>
      <c r="K25" s="3">
        <f t="shared" si="4"/>
        <v>512.43902984859847</v>
      </c>
      <c r="L25" s="3">
        <f t="shared" si="5"/>
        <v>279.38736490972065</v>
      </c>
      <c r="M25" s="3">
        <f>AVERAGE(K25:K27)</f>
        <v>512.05668672633999</v>
      </c>
      <c r="N25" s="3">
        <f>AVERAGE(L25:L27)</f>
        <v>279.35180543807843</v>
      </c>
      <c r="O25" s="4" t="str">
        <f>Data!A20</f>
        <v>051221-LS-WM-5m-To</v>
      </c>
    </row>
    <row r="26" spans="1:15" x14ac:dyDescent="0.15">
      <c r="B26" s="3">
        <f>Data!H21</f>
        <v>22.333333333333258</v>
      </c>
      <c r="C26" s="3">
        <f>Data!C21/Data!F21</f>
        <v>49.126865382424683</v>
      </c>
      <c r="D26" s="3"/>
      <c r="E26" s="3">
        <f>Data!G21/Data!F21</f>
        <v>24.057000520257755</v>
      </c>
      <c r="F26" s="3"/>
      <c r="G26" s="3">
        <f t="shared" si="0"/>
        <v>-1.5020088703741905</v>
      </c>
      <c r="H26" s="10">
        <f t="shared" si="1"/>
        <v>-0.35151543865635659</v>
      </c>
      <c r="I26" s="3">
        <f t="shared" si="2"/>
        <v>36.838362378031348</v>
      </c>
      <c r="J26" s="3">
        <f t="shared" si="3"/>
        <v>20.099278467058035</v>
      </c>
      <c r="K26" s="3">
        <f t="shared" si="4"/>
        <v>512.0532370546357</v>
      </c>
      <c r="L26" s="3">
        <f t="shared" si="5"/>
        <v>279.37997069210667</v>
      </c>
    </row>
    <row r="27" spans="1:15" x14ac:dyDescent="0.15">
      <c r="B27" s="3">
        <f>Data!H22</f>
        <v>22.466666666666583</v>
      </c>
      <c r="C27" s="3">
        <f>Data!C22/Data!F22</f>
        <v>49.096740846519808</v>
      </c>
      <c r="D27" s="3"/>
      <c r="E27" s="3">
        <f>Data!G22/Data!F22</f>
        <v>24.049086485405063</v>
      </c>
      <c r="F27" s="3"/>
      <c r="G27" s="3">
        <f t="shared" si="0"/>
        <v>-1.5320909141507073</v>
      </c>
      <c r="H27" s="10">
        <f t="shared" si="1"/>
        <v>-0.35942699587359428</v>
      </c>
      <c r="I27" s="3">
        <f t="shared" si="2"/>
        <v>36.811352034229181</v>
      </c>
      <c r="J27" s="3">
        <f t="shared" si="3"/>
        <v>20.092667677151656</v>
      </c>
      <c r="K27" s="3">
        <f t="shared" si="4"/>
        <v>511.67779327578563</v>
      </c>
      <c r="L27" s="3">
        <f t="shared" si="5"/>
        <v>279.28808071240803</v>
      </c>
    </row>
    <row r="28" spans="1:15" x14ac:dyDescent="0.15">
      <c r="A28" t="str">
        <f>Data!A23</f>
        <v>051221-LS-WM-5m-To</v>
      </c>
      <c r="B28" s="3">
        <f>Data!H23</f>
        <v>28.716666666666583</v>
      </c>
      <c r="C28" s="3">
        <f>Data!C23/Data!F23</f>
        <v>50.159527660895655</v>
      </c>
      <c r="D28" s="3"/>
      <c r="E28" s="3">
        <f>Data!G23/Data!F23</f>
        <v>24.240233790931853</v>
      </c>
      <c r="F28" s="3"/>
      <c r="G28" s="3">
        <f t="shared" si="0"/>
        <v>-0.46731228125790381</v>
      </c>
      <c r="H28" s="10">
        <f t="shared" si="1"/>
        <v>-0.16816355118479365</v>
      </c>
      <c r="I28" s="3">
        <f t="shared" si="2"/>
        <v>37.767405325066157</v>
      </c>
      <c r="J28" s="3">
        <f t="shared" si="3"/>
        <v>20.252484817430027</v>
      </c>
      <c r="K28" s="3">
        <f t="shared" si="4"/>
        <v>524.96693401841958</v>
      </c>
      <c r="L28" s="3">
        <f t="shared" si="5"/>
        <v>281.50953896227736</v>
      </c>
      <c r="M28" s="21">
        <f>AVERAGE(K28:K29)</f>
        <v>524.8098385162366</v>
      </c>
      <c r="N28" s="3">
        <f>AVERAGE(L28:L30)</f>
        <v>281.47514312050254</v>
      </c>
      <c r="O28" s="4" t="str">
        <f>Data!A23</f>
        <v>051221-LS-WM-5m-To</v>
      </c>
    </row>
    <row r="29" spans="1:15" x14ac:dyDescent="0.15">
      <c r="B29" s="3">
        <f>Data!H24</f>
        <v>28.799999999999955</v>
      </c>
      <c r="C29" s="3">
        <f>Data!C24/Data!F24</f>
        <v>50.134326874629394</v>
      </c>
      <c r="D29" s="3"/>
      <c r="E29" s="3">
        <f>Data!G24/Data!F24</f>
        <v>24.229759852294137</v>
      </c>
      <c r="F29" s="3"/>
      <c r="G29" s="3">
        <f t="shared" si="0"/>
        <v>-0.49248650994393728</v>
      </c>
      <c r="H29" s="10">
        <f t="shared" si="1"/>
        <v>-0.17863594130034954</v>
      </c>
      <c r="I29" s="3">
        <f t="shared" si="2"/>
        <v>37.744801655687318</v>
      </c>
      <c r="J29" s="3">
        <f t="shared" si="3"/>
        <v>20.243734230286357</v>
      </c>
      <c r="K29" s="3">
        <f t="shared" si="4"/>
        <v>524.65274301405373</v>
      </c>
      <c r="L29" s="3">
        <f t="shared" si="5"/>
        <v>281.38790580098038</v>
      </c>
    </row>
    <row r="30" spans="1:15" x14ac:dyDescent="0.15">
      <c r="B30" s="3">
        <f>Data!H25</f>
        <v>29.016666666666652</v>
      </c>
      <c r="C30" s="3">
        <f>Data!C25/Data!F25</f>
        <v>50.217486167311677</v>
      </c>
      <c r="D30" s="3"/>
      <c r="E30" s="3">
        <f>Data!G25/Data!F25</f>
        <v>24.241816351377196</v>
      </c>
      <c r="F30" s="3"/>
      <c r="G30" s="3">
        <f t="shared" si="0"/>
        <v>-0.40925816755306954</v>
      </c>
      <c r="H30" s="10">
        <f t="shared" si="1"/>
        <v>-0.16657541605967197</v>
      </c>
      <c r="I30" s="3">
        <f t="shared" si="2"/>
        <v>37.819531489829004</v>
      </c>
      <c r="J30" s="3">
        <f t="shared" si="3"/>
        <v>20.253811841600722</v>
      </c>
      <c r="K30" s="20">
        <f t="shared" si="4"/>
        <v>525.69148770862319</v>
      </c>
      <c r="L30" s="3">
        <f t="shared" si="5"/>
        <v>281.52798459825004</v>
      </c>
    </row>
    <row r="31" spans="1:15" x14ac:dyDescent="0.15">
      <c r="A31" t="str">
        <f>Data!A26</f>
        <v>051221-LS-WM-35m-To</v>
      </c>
      <c r="B31" s="3">
        <f>Data!H26</f>
        <v>35.483333333333348</v>
      </c>
      <c r="C31" s="3">
        <f>Data!C26/Data!F26</f>
        <v>55.200136238341408</v>
      </c>
      <c r="D31" s="3"/>
      <c r="E31" s="3">
        <f>Data!G26/Data!F26</f>
        <v>24.331728117690339</v>
      </c>
      <c r="F31" s="3"/>
      <c r="G31" s="3">
        <f t="shared" si="0"/>
        <v>4.57545277170221</v>
      </c>
      <c r="H31" s="10">
        <f t="shared" si="1"/>
        <v>-7.6543484426903063E-2</v>
      </c>
      <c r="I31" s="3">
        <f t="shared" si="2"/>
        <v>42.295249869337354</v>
      </c>
      <c r="J31" s="3">
        <f t="shared" si="3"/>
        <v>20.329041302571156</v>
      </c>
      <c r="K31" s="22">
        <f t="shared" si="4"/>
        <v>587.90397318378928</v>
      </c>
      <c r="L31" s="3">
        <f t="shared" si="5"/>
        <v>282.57367410573909</v>
      </c>
      <c r="M31" s="22">
        <f>AVERAGE(K31:K33)</f>
        <v>587.47651752519823</v>
      </c>
      <c r="N31" s="3">
        <f>AVERAGE(L31:L33)</f>
        <v>282.20296774033454</v>
      </c>
      <c r="O31" s="4" t="str">
        <f>Data!A26</f>
        <v>051221-LS-WM-35m-To</v>
      </c>
    </row>
    <row r="32" spans="1:15" x14ac:dyDescent="0.15">
      <c r="B32" s="3">
        <f>Data!H27</f>
        <v>35.616666666666674</v>
      </c>
      <c r="C32" s="3">
        <f>Data!C27/Data!F27</f>
        <v>55.134459565863118</v>
      </c>
      <c r="D32" s="3"/>
      <c r="E32" s="3">
        <f>Data!G27/Data!F27</f>
        <v>24.283847768856528</v>
      </c>
      <c r="F32" s="3"/>
      <c r="G32" s="3">
        <f t="shared" si="0"/>
        <v>4.5098185913522784</v>
      </c>
      <c r="H32" s="10">
        <f t="shared" si="1"/>
        <v>-0.12442135562525536</v>
      </c>
      <c r="I32" s="3">
        <f t="shared" si="2"/>
        <v>42.236317644200135</v>
      </c>
      <c r="J32" s="3">
        <f t="shared" si="3"/>
        <v>20.289035202764751</v>
      </c>
      <c r="K32" s="22">
        <f t="shared" si="4"/>
        <v>587.08481525438185</v>
      </c>
      <c r="L32" s="3">
        <f t="shared" si="5"/>
        <v>282.01758931843005</v>
      </c>
    </row>
    <row r="33" spans="1:15" x14ac:dyDescent="0.15">
      <c r="B33" s="3">
        <f>Data!H28</f>
        <v>35.699999999999932</v>
      </c>
      <c r="C33" s="3">
        <f>Data!C28/Data!F28</f>
        <v>55.162953043731754</v>
      </c>
      <c r="D33" s="3"/>
      <c r="E33" s="3">
        <f>Data!G28/Data!F28</f>
        <v>24.283850566431578</v>
      </c>
      <c r="F33" s="3"/>
      <c r="G33" s="3">
        <f t="shared" si="0"/>
        <v>4.5383386268011421</v>
      </c>
      <c r="H33" s="10">
        <f t="shared" si="1"/>
        <v>-0.12441700952804524</v>
      </c>
      <c r="I33" s="3">
        <f t="shared" si="2"/>
        <v>42.261925477512484</v>
      </c>
      <c r="J33" s="3">
        <f t="shared" si="3"/>
        <v>20.289038834304634</v>
      </c>
      <c r="K33" s="22">
        <f t="shared" si="4"/>
        <v>587.44076413742357</v>
      </c>
      <c r="L33" s="3">
        <f t="shared" si="5"/>
        <v>282.01763979683443</v>
      </c>
    </row>
    <row r="34" spans="1:15" x14ac:dyDescent="0.15">
      <c r="A34" t="str">
        <f>Data!A29</f>
        <v>051221-LS-WM-35m-To</v>
      </c>
      <c r="B34" s="3">
        <f>Data!H29</f>
        <v>41.18333333333328</v>
      </c>
      <c r="C34" s="3">
        <f>Data!C29/Data!F29</f>
        <v>49.165931874682123</v>
      </c>
      <c r="D34" s="3"/>
      <c r="E34" s="3">
        <f>Data!G29/Data!F29</f>
        <v>24.099051940088508</v>
      </c>
      <c r="F34" s="3"/>
      <c r="G34" s="3">
        <f t="shared" si="0"/>
        <v>-1.4569350534696142</v>
      </c>
      <c r="H34" s="10">
        <f t="shared" si="1"/>
        <v>-0.30911374311297735</v>
      </c>
      <c r="I34" s="3">
        <f t="shared" si="2"/>
        <v>36.878833673802127</v>
      </c>
      <c r="J34" s="3">
        <f t="shared" si="3"/>
        <v>20.134708748760442</v>
      </c>
      <c r="K34" s="3">
        <f t="shared" si="4"/>
        <v>512.61578806584953</v>
      </c>
      <c r="L34" s="3">
        <f t="shared" si="5"/>
        <v>279.87245160777013</v>
      </c>
      <c r="M34" s="3">
        <f>AVERAGE(K34:K36)</f>
        <v>512.35743850945244</v>
      </c>
      <c r="N34" s="3">
        <f>AVERAGE(L34:L36)</f>
        <v>280.09723827118484</v>
      </c>
      <c r="O34" s="4" t="str">
        <f>Data!A29</f>
        <v>051221-LS-WM-35m-To</v>
      </c>
    </row>
    <row r="35" spans="1:15" x14ac:dyDescent="0.15">
      <c r="B35" s="3">
        <f>Data!H30</f>
        <v>41.316666666666606</v>
      </c>
      <c r="C35" s="3">
        <f>Data!C30/Data!F30</f>
        <v>49.157733127597226</v>
      </c>
      <c r="D35" s="3"/>
      <c r="E35" s="3">
        <f>Data!G30/Data!F30</f>
        <v>24.117414720441989</v>
      </c>
      <c r="F35" s="3"/>
      <c r="G35" s="3">
        <f t="shared" si="0"/>
        <v>-1.4650913084261532</v>
      </c>
      <c r="H35" s="10">
        <f t="shared" si="1"/>
        <v>-0.29074848512404117</v>
      </c>
      <c r="I35" s="3">
        <f t="shared" si="2"/>
        <v>36.871510260135452</v>
      </c>
      <c r="J35" s="3">
        <f t="shared" si="3"/>
        <v>20.150054509248243</v>
      </c>
      <c r="K35" s="3">
        <f t="shared" si="4"/>
        <v>512.51399261588278</v>
      </c>
      <c r="L35" s="3">
        <f t="shared" si="5"/>
        <v>280.08575767855058</v>
      </c>
    </row>
    <row r="36" spans="1:15" x14ac:dyDescent="0.15">
      <c r="B36" s="3">
        <f>Data!H31</f>
        <v>41.533333333333303</v>
      </c>
      <c r="C36" s="3">
        <f>Data!C31/Data!F31</f>
        <v>49.111876616224215</v>
      </c>
      <c r="D36" s="3"/>
      <c r="E36" s="3">
        <f>Data!G31/Data!F31</f>
        <v>24.138741325619073</v>
      </c>
      <c r="F36" s="3"/>
      <c r="G36" s="3">
        <f t="shared" si="0"/>
        <v>-1.5108787700905708</v>
      </c>
      <c r="H36" s="10">
        <f t="shared" si="1"/>
        <v>-0.26941785378934213</v>
      </c>
      <c r="I36" s="3">
        <f t="shared" si="2"/>
        <v>36.830398190404672</v>
      </c>
      <c r="J36" s="3">
        <f t="shared" si="3"/>
        <v>20.167878095484443</v>
      </c>
      <c r="K36" s="3">
        <f t="shared" si="4"/>
        <v>511.94253484662494</v>
      </c>
      <c r="L36" s="3">
        <f t="shared" si="5"/>
        <v>280.3335055272338</v>
      </c>
    </row>
    <row r="37" spans="1:15" x14ac:dyDescent="0.15">
      <c r="A37" t="str">
        <f>Data!A32</f>
        <v>051221-LS-WM-163m-To</v>
      </c>
      <c r="B37" s="3">
        <f>Data!H32</f>
        <v>43.966666666666583</v>
      </c>
      <c r="C37" s="3">
        <f>Data!C32/Data!F32</f>
        <v>49.266354996317276</v>
      </c>
      <c r="D37" s="3"/>
      <c r="E37" s="3">
        <f>Data!G32/Data!F32</f>
        <v>24.14006456028666</v>
      </c>
      <c r="F37" s="3"/>
      <c r="G37" s="3">
        <f t="shared" si="0"/>
        <v>-1.3556249086549101</v>
      </c>
      <c r="H37" s="10">
        <f t="shared" si="1"/>
        <v>-0.26804940227467711</v>
      </c>
      <c r="I37" s="3">
        <f t="shared" si="2"/>
        <v>36.969798964007211</v>
      </c>
      <c r="J37" s="3">
        <f t="shared" si="3"/>
        <v>20.16902155500981</v>
      </c>
      <c r="K37" s="3">
        <f t="shared" si="4"/>
        <v>513.88020559970028</v>
      </c>
      <c r="L37" s="3">
        <f t="shared" si="5"/>
        <v>280.34939961463635</v>
      </c>
      <c r="M37" s="3">
        <f>AVERAGE(K37:K39)</f>
        <v>514.02527826106791</v>
      </c>
      <c r="N37" s="3">
        <f>AVERAGE(L37:L39)</f>
        <v>280.43056762502448</v>
      </c>
      <c r="O37" s="4" t="str">
        <f>Data!A32</f>
        <v>051221-LS-WM-163m-To</v>
      </c>
    </row>
    <row r="38" spans="1:15" x14ac:dyDescent="0.15">
      <c r="B38" s="3">
        <f>Data!H33</f>
        <v>44.049999999999955</v>
      </c>
      <c r="C38" s="3">
        <f>Data!C33/Data!F33</f>
        <v>49.264874909177472</v>
      </c>
      <c r="D38" s="3"/>
      <c r="E38" s="3">
        <f>Data!G33/Data!F33</f>
        <v>24.145741215455612</v>
      </c>
      <c r="F38" s="3"/>
      <c r="G38" s="3">
        <f t="shared" si="0"/>
        <v>-1.3570784382144865</v>
      </c>
      <c r="H38" s="10">
        <f t="shared" si="1"/>
        <v>-0.2623711985835655</v>
      </c>
      <c r="I38" s="3">
        <f t="shared" si="2"/>
        <v>36.96849385543738</v>
      </c>
      <c r="J38" s="3">
        <f t="shared" si="3"/>
        <v>20.173766185000698</v>
      </c>
      <c r="K38" s="3">
        <f t="shared" si="4"/>
        <v>513.86206459057962</v>
      </c>
      <c r="L38" s="3">
        <f t="shared" si="5"/>
        <v>280.41534997150973</v>
      </c>
    </row>
    <row r="39" spans="1:15" x14ac:dyDescent="0.15">
      <c r="B39" s="3">
        <f>Data!H34</f>
        <v>44.18333333333328</v>
      </c>
      <c r="C39" s="3">
        <f>Data!C34/Data!F34</f>
        <v>49.302610866207552</v>
      </c>
      <c r="D39" s="3"/>
      <c r="E39" s="3">
        <f>Data!G34/Data!F34</f>
        <v>24.155347576937103</v>
      </c>
      <c r="F39" s="3"/>
      <c r="G39" s="3">
        <f t="shared" si="0"/>
        <v>-1.3192999890560486</v>
      </c>
      <c r="H39" s="10">
        <f t="shared" si="1"/>
        <v>-0.25276235946661885</v>
      </c>
      <c r="I39" s="3">
        <f t="shared" si="2"/>
        <v>37.002414718915375</v>
      </c>
      <c r="J39" s="3">
        <f t="shared" si="3"/>
        <v>20.181795200642259</v>
      </c>
      <c r="K39" s="3">
        <f t="shared" si="4"/>
        <v>514.33356459292372</v>
      </c>
      <c r="L39" s="3">
        <f t="shared" si="5"/>
        <v>280.52695328892742</v>
      </c>
    </row>
    <row r="40" spans="1:15" x14ac:dyDescent="0.15">
      <c r="A40" t="str">
        <f>Data!A35</f>
        <v>051221-LS-WM-163m-To</v>
      </c>
      <c r="B40" s="3">
        <f>Data!H35</f>
        <v>47.133333333333326</v>
      </c>
      <c r="C40" s="3">
        <f>Data!C35/Data!F35</f>
        <v>49.206905683995004</v>
      </c>
      <c r="D40" s="3"/>
      <c r="E40" s="3">
        <f>Data!G35/Data!F35</f>
        <v>24.02238159877724</v>
      </c>
      <c r="F40" s="3"/>
      <c r="G40" s="3">
        <f t="shared" si="0"/>
        <v>-1.4140650329285904</v>
      </c>
      <c r="H40" s="10">
        <f t="shared" si="1"/>
        <v>-0.38567351994201005</v>
      </c>
      <c r="I40" s="3">
        <f t="shared" si="2"/>
        <v>36.917326204503219</v>
      </c>
      <c r="J40" s="3">
        <f t="shared" si="3"/>
        <v>20.070736437621349</v>
      </c>
      <c r="K40" s="3">
        <f t="shared" si="4"/>
        <v>513.15083424259478</v>
      </c>
      <c r="L40" s="3">
        <f t="shared" si="5"/>
        <v>278.98323648293677</v>
      </c>
      <c r="M40" s="3">
        <f>AVERAGE(K40:K42)</f>
        <v>513.02305736670212</v>
      </c>
      <c r="N40" s="3">
        <f>AVERAGE(L40:L42)</f>
        <v>278.91295826179947</v>
      </c>
      <c r="O40" s="4" t="str">
        <f>Data!A35</f>
        <v>051221-LS-WM-163m-To</v>
      </c>
    </row>
    <row r="41" spans="1:15" x14ac:dyDescent="0.15">
      <c r="B41" s="3">
        <f>Data!H36</f>
        <v>47.266666666666652</v>
      </c>
      <c r="C41" s="3">
        <f>Data!C36/Data!F36</f>
        <v>49.215887598909788</v>
      </c>
      <c r="D41" s="3"/>
      <c r="E41" s="3">
        <f>Data!G36/Data!F36</f>
        <v>24.018513665994643</v>
      </c>
      <c r="F41" s="3"/>
      <c r="G41" s="3">
        <f t="shared" si="0"/>
        <v>-1.405040625885448</v>
      </c>
      <c r="H41" s="10">
        <f t="shared" si="1"/>
        <v>-0.38953897508915247</v>
      </c>
      <c r="I41" s="3">
        <f t="shared" si="2"/>
        <v>36.92542912259804</v>
      </c>
      <c r="J41" s="3">
        <f t="shared" si="3"/>
        <v>20.067506515727516</v>
      </c>
      <c r="K41" s="3">
        <f t="shared" si="4"/>
        <v>513.2634648041128</v>
      </c>
      <c r="L41" s="3">
        <f t="shared" si="5"/>
        <v>278.93834056861249</v>
      </c>
    </row>
    <row r="42" spans="1:15" x14ac:dyDescent="0.15">
      <c r="B42" s="3">
        <f>Data!H37</f>
        <v>47.350000000000023</v>
      </c>
      <c r="C42" s="3">
        <f>Data!C37/Data!F37</f>
        <v>49.167098257876141</v>
      </c>
      <c r="D42" s="3"/>
      <c r="E42" s="3">
        <f>Data!G37/Data!F37</f>
        <v>24.00809055337912</v>
      </c>
      <c r="F42" s="3"/>
      <c r="G42" s="3">
        <f t="shared" si="0"/>
        <v>-1.4538034093388674</v>
      </c>
      <c r="H42" s="10">
        <f t="shared" si="1"/>
        <v>-0.39996053918251562</v>
      </c>
      <c r="I42" s="3">
        <f t="shared" si="2"/>
        <v>36.881645543409988</v>
      </c>
      <c r="J42" s="3">
        <f t="shared" si="3"/>
        <v>20.058798398118636</v>
      </c>
      <c r="K42" s="3">
        <f t="shared" si="4"/>
        <v>512.65487305339889</v>
      </c>
      <c r="L42" s="3">
        <f t="shared" si="5"/>
        <v>278.81729773384905</v>
      </c>
    </row>
    <row r="43" spans="1:15" x14ac:dyDescent="0.15">
      <c r="A43" t="str">
        <f>Data!A38</f>
        <v>051321-LS-WM-5m-Tf</v>
      </c>
      <c r="B43" s="3">
        <f>Data!H38</f>
        <v>52.066666666666606</v>
      </c>
      <c r="C43" s="3">
        <f>Data!C38/Data!F38</f>
        <v>49.186681189930916</v>
      </c>
      <c r="D43" s="3"/>
      <c r="E43" s="3">
        <f>Data!G38/Data!F38</f>
        <v>24.229914721858272</v>
      </c>
      <c r="F43" s="3"/>
      <c r="G43" s="3">
        <f t="shared" si="0"/>
        <v>-1.4327173182432986</v>
      </c>
      <c r="H43" s="10">
        <f t="shared" si="1"/>
        <v>-0.17804872434909669</v>
      </c>
      <c r="I43" s="3">
        <f t="shared" si="2"/>
        <v>36.900578517983334</v>
      </c>
      <c r="J43" s="3">
        <f t="shared" si="3"/>
        <v>20.244224900806408</v>
      </c>
      <c r="K43" s="3">
        <f t="shared" si="4"/>
        <v>512.91804139996839</v>
      </c>
      <c r="L43" s="3">
        <f t="shared" si="5"/>
        <v>281.39472612120909</v>
      </c>
      <c r="M43" s="3">
        <f>AVERAGE(K43:K45)</f>
        <v>512.35063786830779</v>
      </c>
      <c r="N43" s="3">
        <f>AVERAGE(L43:L45)</f>
        <v>281.2796377243489</v>
      </c>
      <c r="O43" s="4" t="str">
        <f>Data!A38</f>
        <v>051321-LS-WM-5m-Tf</v>
      </c>
    </row>
    <row r="44" spans="1:15" x14ac:dyDescent="0.15">
      <c r="B44" s="3">
        <f>Data!H39</f>
        <v>52.149999999999977</v>
      </c>
      <c r="C44" s="3">
        <f>Data!C39/Data!F39</f>
        <v>49.072620115833267</v>
      </c>
      <c r="D44" s="3"/>
      <c r="E44" s="3">
        <f>Data!G39/Data!F39</f>
        <v>24.207257093228023</v>
      </c>
      <c r="F44" s="3"/>
      <c r="G44" s="3">
        <f t="shared" si="0"/>
        <v>-1.5467518347607196</v>
      </c>
      <c r="H44" s="10">
        <f t="shared" si="1"/>
        <v>-0.2007048044571853</v>
      </c>
      <c r="I44" s="3">
        <f t="shared" si="2"/>
        <v>36.798188151180717</v>
      </c>
      <c r="J44" s="3">
        <f t="shared" si="3"/>
        <v>20.225293787552207</v>
      </c>
      <c r="K44" s="3">
        <f t="shared" si="4"/>
        <v>511.49481530141196</v>
      </c>
      <c r="L44" s="3">
        <f t="shared" si="5"/>
        <v>281.13158364697568</v>
      </c>
    </row>
    <row r="45" spans="1:15" x14ac:dyDescent="0.15">
      <c r="B45" s="3">
        <f>Data!H40</f>
        <v>52.199999999999932</v>
      </c>
      <c r="C45" s="3">
        <f>Data!C40/Data!F40</f>
        <v>49.164285354087177</v>
      </c>
      <c r="D45" s="3"/>
      <c r="E45" s="3">
        <f>Data!G40/Data!F40</f>
        <v>24.222841630306625</v>
      </c>
      <c r="F45" s="3"/>
      <c r="G45" s="3">
        <f t="shared" si="0"/>
        <v>-1.455070661958672</v>
      </c>
      <c r="H45" s="10">
        <f t="shared" si="1"/>
        <v>-0.18511933826528804</v>
      </c>
      <c r="I45" s="3">
        <f t="shared" si="2"/>
        <v>36.880507690902377</v>
      </c>
      <c r="J45" s="3">
        <f t="shared" si="3"/>
        <v>20.238316791716684</v>
      </c>
      <c r="K45" s="3">
        <f t="shared" si="4"/>
        <v>512.63905690354306</v>
      </c>
      <c r="L45" s="3">
        <f t="shared" si="5"/>
        <v>281.31260340486193</v>
      </c>
    </row>
    <row r="46" spans="1:15" x14ac:dyDescent="0.15">
      <c r="A46" t="str">
        <f>Data!A41</f>
        <v>051321-LS-WM-5m-Tf</v>
      </c>
      <c r="B46" s="3">
        <f>Data!H41</f>
        <v>56.399999999999977</v>
      </c>
      <c r="C46" s="3">
        <f>Data!C41/Data!F41</f>
        <v>49.153206964874975</v>
      </c>
      <c r="D46" s="3"/>
      <c r="E46" s="3">
        <f>Data!G41/Data!F41</f>
        <v>24.16026432813781</v>
      </c>
      <c r="F46" s="3"/>
      <c r="G46" s="3">
        <f t="shared" si="0"/>
        <v>-1.4648105491274777</v>
      </c>
      <c r="H46" s="10">
        <f t="shared" si="1"/>
        <v>-0.24761859491723115</v>
      </c>
      <c r="I46" s="3">
        <f t="shared" si="2"/>
        <v>36.871762350892297</v>
      </c>
      <c r="J46" s="3">
        <f t="shared" si="3"/>
        <v>20.186093260534918</v>
      </c>
      <c r="K46" s="3">
        <f t="shared" si="4"/>
        <v>512.51749667740296</v>
      </c>
      <c r="L46" s="3">
        <f t="shared" si="5"/>
        <v>280.58669632143534</v>
      </c>
      <c r="M46" s="3">
        <f>AVERAGE(K46:K48)</f>
        <v>512.55073407457382</v>
      </c>
      <c r="N46" s="3">
        <f>AVERAGE(L46:L48)</f>
        <v>280.99891177992231</v>
      </c>
      <c r="O46" s="4" t="str">
        <f>Data!A41</f>
        <v>051321-LS-WM-5m-Tf</v>
      </c>
    </row>
    <row r="47" spans="1:15" x14ac:dyDescent="0.15">
      <c r="B47" s="3">
        <f>Data!H42</f>
        <v>56.483333333333348</v>
      </c>
      <c r="C47" s="3">
        <f>Data!C42/Data!F42</f>
        <v>49.077353333526666</v>
      </c>
      <c r="D47" s="3"/>
      <c r="E47" s="3">
        <f>Data!G42/Data!F42</f>
        <v>24.167736034181093</v>
      </c>
      <c r="F47" s="3"/>
      <c r="G47" s="3">
        <f t="shared" si="0"/>
        <v>-1.5406376228955665</v>
      </c>
      <c r="H47" s="10">
        <f t="shared" si="1"/>
        <v>-0.24014534035178769</v>
      </c>
      <c r="I47" s="3">
        <f t="shared" si="2"/>
        <v>36.803678036302351</v>
      </c>
      <c r="J47" s="3">
        <f t="shared" si="3"/>
        <v>20.192337810690148</v>
      </c>
      <c r="K47" s="3">
        <f t="shared" si="4"/>
        <v>511.57112470460271</v>
      </c>
      <c r="L47" s="3">
        <f t="shared" si="5"/>
        <v>280.67349556859307</v>
      </c>
    </row>
    <row r="48" spans="1:15" x14ac:dyDescent="0.15">
      <c r="B48" s="3">
        <f>Data!H43</f>
        <v>56.566666666666606</v>
      </c>
      <c r="C48" s="3">
        <f>Data!C43/Data!F43</f>
        <v>49.236970259514031</v>
      </c>
      <c r="D48" s="3"/>
      <c r="E48" s="3">
        <f>Data!G43/Data!F43</f>
        <v>24.259260941143278</v>
      </c>
      <c r="F48" s="3"/>
      <c r="G48" s="3">
        <f t="shared" si="0"/>
        <v>-1.3809941393279743</v>
      </c>
      <c r="H48" s="10">
        <f t="shared" si="1"/>
        <v>-0.14861888486744235</v>
      </c>
      <c r="I48" s="3">
        <f t="shared" si="2"/>
        <v>36.947020204439987</v>
      </c>
      <c r="J48" s="3">
        <f t="shared" si="3"/>
        <v>20.268816075520753</v>
      </c>
      <c r="K48" s="3">
        <f t="shared" si="4"/>
        <v>513.56358084171586</v>
      </c>
      <c r="L48" s="3">
        <f t="shared" si="5"/>
        <v>281.73654344973846</v>
      </c>
    </row>
    <row r="49" spans="1:15" x14ac:dyDescent="0.15">
      <c r="A49" t="str">
        <f>Data!A44</f>
        <v>051321-LS-WM-35m-Tf</v>
      </c>
      <c r="B49" s="3">
        <f>Data!H44</f>
        <v>60.25</v>
      </c>
      <c r="C49" s="3">
        <f>Data!C44/Data!F44</f>
        <v>49.863546549920578</v>
      </c>
      <c r="D49" s="3"/>
      <c r="E49" s="3">
        <f>Data!G44/Data!F44</f>
        <v>24.180918690003963</v>
      </c>
      <c r="F49" s="3"/>
      <c r="G49" s="3">
        <f t="shared" si="0"/>
        <v>-0.75324400387543733</v>
      </c>
      <c r="H49" s="10">
        <f t="shared" si="1"/>
        <v>-0.22689269132727929</v>
      </c>
      <c r="I49" s="3">
        <f t="shared" si="2"/>
        <v>37.510670304360026</v>
      </c>
      <c r="J49" s="3">
        <f t="shared" si="3"/>
        <v>20.203411544469521</v>
      </c>
      <c r="K49" s="3">
        <f t="shared" si="4"/>
        <v>521.39831723060433</v>
      </c>
      <c r="L49" s="3">
        <f t="shared" si="5"/>
        <v>280.82742046812638</v>
      </c>
      <c r="M49" s="3">
        <f>AVERAGE(K49:K51)</f>
        <v>521.74940290593565</v>
      </c>
      <c r="N49" s="3">
        <f>AVERAGE(L49:L51)</f>
        <v>280.97077730409677</v>
      </c>
      <c r="O49" s="4" t="str">
        <f>Data!A44</f>
        <v>051321-LS-WM-35m-Tf</v>
      </c>
    </row>
    <row r="50" spans="1:15" x14ac:dyDescent="0.15">
      <c r="B50" s="3">
        <f>Data!H45</f>
        <v>60.333333333333258</v>
      </c>
      <c r="C50" s="3">
        <f>Data!C45/Data!F45</f>
        <v>49.85446857852434</v>
      </c>
      <c r="D50" s="3"/>
      <c r="E50" s="3">
        <f>Data!G45/Data!F45</f>
        <v>24.177503764308693</v>
      </c>
      <c r="F50" s="3"/>
      <c r="G50" s="3">
        <f t="shared" si="0"/>
        <v>-0.7622954176914476</v>
      </c>
      <c r="H50" s="10">
        <f t="shared" si="1"/>
        <v>-0.23030606850038993</v>
      </c>
      <c r="I50" s="3">
        <f t="shared" si="2"/>
        <v>37.502543137174101</v>
      </c>
      <c r="J50" s="3">
        <f t="shared" si="3"/>
        <v>20.200559372799262</v>
      </c>
      <c r="K50" s="3">
        <f t="shared" si="4"/>
        <v>521.28534960672005</v>
      </c>
      <c r="L50" s="3">
        <f t="shared" si="5"/>
        <v>280.78777528190977</v>
      </c>
    </row>
    <row r="51" spans="1:15" x14ac:dyDescent="0.15">
      <c r="B51" s="3">
        <f>Data!H46</f>
        <v>60.583333333333258</v>
      </c>
      <c r="C51" s="3">
        <f>Data!C46/Data!F46</f>
        <v>49.95688286132544</v>
      </c>
      <c r="D51" s="3"/>
      <c r="E51" s="3">
        <f>Data!G46/Data!F46</f>
        <v>24.221354148009638</v>
      </c>
      <c r="F51" s="3"/>
      <c r="G51" s="3">
        <f t="shared" si="0"/>
        <v>-0.65980146214966595</v>
      </c>
      <c r="H51" s="10">
        <f t="shared" si="1"/>
        <v>-0.18645103923296347</v>
      </c>
      <c r="I51" s="3">
        <f t="shared" si="2"/>
        <v>37.594571358308102</v>
      </c>
      <c r="J51" s="3">
        <f t="shared" si="3"/>
        <v>20.237204040449935</v>
      </c>
      <c r="K51" s="3">
        <f t="shared" si="4"/>
        <v>522.56454188048258</v>
      </c>
      <c r="L51" s="3">
        <f t="shared" si="5"/>
        <v>281.29713616225411</v>
      </c>
    </row>
    <row r="52" spans="1:15" x14ac:dyDescent="0.15">
      <c r="A52" t="str">
        <f>Data!A47</f>
        <v>051321-LS-WM-35m-Tf</v>
      </c>
      <c r="B52" s="3">
        <f>Data!H47</f>
        <v>64.916666666666629</v>
      </c>
      <c r="C52" s="3">
        <f>Data!C47/Data!F47</f>
        <v>49.153189119944102</v>
      </c>
      <c r="D52" s="3"/>
      <c r="E52" s="3">
        <f>Data!G47/Data!F47</f>
        <v>24.166399784553349</v>
      </c>
      <c r="F52" s="3"/>
      <c r="G52" s="3">
        <f t="shared" si="0"/>
        <v>-1.4621142093592496</v>
      </c>
      <c r="H52" s="10">
        <f t="shared" si="1"/>
        <v>-0.24132487953692561</v>
      </c>
      <c r="I52" s="3">
        <f t="shared" si="2"/>
        <v>36.874183365391453</v>
      </c>
      <c r="J52" s="3">
        <f t="shared" si="3"/>
        <v>20.191352203745122</v>
      </c>
      <c r="K52" s="3">
        <f t="shared" si="4"/>
        <v>512.55114877894118</v>
      </c>
      <c r="L52" s="3">
        <f t="shared" si="5"/>
        <v>280.65979563205718</v>
      </c>
      <c r="M52" s="3">
        <f>AVERAGE(K52:K54)</f>
        <v>512.452367659277</v>
      </c>
      <c r="N52" s="3">
        <f>AVERAGE(L52:L54)</f>
        <v>280.68860493520242</v>
      </c>
      <c r="O52" s="4" t="str">
        <f>Data!A47</f>
        <v>051321-LS-WM-35m-Tf</v>
      </c>
    </row>
    <row r="53" spans="1:15" x14ac:dyDescent="0.15">
      <c r="B53" s="3">
        <f>Data!H48</f>
        <v>65.049999999999955</v>
      </c>
      <c r="C53" s="3">
        <f>Data!C48/Data!F48</f>
        <v>49.124707769730129</v>
      </c>
      <c r="D53" s="3"/>
      <c r="E53" s="3">
        <f>Data!G48/Data!F48</f>
        <v>24.182310428790469</v>
      </c>
      <c r="F53" s="3"/>
      <c r="G53" s="3">
        <f t="shared" si="0"/>
        <v>-1.4905530674448642</v>
      </c>
      <c r="H53" s="10">
        <f t="shared" si="1"/>
        <v>-0.22541175766435018</v>
      </c>
      <c r="I53" s="3">
        <f t="shared" si="2"/>
        <v>36.848648420361116</v>
      </c>
      <c r="J53" s="3">
        <f t="shared" si="3"/>
        <v>20.204648992552382</v>
      </c>
      <c r="K53" s="3">
        <f t="shared" si="4"/>
        <v>512.1962130430195</v>
      </c>
      <c r="L53" s="3">
        <f t="shared" si="5"/>
        <v>280.84462099647811</v>
      </c>
    </row>
    <row r="54" spans="1:15" x14ac:dyDescent="0.15">
      <c r="B54" s="3">
        <f>Data!H49</f>
        <v>65.133333333333326</v>
      </c>
      <c r="C54" s="3">
        <f>Data!C49/Data!F49</f>
        <v>49.157814723728386</v>
      </c>
      <c r="D54" s="3"/>
      <c r="E54" s="3">
        <f>Data!G49/Data!F49</f>
        <v>24.15792391959787</v>
      </c>
      <c r="F54" s="3"/>
      <c r="G54" s="3">
        <f t="shared" si="0"/>
        <v>-1.4574195558663803</v>
      </c>
      <c r="H54" s="10">
        <f t="shared" si="1"/>
        <v>-0.24979671833478889</v>
      </c>
      <c r="I54" s="3">
        <f t="shared" si="2"/>
        <v>36.878398644307225</v>
      </c>
      <c r="J54" s="3">
        <f t="shared" si="3"/>
        <v>20.184273250149065</v>
      </c>
      <c r="K54" s="3">
        <f t="shared" si="4"/>
        <v>512.60974115587044</v>
      </c>
      <c r="L54" s="3">
        <f t="shared" si="5"/>
        <v>280.56139817707202</v>
      </c>
    </row>
    <row r="55" spans="1:15" x14ac:dyDescent="0.15">
      <c r="A55" t="str">
        <f>Data!A50</f>
        <v>051321-LS-WM-163m-Tf</v>
      </c>
      <c r="B55" s="3">
        <f>Data!H50</f>
        <v>69.5</v>
      </c>
      <c r="C55" s="3">
        <f>Data!C50/Data!F50</f>
        <v>49.267455086724389</v>
      </c>
      <c r="D55" s="3"/>
      <c r="E55" s="3">
        <f>Data!G50/Data!F50</f>
        <v>24.102789705669817</v>
      </c>
      <c r="F55" s="3"/>
      <c r="G55" s="3">
        <f t="shared" si="0"/>
        <v>-1.346387575666526</v>
      </c>
      <c r="H55" s="10">
        <f t="shared" si="1"/>
        <v>-0.30484978970164889</v>
      </c>
      <c r="I55" s="3">
        <f t="shared" si="2"/>
        <v>36.978093066019859</v>
      </c>
      <c r="J55" s="3">
        <f t="shared" si="3"/>
        <v>20.138271650399002</v>
      </c>
      <c r="K55" s="3">
        <f t="shared" si="4"/>
        <v>513.99549361767606</v>
      </c>
      <c r="L55" s="3">
        <f t="shared" si="5"/>
        <v>279.92197594054613</v>
      </c>
      <c r="M55" s="3">
        <f>AVERAGE(K55:K57)</f>
        <v>514.0249132543629</v>
      </c>
      <c r="N55" s="3">
        <f>AVERAGE(L55:L57)</f>
        <v>279.8313979371278</v>
      </c>
      <c r="O55" s="4" t="str">
        <f>Data!A50</f>
        <v>051321-LS-WM-163m-Tf</v>
      </c>
    </row>
    <row r="56" spans="1:15" x14ac:dyDescent="0.15">
      <c r="B56" s="3">
        <f>Data!H51</f>
        <v>69.633333333333326</v>
      </c>
      <c r="C56" s="3">
        <f>Data!C51/Data!F51</f>
        <v>49.265671277397431</v>
      </c>
      <c r="D56" s="3"/>
      <c r="E56" s="3">
        <f>Data!G51/Data!F51</f>
        <v>24.08193801771009</v>
      </c>
      <c r="F56" s="3"/>
      <c r="G56" s="3">
        <f t="shared" si="0"/>
        <v>-1.3481288928651267</v>
      </c>
      <c r="H56" s="10">
        <f t="shared" si="1"/>
        <v>-0.32569900002591723</v>
      </c>
      <c r="I56" s="3">
        <f t="shared" si="2"/>
        <v>36.976529556021923</v>
      </c>
      <c r="J56" s="3">
        <f t="shared" si="3"/>
        <v>20.120850333029608</v>
      </c>
      <c r="K56" s="3">
        <f t="shared" si="4"/>
        <v>513.97376082870471</v>
      </c>
      <c r="L56" s="3">
        <f t="shared" si="5"/>
        <v>279.67981962911153</v>
      </c>
    </row>
    <row r="57" spans="1:15" x14ac:dyDescent="0.15">
      <c r="B57" s="3">
        <f>Data!H52</f>
        <v>69.883333333333326</v>
      </c>
      <c r="C57" s="3">
        <f>Data!C52/Data!F52</f>
        <v>49.276145892775965</v>
      </c>
      <c r="D57" s="3"/>
      <c r="E57" s="3">
        <f>Data!G52/Data!F52</f>
        <v>24.100235997330522</v>
      </c>
      <c r="F57" s="3"/>
      <c r="G57" s="3">
        <f t="shared" si="0"/>
        <v>-1.3375746047459103</v>
      </c>
      <c r="H57" s="10">
        <f t="shared" si="1"/>
        <v>-0.3073963748390085</v>
      </c>
      <c r="I57" s="3">
        <f t="shared" si="2"/>
        <v>36.986006137892659</v>
      </c>
      <c r="J57" s="3">
        <f t="shared" si="3"/>
        <v>20.136143758397527</v>
      </c>
      <c r="K57" s="3">
        <f t="shared" si="4"/>
        <v>514.10548531670793</v>
      </c>
      <c r="L57" s="3">
        <f t="shared" si="5"/>
        <v>279.89239824172563</v>
      </c>
    </row>
    <row r="58" spans="1:15" x14ac:dyDescent="0.15">
      <c r="A58" t="str">
        <f>Data!A53</f>
        <v>051321-LS-WM-163m-Tf</v>
      </c>
      <c r="B58" s="3">
        <f>Data!H53</f>
        <v>73.449999999999932</v>
      </c>
      <c r="C58" s="3">
        <f>Data!C53/Data!F53</f>
        <v>52.064468491201758</v>
      </c>
      <c r="D58" s="3"/>
      <c r="E58" s="3">
        <f>Data!G53/Data!F53</f>
        <v>24.238113503327053</v>
      </c>
      <c r="F58" s="3"/>
      <c r="G58" s="3">
        <f t="shared" si="0"/>
        <v>1.4518846581135563</v>
      </c>
      <c r="H58" s="10">
        <f t="shared" si="1"/>
        <v>-0.16945259209402153</v>
      </c>
      <c r="I58" s="3">
        <f t="shared" si="2"/>
        <v>39.490631630486455</v>
      </c>
      <c r="J58" s="3">
        <f t="shared" si="3"/>
        <v>20.25140771232952</v>
      </c>
      <c r="K58" s="3">
        <f t="shared" si="4"/>
        <v>548.91977966376169</v>
      </c>
      <c r="L58" s="3">
        <f t="shared" si="5"/>
        <v>281.49456720138033</v>
      </c>
      <c r="M58" s="3">
        <f>AVERAGE(K58:K60)</f>
        <v>548.93919422291594</v>
      </c>
      <c r="N58" s="3">
        <f>AVERAGE(L58:L60)</f>
        <v>281.56631868014023</v>
      </c>
      <c r="O58" s="4" t="str">
        <f>Data!A53</f>
        <v>051321-LS-WM-163m-Tf</v>
      </c>
    </row>
    <row r="59" spans="1:15" x14ac:dyDescent="0.15">
      <c r="B59" s="3">
        <f>Data!H54</f>
        <v>73.616666666666674</v>
      </c>
      <c r="C59" s="3">
        <f>Data!C54/Data!F54</f>
        <v>52.079029615104901</v>
      </c>
      <c r="D59" s="3"/>
      <c r="E59" s="3">
        <f>Data!G54/Data!F54</f>
        <v>24.240629631675365</v>
      </c>
      <c r="F59" s="3"/>
      <c r="G59" s="3">
        <f t="shared" si="0"/>
        <v>1.4664988971771535</v>
      </c>
      <c r="H59" s="10">
        <f t="shared" si="1"/>
        <v>-0.16693336670138947</v>
      </c>
      <c r="I59" s="3">
        <f t="shared" si="2"/>
        <v>39.503753598676099</v>
      </c>
      <c r="J59" s="3">
        <f t="shared" si="3"/>
        <v>20.253512742899382</v>
      </c>
      <c r="K59" s="3">
        <f t="shared" si="4"/>
        <v>549.10217502159776</v>
      </c>
      <c r="L59" s="3">
        <f t="shared" si="5"/>
        <v>281.5238271263014</v>
      </c>
    </row>
    <row r="60" spans="1:15" x14ac:dyDescent="0.15">
      <c r="B60" s="3">
        <f>Data!H55</f>
        <v>73.699999999999932</v>
      </c>
      <c r="C60" s="3">
        <f>Data!C55/Data!F55</f>
        <v>52.054441293706901</v>
      </c>
      <c r="D60" s="3"/>
      <c r="E60" s="3">
        <f>Data!G55/Data!F55</f>
        <v>24.25412264102107</v>
      </c>
      <c r="F60" s="3"/>
      <c r="G60" s="3">
        <f t="shared" si="0"/>
        <v>1.4419371333593745</v>
      </c>
      <c r="H60" s="10">
        <f t="shared" si="1"/>
        <v>-0.15343880883352412</v>
      </c>
      <c r="I60" s="3">
        <f t="shared" si="2"/>
        <v>39.481699854920038</v>
      </c>
      <c r="J60" s="3">
        <f t="shared" si="3"/>
        <v>20.26478861242726</v>
      </c>
      <c r="K60" s="3">
        <f t="shared" si="4"/>
        <v>548.7956279833885</v>
      </c>
      <c r="L60" s="3">
        <f t="shared" si="5"/>
        <v>281.68056171273895</v>
      </c>
    </row>
    <row r="61" spans="1:15" x14ac:dyDescent="0.15">
      <c r="A61" t="str">
        <f>Data!A56</f>
        <v>20/0</v>
      </c>
      <c r="B61" s="3">
        <f>Data!H56</f>
        <v>77.916666666666629</v>
      </c>
      <c r="C61" s="3">
        <f>Data!C56/Data!F56</f>
        <v>50.76678174708087</v>
      </c>
      <c r="D61" s="3">
        <f>B$3/C61</f>
        <v>0.75220446689425569</v>
      </c>
      <c r="E61" s="3">
        <f>Data!G56/Data!F56</f>
        <v>24.475959273761926</v>
      </c>
      <c r="F61" s="3">
        <f>C$3/E61</f>
        <v>0.83318491307759157</v>
      </c>
      <c r="G61" s="3">
        <f t="shared" si="0"/>
        <v>0.15562140029278737</v>
      </c>
      <c r="H61" s="10">
        <f t="shared" si="1"/>
        <v>6.8476179128637682E-2</v>
      </c>
      <c r="I61" s="3">
        <f t="shared" si="2"/>
        <v>38.326730782792254</v>
      </c>
      <c r="J61" s="3">
        <f t="shared" si="3"/>
        <v>20.450217766538373</v>
      </c>
      <c r="K61" s="3">
        <f t="shared" si="4"/>
        <v>532.74155788081237</v>
      </c>
      <c r="L61" s="3">
        <f t="shared" si="5"/>
        <v>284.25802695488341</v>
      </c>
      <c r="M61" s="3"/>
      <c r="N61" s="3"/>
      <c r="O61" s="4" t="str">
        <f>Data!A56</f>
        <v>20/0</v>
      </c>
    </row>
    <row r="62" spans="1:15" x14ac:dyDescent="0.15">
      <c r="B62" s="3">
        <f>Data!H57</f>
        <v>78</v>
      </c>
      <c r="C62" s="3">
        <f>Data!C57/Data!F57</f>
        <v>50.835574790108979</v>
      </c>
      <c r="D62" s="3">
        <f>B$3/C62</f>
        <v>0.75118654913743599</v>
      </c>
      <c r="E62" s="3">
        <f>Data!G57/Data!F57</f>
        <v>24.533741012226049</v>
      </c>
      <c r="F62" s="3">
        <f>C$3/E62</f>
        <v>0.8312226003297839</v>
      </c>
      <c r="G62" s="3">
        <f t="shared" si="0"/>
        <v>0.22444100090112329</v>
      </c>
      <c r="H62" s="10">
        <f t="shared" si="1"/>
        <v>0.12625946611492012</v>
      </c>
      <c r="I62" s="3">
        <f t="shared" si="2"/>
        <v>38.388523162544402</v>
      </c>
      <c r="J62" s="3">
        <f t="shared" si="3"/>
        <v>20.498500697430146</v>
      </c>
      <c r="K62" s="3">
        <f t="shared" si="4"/>
        <v>533.60047195936716</v>
      </c>
      <c r="L62" s="3">
        <f t="shared" si="5"/>
        <v>284.92915969427901</v>
      </c>
    </row>
    <row r="63" spans="1:15" x14ac:dyDescent="0.15">
      <c r="B63" s="3">
        <f>Data!H58</f>
        <v>78.133333333333326</v>
      </c>
      <c r="C63" s="3">
        <f>Data!C58/Data!F58</f>
        <v>50.759242556209273</v>
      </c>
      <c r="D63" s="3">
        <f>B$3/C63</f>
        <v>0.75231619064671529</v>
      </c>
      <c r="E63" s="3">
        <f>Data!G58/Data!F58</f>
        <v>24.45721175859018</v>
      </c>
      <c r="F63" s="3">
        <f>C$3/E63</f>
        <v>0.83382358550488922</v>
      </c>
      <c r="G63" s="3">
        <f t="shared" si="0"/>
        <v>0.14815125912977578</v>
      </c>
      <c r="H63" s="10">
        <f t="shared" si="1"/>
        <v>4.9732690114506539E-2</v>
      </c>
      <c r="I63" s="3">
        <f t="shared" si="2"/>
        <v>38.32002342332683</v>
      </c>
      <c r="J63" s="3">
        <f t="shared" si="3"/>
        <v>20.43455596133586</v>
      </c>
      <c r="K63" s="3">
        <f t="shared" si="4"/>
        <v>532.64832558424291</v>
      </c>
      <c r="L63" s="3">
        <f t="shared" si="5"/>
        <v>284.04032786256846</v>
      </c>
    </row>
    <row r="64" spans="1:15" x14ac:dyDescent="0.15">
      <c r="A64" t="str">
        <f>Data!A59</f>
        <v>30/0</v>
      </c>
      <c r="B64" s="3">
        <f>Data!H59</f>
        <v>81.93333333333328</v>
      </c>
      <c r="C64" s="3">
        <f>Data!C59/Data!F59</f>
        <v>51.254389850955839</v>
      </c>
      <c r="D64" s="3">
        <f>B$4/C64</f>
        <v>0.75819847066768431</v>
      </c>
      <c r="E64" s="3">
        <f>Data!G59/Data!F59</f>
        <v>24.399564451161964</v>
      </c>
      <c r="F64" s="3">
        <f>C$4/E64</f>
        <v>0.8352608113473704</v>
      </c>
      <c r="G64" s="3">
        <f t="shared" si="0"/>
        <v>0.64450957953464894</v>
      </c>
      <c r="H64" s="10">
        <f t="shared" si="1"/>
        <v>-7.8440047032053428E-3</v>
      </c>
      <c r="I64" s="3">
        <f t="shared" si="2"/>
        <v>38.76569822464036</v>
      </c>
      <c r="J64" s="3">
        <f t="shared" si="3"/>
        <v>20.386445656058136</v>
      </c>
      <c r="K64" s="3">
        <f t="shared" si="4"/>
        <v>538.84320532250103</v>
      </c>
      <c r="L64" s="3">
        <f t="shared" si="5"/>
        <v>283.37159461920811</v>
      </c>
      <c r="M64" s="3"/>
      <c r="N64" s="3"/>
      <c r="O64" s="4" t="str">
        <f>Data!A59</f>
        <v>30/0</v>
      </c>
    </row>
    <row r="65" spans="1:15" x14ac:dyDescent="0.15">
      <c r="B65" s="3">
        <f>Data!H60</f>
        <v>82.049999999999955</v>
      </c>
      <c r="C65" s="3">
        <f>Data!C60/Data!F60</f>
        <v>51.366558382863602</v>
      </c>
      <c r="D65" s="3">
        <f>B$4/C65</f>
        <v>0.75654280184292855</v>
      </c>
      <c r="E65" s="3">
        <f>Data!G60/Data!F60</f>
        <v>24.443210580979763</v>
      </c>
      <c r="F65" s="3">
        <f>C$4/E65</f>
        <v>0.83376935826337351</v>
      </c>
      <c r="G65" s="3">
        <f t="shared" si="0"/>
        <v>0.75671529205472865</v>
      </c>
      <c r="H65" s="10">
        <f t="shared" si="1"/>
        <v>3.5804293045615054E-2</v>
      </c>
      <c r="I65" s="3">
        <f t="shared" si="2"/>
        <v>38.866446527988714</v>
      </c>
      <c r="J65" s="3">
        <f t="shared" si="3"/>
        <v>20.42291758165576</v>
      </c>
      <c r="K65" s="3">
        <f t="shared" si="4"/>
        <v>540.24360673904312</v>
      </c>
      <c r="L65" s="3">
        <f t="shared" si="5"/>
        <v>283.87855438501509</v>
      </c>
    </row>
    <row r="66" spans="1:15" x14ac:dyDescent="0.15">
      <c r="B66" s="3">
        <f>Data!H61</f>
        <v>82.18333333333328</v>
      </c>
      <c r="C66" s="3">
        <f>Data!C61/Data!F61</f>
        <v>51.422491464764619</v>
      </c>
      <c r="D66" s="3">
        <f>B$4/C66</f>
        <v>0.75571989790942118</v>
      </c>
      <c r="E66" s="3">
        <f>Data!G61/Data!F61</f>
        <v>24.451690132699817</v>
      </c>
      <c r="F66" s="3">
        <f>C$4/E66</f>
        <v>0.83348021708917985</v>
      </c>
      <c r="G66" s="3">
        <f t="shared" si="0"/>
        <v>0.81269086608411101</v>
      </c>
      <c r="H66" s="10">
        <f t="shared" si="1"/>
        <v>4.428632240112762E-2</v>
      </c>
      <c r="I66" s="3">
        <f t="shared" si="2"/>
        <v>38.916706394315945</v>
      </c>
      <c r="J66" s="3">
        <f t="shared" si="3"/>
        <v>20.430005050343574</v>
      </c>
      <c r="K66" s="3">
        <f t="shared" si="4"/>
        <v>540.94221888099162</v>
      </c>
      <c r="L66" s="3">
        <f t="shared" si="5"/>
        <v>283.97707019977571</v>
      </c>
    </row>
    <row r="67" spans="1:15" x14ac:dyDescent="0.15">
      <c r="A67" t="str">
        <f>Data!A62</f>
        <v>051321-LS-SB-5m-To</v>
      </c>
      <c r="B67" s="3">
        <f>Data!H62</f>
        <v>90.350000000000023</v>
      </c>
      <c r="C67" s="3">
        <f>Data!C62/Data!F62</f>
        <v>49.171129988189108</v>
      </c>
      <c r="D67" s="3"/>
      <c r="E67" s="3">
        <f>Data!G62/Data!F62</f>
        <v>24.495691188120613</v>
      </c>
      <c r="F67" s="3"/>
      <c r="G67" s="3">
        <f t="shared" si="0"/>
        <v>-1.4360679676292492</v>
      </c>
      <c r="H67" s="10">
        <f t="shared" si="1"/>
        <v>8.8439132993617164E-2</v>
      </c>
      <c r="I67" s="3">
        <f t="shared" si="2"/>
        <v>36.897570005910573</v>
      </c>
      <c r="J67" s="3">
        <f t="shared" si="3"/>
        <v>20.466898540030666</v>
      </c>
      <c r="K67" s="3">
        <f t="shared" si="4"/>
        <v>512.87622308215703</v>
      </c>
      <c r="L67" s="3">
        <f t="shared" si="5"/>
        <v>284.48988970642625</v>
      </c>
      <c r="M67" s="3">
        <f>AVERAGE(K67:K69)</f>
        <v>513.51928777702688</v>
      </c>
      <c r="N67" s="3">
        <f>AVERAGE(L67:L69)</f>
        <v>284.69027542049918</v>
      </c>
      <c r="O67" s="4" t="str">
        <f>Data!A62</f>
        <v>051321-LS-SB-5m-To</v>
      </c>
    </row>
    <row r="68" spans="1:15" x14ac:dyDescent="0.15">
      <c r="B68" s="3">
        <f>Data!H63</f>
        <v>90.516666666666652</v>
      </c>
      <c r="C68" s="3">
        <f>Data!C63/Data!F63</f>
        <v>49.206433111262335</v>
      </c>
      <c r="D68" s="3"/>
      <c r="E68" s="3">
        <f>Data!G63/Data!F63</f>
        <v>24.514390250639721</v>
      </c>
      <c r="F68" s="3"/>
      <c r="G68" s="3">
        <f t="shared" si="0"/>
        <v>-1.4007117293955673</v>
      </c>
      <c r="H68" s="10">
        <f t="shared" si="1"/>
        <v>0.10714129255704563</v>
      </c>
      <c r="I68" s="3">
        <f t="shared" si="2"/>
        <v>36.929315992231778</v>
      </c>
      <c r="J68" s="3">
        <f t="shared" si="3"/>
        <v>20.482525810904722</v>
      </c>
      <c r="K68" s="3">
        <f t="shared" si="4"/>
        <v>513.31749229202171</v>
      </c>
      <c r="L68" s="3">
        <f t="shared" si="5"/>
        <v>284.70710877157563</v>
      </c>
    </row>
    <row r="69" spans="1:15" x14ac:dyDescent="0.15">
      <c r="B69" s="3">
        <f>Data!H64</f>
        <v>90.68333333333328</v>
      </c>
      <c r="C69" s="3">
        <f>Data!C64/Data!F64</f>
        <v>49.2902421967922</v>
      </c>
      <c r="D69" s="3"/>
      <c r="E69" s="3">
        <f>Data!G64/Data!F64</f>
        <v>24.528741352021953</v>
      </c>
      <c r="F69" s="3"/>
      <c r="G69" s="3">
        <f t="shared" si="0"/>
        <v>-1.316849528705248</v>
      </c>
      <c r="H69" s="10">
        <f t="shared" si="1"/>
        <v>0.12149549098359813</v>
      </c>
      <c r="I69" s="3">
        <f t="shared" si="2"/>
        <v>37.004614960928194</v>
      </c>
      <c r="J69" s="3">
        <f t="shared" si="3"/>
        <v>20.494519984424144</v>
      </c>
      <c r="K69" s="3">
        <f t="shared" si="4"/>
        <v>514.36414795690189</v>
      </c>
      <c r="L69" s="3">
        <f t="shared" si="5"/>
        <v>284.87382778349564</v>
      </c>
    </row>
    <row r="70" spans="1:15" x14ac:dyDescent="0.15">
      <c r="A70" t="str">
        <f>Data!A65</f>
        <v>051321-LS-SB-5m-To</v>
      </c>
      <c r="B70" s="3">
        <f>Data!H65</f>
        <v>94.766666666666652</v>
      </c>
      <c r="C70" s="3">
        <f>Data!C65/Data!F65</f>
        <v>49.260967520781016</v>
      </c>
      <c r="D70" s="3"/>
      <c r="E70" s="3">
        <f>Data!G65/Data!F65</f>
        <v>24.518433081996623</v>
      </c>
      <c r="F70" s="3"/>
      <c r="G70" s="3">
        <f t="shared" si="0"/>
        <v>-1.3448228832853601</v>
      </c>
      <c r="H70" s="10">
        <f t="shared" si="1"/>
        <v>0.11126309854411787</v>
      </c>
      <c r="I70" s="3">
        <f t="shared" si="2"/>
        <v>36.979497986492483</v>
      </c>
      <c r="J70" s="3">
        <f t="shared" si="3"/>
        <v>20.485969936083521</v>
      </c>
      <c r="K70" s="3">
        <f t="shared" si="4"/>
        <v>514.01502201224548</v>
      </c>
      <c r="L70" s="3">
        <f t="shared" si="5"/>
        <v>284.75498211156093</v>
      </c>
      <c r="M70" s="3">
        <f>AVERAGE(K70:K72)</f>
        <v>514.21182129814792</v>
      </c>
      <c r="N70" s="3">
        <f>AVERAGE(L70:L72)</f>
        <v>284.70470569981694</v>
      </c>
      <c r="O70" s="4" t="str">
        <f>Data!A65</f>
        <v>051321-LS-SB-5m-To</v>
      </c>
    </row>
    <row r="71" spans="1:15" x14ac:dyDescent="0.15">
      <c r="B71" s="3">
        <f>Data!H66</f>
        <v>95.016666666666652</v>
      </c>
      <c r="C71" s="3">
        <f>Data!C66/Data!F66</f>
        <v>49.297222336555421</v>
      </c>
      <c r="D71" s="3"/>
      <c r="E71" s="3">
        <f>Data!G66/Data!F66</f>
        <v>24.522199461121257</v>
      </c>
      <c r="F71" s="3"/>
      <c r="G71" s="3">
        <f t="shared" si="0"/>
        <v>-1.3084883947702721</v>
      </c>
      <c r="H71" s="10">
        <f t="shared" si="1"/>
        <v>0.11503412323522966</v>
      </c>
      <c r="I71" s="3">
        <f t="shared" si="2"/>
        <v>37.01212233322768</v>
      </c>
      <c r="J71" s="3">
        <f t="shared" si="3"/>
        <v>20.489120953169053</v>
      </c>
      <c r="K71" s="3">
        <f t="shared" si="4"/>
        <v>514.46850043186475</v>
      </c>
      <c r="L71" s="3">
        <f t="shared" si="5"/>
        <v>284.79878124904985</v>
      </c>
    </row>
    <row r="72" spans="1:15" x14ac:dyDescent="0.15">
      <c r="B72" s="3">
        <f>Data!H67</f>
        <v>95.18333333333328</v>
      </c>
      <c r="C72" s="3">
        <f>Data!C67/Data!F67</f>
        <v>49.271805260992053</v>
      </c>
      <c r="D72" s="3"/>
      <c r="E72" s="3">
        <f>Data!G67/Data!F67</f>
        <v>24.501668196638281</v>
      </c>
      <c r="F72" s="3"/>
      <c r="G72" s="3">
        <f t="shared" si="0"/>
        <v>-1.3338523551731853</v>
      </c>
      <c r="H72" s="10">
        <f t="shared" si="1"/>
        <v>9.450595579657417E-2</v>
      </c>
      <c r="I72" s="3">
        <f t="shared" si="2"/>
        <v>36.98934830577938</v>
      </c>
      <c r="J72" s="3">
        <f t="shared" si="3"/>
        <v>20.471967894880578</v>
      </c>
      <c r="K72" s="3">
        <f t="shared" si="4"/>
        <v>514.15194145033342</v>
      </c>
      <c r="L72" s="3">
        <f t="shared" si="5"/>
        <v>284.56035373884004</v>
      </c>
    </row>
    <row r="73" spans="1:15" x14ac:dyDescent="0.15">
      <c r="A73" t="str">
        <f>Data!A68</f>
        <v>051321-LS-SB-33m-To</v>
      </c>
      <c r="B73" s="3">
        <f>Data!H68</f>
        <v>101.23333333333335</v>
      </c>
      <c r="C73" s="3">
        <f>Data!C68/Data!F68</f>
        <v>49.072759320164643</v>
      </c>
      <c r="D73" s="3"/>
      <c r="E73" s="3">
        <f>Data!G68/Data!F68</f>
        <v>24.015782243929337</v>
      </c>
      <c r="F73" s="3"/>
      <c r="G73" s="3">
        <f t="shared" si="0"/>
        <v>-1.5309702156761844</v>
      </c>
      <c r="H73" s="10">
        <f t="shared" si="1"/>
        <v>-0.39126757420354252</v>
      </c>
      <c r="I73" s="3">
        <f t="shared" si="2"/>
        <v>36.812358297344822</v>
      </c>
      <c r="J73" s="3">
        <f t="shared" si="3"/>
        <v>20.066062121752498</v>
      </c>
      <c r="K73" s="3">
        <f t="shared" si="4"/>
        <v>511.69178033309305</v>
      </c>
      <c r="L73" s="3">
        <f t="shared" si="5"/>
        <v>278.91826349235976</v>
      </c>
      <c r="M73" s="3">
        <f>AVERAGE(K73:K75)</f>
        <v>512.16451492666295</v>
      </c>
      <c r="N73" s="3">
        <f>AVERAGE(L73:L75)</f>
        <v>279.33606042149376</v>
      </c>
      <c r="O73" s="4" t="str">
        <f>Data!A68</f>
        <v>051321-LS-SB-33m-To</v>
      </c>
    </row>
    <row r="74" spans="1:15" x14ac:dyDescent="0.15">
      <c r="B74" s="3">
        <f>Data!H69</f>
        <v>101.36666666666667</v>
      </c>
      <c r="C74" s="3">
        <f>Data!C69/Data!F69</f>
        <v>49.095916813107991</v>
      </c>
      <c r="D74" s="3"/>
      <c r="E74" s="3">
        <f>Data!G69/Data!F69</f>
        <v>24.072385560104202</v>
      </c>
      <c r="F74" s="3"/>
      <c r="G74" s="3">
        <f t="shared" si="0"/>
        <v>-1.5077702306044785</v>
      </c>
      <c r="H74" s="10">
        <f t="shared" si="1"/>
        <v>-0.33466178039321903</v>
      </c>
      <c r="I74" s="3">
        <f t="shared" si="2"/>
        <v>36.833189314600411</v>
      </c>
      <c r="J74" s="3">
        <f t="shared" si="3"/>
        <v>20.113361155316767</v>
      </c>
      <c r="K74" s="3">
        <f t="shared" si="4"/>
        <v>511.98133147294573</v>
      </c>
      <c r="L74" s="3">
        <f t="shared" si="5"/>
        <v>279.57572005890307</v>
      </c>
    </row>
    <row r="75" spans="1:15" x14ac:dyDescent="0.15">
      <c r="B75" s="3">
        <f>Data!H70</f>
        <v>101.48333333333335</v>
      </c>
      <c r="C75" s="3">
        <f>Data!C70/Data!F70</f>
        <v>49.163111770855934</v>
      </c>
      <c r="D75" s="3"/>
      <c r="E75" s="3">
        <f>Data!G70/Data!F70</f>
        <v>24.067086432051763</v>
      </c>
      <c r="F75" s="3"/>
      <c r="G75" s="3">
        <f t="shared" si="0"/>
        <v>-1.4405380922442177</v>
      </c>
      <c r="H75" s="10">
        <f t="shared" si="1"/>
        <v>-0.33995874051463559</v>
      </c>
      <c r="I75" s="3">
        <f t="shared" si="2"/>
        <v>36.893556329061155</v>
      </c>
      <c r="J75" s="3">
        <f t="shared" si="3"/>
        <v>20.10893508728191</v>
      </c>
      <c r="K75" s="3">
        <f t="shared" si="4"/>
        <v>512.82043297395012</v>
      </c>
      <c r="L75" s="3">
        <f t="shared" si="5"/>
        <v>279.51419771321855</v>
      </c>
    </row>
    <row r="76" spans="1:15" x14ac:dyDescent="0.15">
      <c r="A76" t="str">
        <f>Data!A71</f>
        <v>051321-LS-SB-33m-To</v>
      </c>
      <c r="B76" s="3">
        <f>Data!H71</f>
        <v>104.96666666666658</v>
      </c>
      <c r="C76" s="3">
        <f>Data!C71/Data!F71</f>
        <v>49.017297060189776</v>
      </c>
      <c r="D76" s="3"/>
      <c r="E76" s="3">
        <f>Data!G71/Data!F71</f>
        <v>23.925248557448835</v>
      </c>
      <c r="F76" s="3"/>
      <c r="G76" s="3">
        <f t="shared" si="0"/>
        <v>-1.5852426960569233</v>
      </c>
      <c r="H76" s="10">
        <f t="shared" si="1"/>
        <v>-0.48173188689126789</v>
      </c>
      <c r="I76" s="3">
        <f t="shared" si="2"/>
        <v>36.763627620500827</v>
      </c>
      <c r="J76" s="3">
        <f t="shared" si="3"/>
        <v>19.990471369036921</v>
      </c>
      <c r="K76" s="3">
        <f t="shared" si="4"/>
        <v>511.01442392496153</v>
      </c>
      <c r="L76" s="3">
        <f t="shared" si="5"/>
        <v>277.86755202961319</v>
      </c>
      <c r="M76" s="3">
        <f>AVERAGE(K76:K78)</f>
        <v>511.70239915791399</v>
      </c>
      <c r="N76" s="3">
        <f>AVERAGE(L76:L78)</f>
        <v>278.14007211602319</v>
      </c>
      <c r="O76" s="4" t="str">
        <f>Data!A71</f>
        <v>051321-LS-SB-33m-To</v>
      </c>
    </row>
    <row r="77" spans="1:15" x14ac:dyDescent="0.15">
      <c r="B77" s="3">
        <f>Data!H72</f>
        <v>105.13333333333333</v>
      </c>
      <c r="C77" s="3">
        <f>Data!C72/Data!F72</f>
        <v>49.110847786541783</v>
      </c>
      <c r="D77" s="3"/>
      <c r="E77" s="3">
        <f>Data!G72/Data!F72</f>
        <v>23.975761665631392</v>
      </c>
      <c r="F77" s="3"/>
      <c r="G77" s="3">
        <f t="shared" si="0"/>
        <v>-1.491638854544469</v>
      </c>
      <c r="H77" s="10">
        <f t="shared" si="1"/>
        <v>-0.43121568166439062</v>
      </c>
      <c r="I77" s="3">
        <f t="shared" si="2"/>
        <v>36.847673503793807</v>
      </c>
      <c r="J77" s="3">
        <f t="shared" si="3"/>
        <v>20.03268202497387</v>
      </c>
      <c r="K77" s="3">
        <f t="shared" si="4"/>
        <v>512.18266170273398</v>
      </c>
      <c r="L77" s="3">
        <f t="shared" si="5"/>
        <v>278.45428014713679</v>
      </c>
    </row>
    <row r="78" spans="1:15" x14ac:dyDescent="0.15">
      <c r="B78" s="3">
        <f>Data!H73</f>
        <v>105.26666666666665</v>
      </c>
      <c r="C78" s="3">
        <f>Data!C73/Data!F73</f>
        <v>49.088967519540006</v>
      </c>
      <c r="D78" s="3"/>
      <c r="E78" s="3">
        <f>Data!G73/Data!F73</f>
        <v>23.945117203034165</v>
      </c>
      <c r="F78" s="3"/>
      <c r="G78" s="3">
        <f t="shared" ref="G78:G90" si="6">C78-(G$3+G$4*B78)</f>
        <v>-1.5134766294178803</v>
      </c>
      <c r="H78" s="10">
        <f t="shared" ref="H78:H90" si="7">E78-(H$3+H$4*B78)</f>
        <v>-0.46185766662616246</v>
      </c>
      <c r="I78" s="3">
        <f t="shared" ref="I78:I90" si="8">G78*(B$7/B$9)+B$3</f>
        <v>36.828065600434996</v>
      </c>
      <c r="J78" s="3">
        <f t="shared" ref="J78:J90" si="9">H78*(C$7)+C$3</f>
        <v>20.007077997936655</v>
      </c>
      <c r="K78" s="3">
        <f t="shared" ref="K78:K90" si="10">I78*D$3</f>
        <v>511.91011184604645</v>
      </c>
      <c r="L78" s="3">
        <f t="shared" ref="L78:L90" si="11">J78*D$3</f>
        <v>278.09838417131954</v>
      </c>
    </row>
    <row r="79" spans="1:15" x14ac:dyDescent="0.15">
      <c r="A79" t="str">
        <f>Data!A74</f>
        <v>051421-LS-SB-5m-Tf</v>
      </c>
      <c r="B79" s="3">
        <f>Data!H74</f>
        <v>109.58333333333326</v>
      </c>
      <c r="C79" s="3">
        <f>Data!C74/Data!F74</f>
        <v>49.087818203875322</v>
      </c>
      <c r="D79" s="3"/>
      <c r="E79" s="3">
        <f>Data!G74/Data!F74</f>
        <v>24.411584434424551</v>
      </c>
      <c r="F79" s="3"/>
      <c r="G79" s="3">
        <f t="shared" si="6"/>
        <v>-1.5132502624268511</v>
      </c>
      <c r="H79" s="10">
        <f t="shared" si="7"/>
        <v>4.6897782121213538E-3</v>
      </c>
      <c r="I79" s="3">
        <f t="shared" si="8"/>
        <v>36.828268852923379</v>
      </c>
      <c r="J79" s="3">
        <f t="shared" si="9"/>
        <v>20.396918715066651</v>
      </c>
      <c r="K79" s="3">
        <f t="shared" si="10"/>
        <v>511.91293705563498</v>
      </c>
      <c r="L79" s="3">
        <f t="shared" si="11"/>
        <v>283.51717013942647</v>
      </c>
      <c r="M79" s="3">
        <f>AVERAGE(K79:K81)</f>
        <v>512.87982700845316</v>
      </c>
      <c r="N79" s="3">
        <f>AVERAGE(L79:L81)</f>
        <v>283.71955480571529</v>
      </c>
      <c r="O79" s="4" t="str">
        <f>Data!A74</f>
        <v>051421-LS-SB-5m-Tf</v>
      </c>
    </row>
    <row r="80" spans="1:15" x14ac:dyDescent="0.15">
      <c r="B80" s="3">
        <f>Data!H75</f>
        <v>109.71666666666658</v>
      </c>
      <c r="C80" s="3">
        <f>Data!C75/Data!F75</f>
        <v>49.200690026158938</v>
      </c>
      <c r="D80" s="3"/>
      <c r="E80" s="3">
        <f>Data!G75/Data!F75</f>
        <v>24.439363283639413</v>
      </c>
      <c r="F80" s="3"/>
      <c r="G80" s="3">
        <f t="shared" si="6"/>
        <v>-1.4003359480148774</v>
      </c>
      <c r="H80" s="10">
        <f t="shared" si="7"/>
        <v>3.2471105062437999E-2</v>
      </c>
      <c r="I80" s="3">
        <f t="shared" si="8"/>
        <v>36.929653402294818</v>
      </c>
      <c r="J80" s="3">
        <f t="shared" si="9"/>
        <v>20.420132414985002</v>
      </c>
      <c r="K80" s="3">
        <f t="shared" si="10"/>
        <v>513.322182291898</v>
      </c>
      <c r="L80" s="3">
        <f t="shared" si="11"/>
        <v>283.83984056829155</v>
      </c>
    </row>
    <row r="81" spans="1:15" x14ac:dyDescent="0.15">
      <c r="B81" s="3">
        <f>Data!H76</f>
        <v>109.85000000000002</v>
      </c>
      <c r="C81" s="3">
        <f>Data!C76/Data!F76</f>
        <v>49.207232072180616</v>
      </c>
      <c r="D81" s="3"/>
      <c r="E81" s="3">
        <f>Data!G76/Data!F76</f>
        <v>24.436072988117431</v>
      </c>
      <c r="F81" s="3"/>
      <c r="G81" s="3">
        <f t="shared" si="6"/>
        <v>-1.3937514098648336</v>
      </c>
      <c r="H81" s="10">
        <f t="shared" si="7"/>
        <v>2.9183287175911232E-2</v>
      </c>
      <c r="I81" s="3">
        <f t="shared" si="8"/>
        <v>36.935565588332857</v>
      </c>
      <c r="J81" s="3">
        <f t="shared" si="9"/>
        <v>20.41738515895165</v>
      </c>
      <c r="K81" s="3">
        <f t="shared" si="10"/>
        <v>513.40436167782673</v>
      </c>
      <c r="L81" s="3">
        <f t="shared" si="11"/>
        <v>283.80165370942791</v>
      </c>
    </row>
    <row r="82" spans="1:15" x14ac:dyDescent="0.15">
      <c r="A82" t="str">
        <f>Data!A77</f>
        <v>051421-LS-SB-5m-Tf</v>
      </c>
      <c r="B82" s="3">
        <f>Data!H77</f>
        <v>113.26666666666665</v>
      </c>
      <c r="C82" s="3">
        <f>Data!C77/Data!F77</f>
        <v>49.171772621053762</v>
      </c>
      <c r="D82" s="3"/>
      <c r="E82" s="3">
        <f>Data!G77/Data!F77</f>
        <v>24.350591331884068</v>
      </c>
      <c r="F82" s="3"/>
      <c r="G82" s="3">
        <f t="shared" si="6"/>
        <v>-1.4281220002024213</v>
      </c>
      <c r="H82" s="10">
        <f t="shared" si="7"/>
        <v>-5.6234879648883407E-2</v>
      </c>
      <c r="I82" s="3">
        <f t="shared" si="8"/>
        <v>36.904704604664367</v>
      </c>
      <c r="J82" s="3">
        <f t="shared" si="9"/>
        <v>20.34601089727833</v>
      </c>
      <c r="K82" s="3">
        <f t="shared" si="10"/>
        <v>512.9753940048347</v>
      </c>
      <c r="L82" s="3">
        <f t="shared" si="11"/>
        <v>282.80955147216878</v>
      </c>
      <c r="M82" s="3">
        <f>AVERAGE(K82:K84)</f>
        <v>513.06077987230071</v>
      </c>
      <c r="N82" s="3">
        <f>AVERAGE(L82:L84)</f>
        <v>282.74247927820096</v>
      </c>
      <c r="O82" s="4" t="str">
        <f>Data!A77</f>
        <v>051421-LS-SB-5m-Tf</v>
      </c>
    </row>
    <row r="83" spans="1:15" x14ac:dyDescent="0.15">
      <c r="B83" s="3">
        <f>Data!H78</f>
        <v>113.39999999999998</v>
      </c>
      <c r="C83" s="3">
        <f>Data!C78/Data!F78</f>
        <v>49.158859823126932</v>
      </c>
      <c r="D83" s="3"/>
      <c r="E83" s="3">
        <f>Data!G78/Data!F78</f>
        <v>24.338349320492679</v>
      </c>
      <c r="F83" s="3"/>
      <c r="G83" s="3">
        <f t="shared" si="6"/>
        <v>-1.4409923060008936</v>
      </c>
      <c r="H83" s="10">
        <f t="shared" si="7"/>
        <v>-6.847441340481808E-2</v>
      </c>
      <c r="I83" s="3">
        <f t="shared" si="8"/>
        <v>36.893148495410671</v>
      </c>
      <c r="J83" s="3">
        <f t="shared" si="9"/>
        <v>20.335783708876505</v>
      </c>
      <c r="K83" s="3">
        <f t="shared" si="10"/>
        <v>512.81476408620836</v>
      </c>
      <c r="L83" s="3">
        <f t="shared" si="11"/>
        <v>282.66739355338342</v>
      </c>
    </row>
    <row r="84" spans="1:15" x14ac:dyDescent="0.15">
      <c r="B84" s="3">
        <f>Data!H79</f>
        <v>113.48333333333335</v>
      </c>
      <c r="C84" s="3">
        <f>Data!C79/Data!F79</f>
        <v>49.205098239626437</v>
      </c>
      <c r="D84" s="3"/>
      <c r="E84" s="3">
        <f>Data!G79/Data!F79</f>
        <v>24.345502464115171</v>
      </c>
      <c r="F84" s="3"/>
      <c r="G84" s="3">
        <f t="shared" si="6"/>
        <v>-1.3947273319211604</v>
      </c>
      <c r="H84" s="10">
        <f t="shared" si="7"/>
        <v>-6.1319721260165494E-2</v>
      </c>
      <c r="I84" s="3">
        <f t="shared" si="8"/>
        <v>36.934689318407138</v>
      </c>
      <c r="J84" s="3">
        <f t="shared" si="9"/>
        <v>20.341762072593582</v>
      </c>
      <c r="K84" s="3">
        <f t="shared" si="10"/>
        <v>513.3921815258592</v>
      </c>
      <c r="L84" s="3">
        <f t="shared" si="11"/>
        <v>282.7504928090508</v>
      </c>
    </row>
    <row r="85" spans="1:15" x14ac:dyDescent="0.15">
      <c r="A85" t="str">
        <f>Data!A80</f>
        <v>051421-LS-SB-33m-Tf</v>
      </c>
      <c r="B85" s="3">
        <f>Data!H80</f>
        <v>117.64999999999998</v>
      </c>
      <c r="C85" s="3">
        <f>Data!C80/Data!F80</f>
        <v>49.086821932135592</v>
      </c>
      <c r="D85" s="3"/>
      <c r="E85" s="3">
        <f>Data!G80/Data!F80</f>
        <v>23.967404908781329</v>
      </c>
      <c r="F85" s="3"/>
      <c r="G85" s="3">
        <f t="shared" si="6"/>
        <v>-1.5116757604006992</v>
      </c>
      <c r="H85" s="10">
        <f t="shared" si="7"/>
        <v>-0.43933985048600022</v>
      </c>
      <c r="I85" s="3">
        <f t="shared" si="8"/>
        <v>36.829682581370804</v>
      </c>
      <c r="J85" s="3">
        <f t="shared" si="9"/>
        <v>20.025893579694529</v>
      </c>
      <c r="K85" s="3">
        <f t="shared" si="10"/>
        <v>511.93258788105419</v>
      </c>
      <c r="L85" s="3">
        <f t="shared" si="11"/>
        <v>278.35992075775397</v>
      </c>
      <c r="M85" s="3">
        <f>AVERAGE(K85:K87)</f>
        <v>511.82387217527275</v>
      </c>
      <c r="N85" s="3">
        <f>AVERAGE(L85:L87)</f>
        <v>278.65624320360342</v>
      </c>
      <c r="O85" s="4" t="str">
        <f>Data!A80</f>
        <v>051421-LS-SB-33m-Tf</v>
      </c>
    </row>
    <row r="86" spans="1:15" x14ac:dyDescent="0.15">
      <c r="B86" s="3">
        <f>Data!H81</f>
        <v>117.73333333333335</v>
      </c>
      <c r="C86" s="3">
        <f>Data!C81/Data!F81</f>
        <v>49.052293700847933</v>
      </c>
      <c r="D86" s="3"/>
      <c r="E86" s="3">
        <f>Data!G81/Data!F81</f>
        <v>24.003597354251969</v>
      </c>
      <c r="F86" s="3"/>
      <c r="G86" s="3">
        <f t="shared" si="6"/>
        <v>-1.5461774341081309</v>
      </c>
      <c r="H86" s="10">
        <f t="shared" si="7"/>
        <v>-0.40314585649320023</v>
      </c>
      <c r="I86" s="3">
        <f t="shared" si="8"/>
        <v>36.798703899353342</v>
      </c>
      <c r="J86" s="3">
        <f t="shared" si="9"/>
        <v>20.056136790176247</v>
      </c>
      <c r="K86" s="3">
        <f t="shared" si="10"/>
        <v>511.50198420101145</v>
      </c>
      <c r="L86" s="3">
        <f t="shared" si="11"/>
        <v>278.78030138344985</v>
      </c>
    </row>
    <row r="87" spans="1:15" x14ac:dyDescent="0.15">
      <c r="B87" s="3">
        <f>Data!H82</f>
        <v>117.85000000000002</v>
      </c>
      <c r="C87" s="3">
        <f>Data!C82/Data!F82</f>
        <v>49.095127667799986</v>
      </c>
      <c r="D87" s="3"/>
      <c r="E87" s="3">
        <f>Data!G82/Data!F82</f>
        <v>24.007745641137653</v>
      </c>
      <c r="F87" s="3"/>
      <c r="G87" s="3">
        <f t="shared" si="6"/>
        <v>-1.5033062865437614</v>
      </c>
      <c r="H87" s="10">
        <f t="shared" si="7"/>
        <v>-0.3989954016764905</v>
      </c>
      <c r="I87" s="3">
        <f t="shared" si="8"/>
        <v>36.837197441996587</v>
      </c>
      <c r="J87" s="3">
        <f t="shared" si="9"/>
        <v>20.059604853928526</v>
      </c>
      <c r="K87" s="3">
        <f t="shared" si="10"/>
        <v>512.03704444375262</v>
      </c>
      <c r="L87" s="3">
        <f t="shared" si="11"/>
        <v>278.82850746960651</v>
      </c>
    </row>
    <row r="88" spans="1:15" x14ac:dyDescent="0.15">
      <c r="A88" t="str">
        <f>Data!A83</f>
        <v>051421-LS-SB-33m-Tf</v>
      </c>
      <c r="B88" s="3">
        <f>Data!H83</f>
        <v>122.39999999999998</v>
      </c>
      <c r="C88" s="3">
        <f>Data!C83/Data!F83</f>
        <v>49.179513995846456</v>
      </c>
      <c r="D88" s="3"/>
      <c r="E88" s="3">
        <f>Data!G83/Data!F83</f>
        <v>23.933270069656288</v>
      </c>
      <c r="F88" s="3"/>
      <c r="G88" s="3">
        <f t="shared" si="6"/>
        <v>-1.4174699146169516</v>
      </c>
      <c r="H88" s="10">
        <f t="shared" si="7"/>
        <v>-0.47338642384791285</v>
      </c>
      <c r="I88" s="3">
        <f t="shared" si="8"/>
        <v>36.914268997828977</v>
      </c>
      <c r="J88" s="3">
        <f t="shared" si="9"/>
        <v>19.997444724766542</v>
      </c>
      <c r="K88" s="3">
        <f t="shared" si="10"/>
        <v>513.10833906982282</v>
      </c>
      <c r="L88" s="3">
        <f t="shared" si="11"/>
        <v>277.96448167425496</v>
      </c>
      <c r="M88" s="3">
        <f>AVERAGE(K88:K90)</f>
        <v>512.87494547443168</v>
      </c>
      <c r="N88" s="3">
        <f>AVERAGE(L88:L90)</f>
        <v>277.83425410156343</v>
      </c>
      <c r="O88" s="4" t="str">
        <f>Data!A83</f>
        <v>051421-LS-SB-33m-Tf</v>
      </c>
    </row>
    <row r="89" spans="1:15" x14ac:dyDescent="0.15">
      <c r="B89" s="3">
        <f>Data!H84</f>
        <v>122.48333333333335</v>
      </c>
      <c r="C89" s="3">
        <f>Data!C84/Data!F84</f>
        <v>49.140714501148715</v>
      </c>
      <c r="D89" s="3"/>
      <c r="E89" s="3">
        <f>Data!G84/Data!F84</f>
        <v>23.911386764736914</v>
      </c>
      <c r="F89" s="3"/>
      <c r="G89" s="3">
        <f t="shared" si="6"/>
        <v>-1.4562428517344657</v>
      </c>
      <c r="H89" s="10">
        <f t="shared" si="7"/>
        <v>-0.49526818024512664</v>
      </c>
      <c r="I89" s="3">
        <f t="shared" si="8"/>
        <v>36.879455194300725</v>
      </c>
      <c r="J89" s="3">
        <f t="shared" si="9"/>
        <v>19.979160625903006</v>
      </c>
      <c r="K89" s="3">
        <f t="shared" si="10"/>
        <v>512.62442720078013</v>
      </c>
      <c r="L89" s="3">
        <f t="shared" si="11"/>
        <v>277.71033270005177</v>
      </c>
    </row>
    <row r="90" spans="1:15" x14ac:dyDescent="0.15">
      <c r="B90" s="3">
        <f>Data!H85</f>
        <v>122.61666666666667</v>
      </c>
      <c r="C90" s="3">
        <f>Data!C85/Data!F85</f>
        <v>49.162116623232784</v>
      </c>
      <c r="D90" s="3"/>
      <c r="E90" s="3">
        <f>Data!G85/Data!F85</f>
        <v>23.921510740795757</v>
      </c>
      <c r="F90" s="3"/>
      <c r="G90" s="3">
        <f t="shared" si="6"/>
        <v>-1.4347982375220383</v>
      </c>
      <c r="H90" s="10">
        <f t="shared" si="7"/>
        <v>-0.48514172655082533</v>
      </c>
      <c r="I90" s="3">
        <f t="shared" si="8"/>
        <v>36.898710082927494</v>
      </c>
      <c r="J90" s="3">
        <f t="shared" si="9"/>
        <v>19.987622153265004</v>
      </c>
      <c r="K90" s="3">
        <f t="shared" si="10"/>
        <v>512.89207015269221</v>
      </c>
      <c r="L90" s="3">
        <f t="shared" si="11"/>
        <v>277.82794793038357</v>
      </c>
    </row>
    <row r="91" spans="1:15" x14ac:dyDescent="0.15">
      <c r="A91" t="str">
        <f>Data!A86</f>
        <v>20/0</v>
      </c>
      <c r="B91" s="3">
        <f>Data!H86</f>
        <v>131.91666666666663</v>
      </c>
      <c r="C91" s="3">
        <f>Data!C86/Data!F86</f>
        <v>50.671340953491665</v>
      </c>
      <c r="D91" s="3">
        <f>B$3/C91</f>
        <v>0.75362126364584803</v>
      </c>
      <c r="E91" s="3">
        <f>Data!G86/Data!F86</f>
        <v>24.506869141501348</v>
      </c>
      <c r="F91" s="3">
        <f>C$3/E91</f>
        <v>0.83213403891994175</v>
      </c>
      <c r="G91" s="3">
        <f t="shared" ref="G91:G108" si="12">C91-(G$3+G$4*B91)</f>
        <v>7.73899186900735E-2</v>
      </c>
      <c r="H91" s="10">
        <f t="shared" ref="H91:H108" si="13">E91-(H$3+H$4*B91)</f>
        <v>0.10038948922783675</v>
      </c>
      <c r="I91" s="3">
        <f t="shared" ref="I91:I108" si="14">G91*(B$7/B$9)+B$3</f>
        <v>38.256487576248816</v>
      </c>
      <c r="J91" s="3">
        <f t="shared" ref="J91:J108" si="15">H91*(C$7)+C$3</f>
        <v>20.476884095617454</v>
      </c>
      <c r="K91" s="3">
        <f t="shared" ref="K91:K108" si="16">I91*D$3</f>
        <v>531.76517730985859</v>
      </c>
      <c r="L91" s="3">
        <f t="shared" ref="L91:L108" si="17">J91*D$3</f>
        <v>284.62868892908261</v>
      </c>
      <c r="M91" s="3"/>
      <c r="N91" s="3"/>
      <c r="O91" s="4" t="str">
        <f>Data!A86</f>
        <v>20/0</v>
      </c>
    </row>
    <row r="92" spans="1:15" x14ac:dyDescent="0.15">
      <c r="B92" s="3">
        <f>Data!H87</f>
        <v>132.13333333333333</v>
      </c>
      <c r="C92" s="3">
        <f>Data!C87/Data!F87</f>
        <v>50.476653028811519</v>
      </c>
      <c r="D92" s="3">
        <f>B$3/C92</f>
        <v>0.75652797300572361</v>
      </c>
      <c r="E92" s="3">
        <f>Data!G87/Data!F87</f>
        <v>24.372660111576131</v>
      </c>
      <c r="F92" s="3">
        <f>C$3/E92</f>
        <v>0.83671621836280663</v>
      </c>
      <c r="G92" s="3">
        <f t="shared" si="12"/>
        <v>-0.11722895628147967</v>
      </c>
      <c r="H92" s="10">
        <f t="shared" si="13"/>
        <v>-3.3815514539760727E-2</v>
      </c>
      <c r="I92" s="3">
        <f t="shared" si="14"/>
        <v>38.08174138006526</v>
      </c>
      <c r="J92" s="3">
        <f t="shared" si="15"/>
        <v>20.364744214689956</v>
      </c>
      <c r="K92" s="3">
        <f t="shared" si="16"/>
        <v>529.33620518290718</v>
      </c>
      <c r="L92" s="3">
        <f t="shared" si="17"/>
        <v>283.06994458419041</v>
      </c>
    </row>
    <row r="93" spans="1:15" x14ac:dyDescent="0.15">
      <c r="B93" s="3">
        <f>Data!H88</f>
        <v>132.43333333333328</v>
      </c>
      <c r="C93" s="3">
        <f>Data!C88/Data!F88</f>
        <v>50.50178725298651</v>
      </c>
      <c r="D93" s="3">
        <f>B$3/C93</f>
        <v>0.75615145675347839</v>
      </c>
      <c r="E93" s="3">
        <f>Data!G88/Data!F88</f>
        <v>24.389251614440273</v>
      </c>
      <c r="F93" s="3">
        <f>C$3/E93</f>
        <v>0.83614701764468291</v>
      </c>
      <c r="G93" s="3">
        <f t="shared" si="12"/>
        <v>-9.1999124817675693E-2</v>
      </c>
      <c r="H93" s="10">
        <f t="shared" si="13"/>
        <v>-1.7218436995843689E-2</v>
      </c>
      <c r="I93" s="3">
        <f t="shared" si="14"/>
        <v>38.104394974580678</v>
      </c>
      <c r="J93" s="3">
        <f t="shared" si="15"/>
        <v>20.37861250757971</v>
      </c>
      <c r="K93" s="3">
        <f t="shared" si="16"/>
        <v>529.65109014667144</v>
      </c>
      <c r="L93" s="3">
        <f t="shared" si="17"/>
        <v>283.26271385535796</v>
      </c>
    </row>
    <row r="94" spans="1:15" x14ac:dyDescent="0.15">
      <c r="A94" t="str">
        <f>Data!A89</f>
        <v>30/0</v>
      </c>
      <c r="B94" s="3">
        <f>Data!H89</f>
        <v>141.04999999999995</v>
      </c>
      <c r="C94" s="3">
        <f>Data!C89/Data!F89</f>
        <v>51.2952229860853</v>
      </c>
      <c r="D94" s="3">
        <f>B$4/C94</f>
        <v>0.75759491308852878</v>
      </c>
      <c r="E94" s="3">
        <f>Data!G89/Data!F89</f>
        <v>24.373377289590419</v>
      </c>
      <c r="F94" s="3">
        <f>C$4/E94</f>
        <v>0.83615822944258344</v>
      </c>
      <c r="G94" s="3">
        <f t="shared" si="12"/>
        <v>0.70418266207649083</v>
      </c>
      <c r="H94" s="10">
        <f t="shared" si="13"/>
        <v>-3.2932644654337651E-2</v>
      </c>
      <c r="I94" s="3">
        <f t="shared" si="14"/>
        <v>38.8192780441222</v>
      </c>
      <c r="J94" s="3">
        <f t="shared" si="15"/>
        <v>20.365481928791862</v>
      </c>
      <c r="K94" s="3">
        <f t="shared" si="16"/>
        <v>539.58796481329864</v>
      </c>
      <c r="L94" s="3">
        <f t="shared" si="17"/>
        <v>283.08019881020687</v>
      </c>
      <c r="M94" s="3"/>
      <c r="N94" s="3"/>
      <c r="O94" s="4" t="str">
        <f>Data!A89</f>
        <v>30/0</v>
      </c>
    </row>
    <row r="95" spans="1:15" x14ac:dyDescent="0.15">
      <c r="B95" s="3">
        <f>Data!H90</f>
        <v>141.13333333333333</v>
      </c>
      <c r="C95" s="3">
        <f>Data!C90/Data!F90</f>
        <v>51.285608667005256</v>
      </c>
      <c r="D95" s="3">
        <f>B$4/C95</f>
        <v>0.75773693654144603</v>
      </c>
      <c r="E95" s="3">
        <f>Data!G90/Data!F90</f>
        <v>24.371558366920222</v>
      </c>
      <c r="F95" s="3">
        <f>C$4/E95</f>
        <v>0.83622063444502559</v>
      </c>
      <c r="G95" s="3">
        <f t="shared" si="12"/>
        <v>0.69459490057666784</v>
      </c>
      <c r="H95" s="10">
        <f t="shared" si="13"/>
        <v>-3.4750018802373717E-2</v>
      </c>
      <c r="I95" s="3">
        <f t="shared" si="14"/>
        <v>38.810669296115336</v>
      </c>
      <c r="J95" s="3">
        <f t="shared" si="15"/>
        <v>20.363963355602788</v>
      </c>
      <c r="K95" s="3">
        <f t="shared" si="16"/>
        <v>539.46830321600316</v>
      </c>
      <c r="L95" s="3">
        <f t="shared" si="17"/>
        <v>283.05909064287874</v>
      </c>
    </row>
    <row r="96" spans="1:15" x14ac:dyDescent="0.15">
      <c r="B96" s="3">
        <f>Data!H91</f>
        <v>141.21666666666658</v>
      </c>
      <c r="C96" s="3">
        <f>Data!C91/Data!F91</f>
        <v>51.492878407030169</v>
      </c>
      <c r="D96" s="3">
        <f>B$4/C96</f>
        <v>0.75468688490900948</v>
      </c>
      <c r="E96" s="3">
        <f>Data!G91/Data!F91</f>
        <v>24.468080148125235</v>
      </c>
      <c r="F96" s="3">
        <f>C$4/E96</f>
        <v>0.83292190791526122</v>
      </c>
      <c r="G96" s="3">
        <f t="shared" si="12"/>
        <v>0.90189119818180785</v>
      </c>
      <c r="H96" s="10">
        <f t="shared" si="13"/>
        <v>6.1773310924799318E-2</v>
      </c>
      <c r="I96" s="3">
        <f t="shared" si="14"/>
        <v>38.996798413831833</v>
      </c>
      <c r="J96" s="3">
        <f t="shared" si="15"/>
        <v>20.444616940778157</v>
      </c>
      <c r="K96" s="3">
        <f t="shared" si="16"/>
        <v>542.0554979522625</v>
      </c>
      <c r="L96" s="3">
        <f t="shared" si="17"/>
        <v>284.18017547681637</v>
      </c>
    </row>
    <row r="97" spans="1:15" x14ac:dyDescent="0.15">
      <c r="A97" t="str">
        <f>Data!A92</f>
        <v>20/0</v>
      </c>
      <c r="B97" s="3">
        <f>Data!H92</f>
        <v>146.0333333333333</v>
      </c>
      <c r="C97" s="3">
        <f>Data!C92/Data!F92</f>
        <v>50.599723563361913</v>
      </c>
      <c r="D97" s="3">
        <f>B$3/C97</f>
        <v>0.75468791745831432</v>
      </c>
      <c r="E97" s="3">
        <f>Data!G92/Data!F92</f>
        <v>24.440614681317463</v>
      </c>
      <c r="F97" s="3">
        <f>C$3/E97</f>
        <v>0.83438981653716426</v>
      </c>
      <c r="G97" s="3">
        <f t="shared" si="12"/>
        <v>1.0271382650621774E-2</v>
      </c>
      <c r="H97" s="10">
        <f t="shared" si="13"/>
        <v>3.4397348697883245E-2</v>
      </c>
      <c r="I97" s="3">
        <f t="shared" si="14"/>
        <v>38.196222564090988</v>
      </c>
      <c r="J97" s="3">
        <f t="shared" si="15"/>
        <v>20.421741958041164</v>
      </c>
      <c r="K97" s="3">
        <f t="shared" si="16"/>
        <v>530.92749364086478</v>
      </c>
      <c r="L97" s="3">
        <f t="shared" si="17"/>
        <v>283.8622132167722</v>
      </c>
      <c r="M97" s="3"/>
      <c r="N97" s="3"/>
      <c r="O97" s="4" t="str">
        <f>Data!A92</f>
        <v>20/0</v>
      </c>
    </row>
    <row r="98" spans="1:15" x14ac:dyDescent="0.15">
      <c r="B98" s="3">
        <f>Data!H93</f>
        <v>146.13333333333333</v>
      </c>
      <c r="C98" s="3">
        <f>Data!C93/Data!F93</f>
        <v>50.472232490613436</v>
      </c>
      <c r="D98" s="3">
        <f>B$3/C98</f>
        <v>0.75659423242476576</v>
      </c>
      <c r="E98" s="3">
        <f>Data!G93/Data!F93</f>
        <v>24.406051723257285</v>
      </c>
      <c r="F98" s="3">
        <f>C$3/E98</f>
        <v>0.83557144888646107</v>
      </c>
      <c r="G98" s="3">
        <f t="shared" si="12"/>
        <v>-0.1171878210015862</v>
      </c>
      <c r="H98" s="10">
        <f t="shared" si="13"/>
        <v>-1.6375113570177291E-4</v>
      </c>
      <c r="I98" s="3">
        <f t="shared" si="14"/>
        <v>38.081778314990977</v>
      </c>
      <c r="J98" s="3">
        <f t="shared" si="15"/>
        <v>20.392863171771964</v>
      </c>
      <c r="K98" s="3">
        <f t="shared" si="16"/>
        <v>529.33671857837464</v>
      </c>
      <c r="L98" s="3">
        <f t="shared" si="17"/>
        <v>283.46079808763028</v>
      </c>
    </row>
    <row r="99" spans="1:15" x14ac:dyDescent="0.15">
      <c r="B99" s="3">
        <f>Data!H94</f>
        <v>146.21666666666658</v>
      </c>
      <c r="C99" s="3">
        <f>Data!C94/Data!F94</f>
        <v>50.646816535331894</v>
      </c>
      <c r="D99" s="3">
        <f>B$3/C99</f>
        <v>0.7539861853579729</v>
      </c>
      <c r="E99" s="3">
        <f>Data!G94/Data!F94</f>
        <v>24.456216724954071</v>
      </c>
      <c r="F99" s="3">
        <f>C$3/E99</f>
        <v>0.8338575107241285</v>
      </c>
      <c r="G99" s="3">
        <f t="shared" si="12"/>
        <v>5.7422781297098879E-2</v>
      </c>
      <c r="H99" s="10">
        <f t="shared" si="13"/>
        <v>5.0002799083245009E-2</v>
      </c>
      <c r="I99" s="3">
        <f t="shared" si="14"/>
        <v>38.23855929817914</v>
      </c>
      <c r="J99" s="3">
        <f t="shared" si="15"/>
        <v>20.434781660726653</v>
      </c>
      <c r="K99" s="3">
        <f t="shared" si="16"/>
        <v>531.51597424469003</v>
      </c>
      <c r="L99" s="3">
        <f t="shared" si="17"/>
        <v>284.04346508410049</v>
      </c>
    </row>
    <row r="100" spans="1:15" x14ac:dyDescent="0.15">
      <c r="A100" t="str">
        <f>Data!A95</f>
        <v>30/0</v>
      </c>
      <c r="B100" s="3">
        <f>Data!H95</f>
        <v>150.36666666666667</v>
      </c>
      <c r="C100" s="3">
        <f>Data!C95/Data!F95</f>
        <v>51.238874806387109</v>
      </c>
      <c r="D100" s="3">
        <f>B$4/C100</f>
        <v>0.75842805188133899</v>
      </c>
      <c r="E100" s="3">
        <f>Data!G95/Data!F95</f>
        <v>24.396886669544411</v>
      </c>
      <c r="F100" s="3">
        <f>C$4/E100</f>
        <v>0.83535248886658764</v>
      </c>
      <c r="G100" s="3">
        <f t="shared" si="12"/>
        <v>0.65080361984757218</v>
      </c>
      <c r="H100" s="10">
        <f t="shared" si="13"/>
        <v>-9.2501399228410719E-3</v>
      </c>
      <c r="I100" s="3">
        <f t="shared" si="14"/>
        <v>38.771349575792556</v>
      </c>
      <c r="J100" s="3">
        <f t="shared" si="15"/>
        <v>20.385270708540002</v>
      </c>
      <c r="K100" s="3">
        <f t="shared" si="16"/>
        <v>538.92175910351659</v>
      </c>
      <c r="L100" s="3">
        <f t="shared" si="17"/>
        <v>283.35526284870605</v>
      </c>
      <c r="M100" s="3"/>
      <c r="N100" s="3"/>
      <c r="O100" s="4" t="str">
        <f>Data!A95</f>
        <v>30/0</v>
      </c>
    </row>
    <row r="101" spans="1:15" x14ac:dyDescent="0.15">
      <c r="B101" s="3">
        <f>Data!H96</f>
        <v>150.5</v>
      </c>
      <c r="C101" s="3">
        <f>Data!C96/Data!F96</f>
        <v>51.427708231807934</v>
      </c>
      <c r="D101" s="3">
        <f>B$4/C101</f>
        <v>0.75564323855995874</v>
      </c>
      <c r="E101" s="3">
        <f>Data!G96/Data!F96</f>
        <v>24.448089874155073</v>
      </c>
      <c r="F101" s="3">
        <f>C$4/E101</f>
        <v>0.83360295650517902</v>
      </c>
      <c r="G101" s="3">
        <f t="shared" si="12"/>
        <v>0.83967953739675494</v>
      </c>
      <c r="H101" s="10">
        <f t="shared" si="13"/>
        <v>4.195554232327936E-2</v>
      </c>
      <c r="I101" s="3">
        <f t="shared" si="14"/>
        <v>38.940939232228615</v>
      </c>
      <c r="J101" s="3">
        <f t="shared" si="15"/>
        <v>20.428057482122863</v>
      </c>
      <c r="K101" s="3">
        <f t="shared" si="16"/>
        <v>541.27905532797774</v>
      </c>
      <c r="L101" s="3">
        <f t="shared" si="17"/>
        <v>283.94999900150782</v>
      </c>
    </row>
    <row r="102" spans="1:15" x14ac:dyDescent="0.15">
      <c r="B102" s="3">
        <f>Data!H97</f>
        <v>150.88333333333333</v>
      </c>
      <c r="C102" s="3">
        <f>Data!C97/Data!F97</f>
        <v>51.393934283925539</v>
      </c>
      <c r="D102" s="3">
        <f>B$4/C102</f>
        <v>0.75613981574776101</v>
      </c>
      <c r="E102" s="3">
        <f>Data!G97/Data!F97</f>
        <v>24.427857627536856</v>
      </c>
      <c r="F102" s="3">
        <f>C$4/E102</f>
        <v>0.83429338383838392</v>
      </c>
      <c r="G102" s="3">
        <f t="shared" si="12"/>
        <v>0.80602775438340046</v>
      </c>
      <c r="H102" s="10">
        <f t="shared" si="13"/>
        <v>2.1730418906997784E-2</v>
      </c>
      <c r="I102" s="3">
        <f t="shared" si="14"/>
        <v>38.910723657931221</v>
      </c>
      <c r="J102" s="3">
        <f t="shared" si="15"/>
        <v>20.411157643309302</v>
      </c>
      <c r="K102" s="3">
        <f t="shared" si="16"/>
        <v>540.85905884524402</v>
      </c>
      <c r="L102" s="3">
        <f t="shared" si="17"/>
        <v>283.71509124199929</v>
      </c>
    </row>
    <row r="103" spans="1:15" x14ac:dyDescent="0.15">
      <c r="A103" t="str">
        <f>Data!A98</f>
        <v>051421-LS-WM-C-IN-To</v>
      </c>
      <c r="B103" s="3">
        <f>Data!H98</f>
        <v>187.48333333333335</v>
      </c>
      <c r="C103" s="3">
        <f>Data!C98/Data!F98</f>
        <v>50.3800850521135</v>
      </c>
      <c r="D103" s="3"/>
      <c r="E103" s="3">
        <f>Data!G98/Data!F98</f>
        <v>24.140726670169339</v>
      </c>
      <c r="F103" s="3"/>
      <c r="G103" s="3">
        <f t="shared" si="12"/>
        <v>-0.19615738819334183</v>
      </c>
      <c r="H103" s="10">
        <f t="shared" si="13"/>
        <v>-0.26472042752777725</v>
      </c>
      <c r="I103" s="3">
        <f t="shared" si="14"/>
        <v>38.01087238932967</v>
      </c>
      <c r="J103" s="3">
        <f t="shared" si="15"/>
        <v>20.171803201157477</v>
      </c>
      <c r="K103" s="3">
        <f t="shared" si="16"/>
        <v>528.35112621168241</v>
      </c>
      <c r="L103" s="3">
        <f t="shared" si="17"/>
        <v>280.38806449608893</v>
      </c>
      <c r="M103" s="3">
        <f>AVERAGE(K103:K105)</f>
        <v>528.42646115115656</v>
      </c>
      <c r="N103" s="3">
        <f>AVERAGE(L103:L105)</f>
        <v>280.29329834857964</v>
      </c>
      <c r="O103" s="4" t="str">
        <f>Data!A98</f>
        <v>051421-LS-WM-C-IN-To</v>
      </c>
    </row>
    <row r="104" spans="1:15" x14ac:dyDescent="0.15">
      <c r="B104" s="3">
        <f>Data!H99</f>
        <v>187.73333333333335</v>
      </c>
      <c r="C104" s="3">
        <f>Data!C99/Data!F99</f>
        <v>50.420196598331501</v>
      </c>
      <c r="D104" s="3"/>
      <c r="E104" s="3">
        <f>Data!G99/Data!F99</f>
        <v>24.124550001077843</v>
      </c>
      <c r="F104" s="3"/>
      <c r="G104" s="3">
        <f t="shared" si="12"/>
        <v>-0.15596616923466655</v>
      </c>
      <c r="H104" s="10">
        <f t="shared" si="13"/>
        <v>-0.28089245105279659</v>
      </c>
      <c r="I104" s="3">
        <f t="shared" si="14"/>
        <v>38.046959652880211</v>
      </c>
      <c r="J104" s="3">
        <f t="shared" si="15"/>
        <v>20.158290077640913</v>
      </c>
      <c r="K104" s="3">
        <f t="shared" si="16"/>
        <v>528.85273917503491</v>
      </c>
      <c r="L104" s="3">
        <f t="shared" si="17"/>
        <v>280.20023207920872</v>
      </c>
    </row>
    <row r="105" spans="1:15" x14ac:dyDescent="0.15">
      <c r="B105" s="3">
        <f>Data!H100</f>
        <v>187.83333333333326</v>
      </c>
      <c r="C105" s="3">
        <f>Data!C100/Data!F100</f>
        <v>50.357890693226423</v>
      </c>
      <c r="D105" s="3"/>
      <c r="E105" s="3">
        <f>Data!G100/Data!F100</f>
        <v>24.132414620070421</v>
      </c>
      <c r="F105" s="3"/>
      <c r="G105" s="3">
        <f t="shared" si="12"/>
        <v>-0.21824020524346821</v>
      </c>
      <c r="H105" s="10">
        <f t="shared" si="13"/>
        <v>-0.27302597383362581</v>
      </c>
      <c r="I105" s="3">
        <f t="shared" si="14"/>
        <v>37.991044465233962</v>
      </c>
      <c r="J105" s="3">
        <f t="shared" si="15"/>
        <v>20.164863199312325</v>
      </c>
      <c r="K105" s="3">
        <f t="shared" si="16"/>
        <v>528.07551806675212</v>
      </c>
      <c r="L105" s="3">
        <f t="shared" si="17"/>
        <v>280.29159847044133</v>
      </c>
    </row>
    <row r="106" spans="1:15" x14ac:dyDescent="0.15">
      <c r="A106" t="str">
        <f>Data!A101</f>
        <v>051421-LS-WM-C-IN-To</v>
      </c>
      <c r="B106" s="3">
        <f>Data!H101</f>
        <v>193.31666666666661</v>
      </c>
      <c r="C106" s="3">
        <f>Data!C101/Data!F101</f>
        <v>50.362115988730572</v>
      </c>
      <c r="D106" s="3"/>
      <c r="E106" s="3">
        <f>Data!G101/Data!F101</f>
        <v>24.215370352034711</v>
      </c>
      <c r="F106" s="3"/>
      <c r="G106" s="3">
        <f t="shared" si="12"/>
        <v>-0.21226742096044404</v>
      </c>
      <c r="H106" s="10">
        <f t="shared" si="13"/>
        <v>-0.1899683491111972</v>
      </c>
      <c r="I106" s="3">
        <f t="shared" si="14"/>
        <v>37.996407364049588</v>
      </c>
      <c r="J106" s="3">
        <f t="shared" si="15"/>
        <v>20.23426502402091</v>
      </c>
      <c r="K106" s="3">
        <f t="shared" si="16"/>
        <v>528.15006236028933</v>
      </c>
      <c r="L106" s="3">
        <f t="shared" si="17"/>
        <v>281.25628383389068</v>
      </c>
      <c r="M106" s="3">
        <f>AVERAGE(K106:K108)</f>
        <v>528.19702110927858</v>
      </c>
      <c r="N106" s="3">
        <f>AVERAGE(L106:L108)</f>
        <v>281.29050576890455</v>
      </c>
      <c r="O106" s="4" t="str">
        <f>Data!A101</f>
        <v>051421-LS-WM-C-IN-To</v>
      </c>
    </row>
    <row r="107" spans="1:15" x14ac:dyDescent="0.15">
      <c r="B107" s="3">
        <f>Data!H102</f>
        <v>193.43333333333328</v>
      </c>
      <c r="C107" s="3">
        <f>Data!C102/Data!F102</f>
        <v>50.311649337821621</v>
      </c>
      <c r="D107" s="3"/>
      <c r="E107" s="3">
        <f>Data!G102/Data!F102</f>
        <v>24.178011827633913</v>
      </c>
      <c r="F107" s="3"/>
      <c r="G107" s="3">
        <f t="shared" si="12"/>
        <v>-0.26269689125707885</v>
      </c>
      <c r="H107" s="10">
        <f t="shared" si="13"/>
        <v>-0.22732470558096907</v>
      </c>
      <c r="I107" s="3">
        <f t="shared" si="14"/>
        <v>37.951127284657616</v>
      </c>
      <c r="J107" s="3">
        <f t="shared" si="15"/>
        <v>20.203050559218543</v>
      </c>
      <c r="K107" s="3">
        <f t="shared" si="16"/>
        <v>527.52066925674092</v>
      </c>
      <c r="L107" s="3">
        <f t="shared" si="17"/>
        <v>280.82240277313775</v>
      </c>
    </row>
    <row r="108" spans="1:15" x14ac:dyDescent="0.15">
      <c r="B108" s="3">
        <f>Data!H103</f>
        <v>193.56666666666661</v>
      </c>
      <c r="C108" s="3">
        <f>Data!C103/Data!F103</f>
        <v>50.423753349610493</v>
      </c>
      <c r="D108" s="3"/>
      <c r="E108" s="3">
        <f>Data!G103/Data!F103</f>
        <v>24.261561398777499</v>
      </c>
      <c r="F108" s="3"/>
      <c r="G108" s="3">
        <f t="shared" si="12"/>
        <v>-0.15055038733984816</v>
      </c>
      <c r="H108" s="10">
        <f t="shared" si="13"/>
        <v>-0.14377265680192863</v>
      </c>
      <c r="I108" s="3">
        <f t="shared" si="14"/>
        <v>38.051822425237816</v>
      </c>
      <c r="J108" s="3">
        <f t="shared" si="15"/>
        <v>20.272865517962966</v>
      </c>
      <c r="K108" s="3">
        <f t="shared" si="16"/>
        <v>528.92033171080561</v>
      </c>
      <c r="L108" s="3">
        <f t="shared" si="17"/>
        <v>281.79283069968523</v>
      </c>
    </row>
    <row r="109" spans="1:15" x14ac:dyDescent="0.15">
      <c r="A109" t="str">
        <f>Data!A104</f>
        <v>051521-LS-WM-C-IN-T1</v>
      </c>
      <c r="B109" s="3">
        <f>Data!H104</f>
        <v>197.01666666666665</v>
      </c>
      <c r="C109" s="3">
        <f>Data!C104/Data!F104</f>
        <v>50.472147028201526</v>
      </c>
      <c r="D109" s="3"/>
      <c r="E109" s="3">
        <f>Data!G104/Data!F104</f>
        <v>24.297496718120502</v>
      </c>
      <c r="F109" s="3"/>
      <c r="G109" s="3">
        <f t="shared" ref="G109:G172" si="18">C109-(G$3+G$4*B109)</f>
        <v>-0.10105722492745883</v>
      </c>
      <c r="H109" s="10">
        <f t="shared" ref="H109:H172" si="19">E109-(H$3+H$4*B109)</f>
        <v>-0.10777322864149497</v>
      </c>
      <c r="I109" s="3">
        <f t="shared" ref="I109:I172" si="20">G109*(B$7/B$9)+B$3</f>
        <v>38.096261803843433</v>
      </c>
      <c r="J109" s="3">
        <f t="shared" ref="J109:J172" si="21">H109*(C$7)+C$3</f>
        <v>20.302946151874053</v>
      </c>
      <c r="K109" s="3">
        <f t="shared" ref="K109:K172" si="22">I109*D$3</f>
        <v>529.53803907342376</v>
      </c>
      <c r="L109" s="3">
        <f t="shared" ref="L109:L172" si="23">J109*D$3</f>
        <v>282.21095151104936</v>
      </c>
      <c r="M109" s="3">
        <f>AVERAGE(K109:K111)</f>
        <v>530.0645245724013</v>
      </c>
      <c r="N109" s="3">
        <f>AVERAGE(L109:L111)</f>
        <v>282.30861864594766</v>
      </c>
      <c r="O109" s="4" t="str">
        <f>Data!A104</f>
        <v>051521-LS-WM-C-IN-T1</v>
      </c>
    </row>
    <row r="110" spans="1:15" x14ac:dyDescent="0.15">
      <c r="B110" s="3">
        <f>Data!H105</f>
        <v>197.10000000000002</v>
      </c>
      <c r="C110" s="3">
        <f>Data!C105/Data!F105</f>
        <v>50.558978127454985</v>
      </c>
      <c r="D110" s="3"/>
      <c r="E110" s="3">
        <f>Data!G105/Data!F105</f>
        <v>24.311924111628898</v>
      </c>
      <c r="F110" s="3"/>
      <c r="G110" s="3">
        <f t="shared" si="18"/>
        <v>-1.4199568093772541E-2</v>
      </c>
      <c r="H110" s="10">
        <f t="shared" si="19"/>
        <v>-9.334428661093952E-2</v>
      </c>
      <c r="I110" s="3">
        <f t="shared" si="20"/>
        <v>38.17425036041751</v>
      </c>
      <c r="J110" s="3">
        <f t="shared" si="21"/>
        <v>20.315002780135234</v>
      </c>
      <c r="K110" s="3">
        <f t="shared" si="22"/>
        <v>530.62208000980343</v>
      </c>
      <c r="L110" s="3">
        <f t="shared" si="23"/>
        <v>282.37853864387978</v>
      </c>
    </row>
    <row r="111" spans="1:15" x14ac:dyDescent="0.15">
      <c r="B111" s="3">
        <f>Data!H106</f>
        <v>197.18333333333328</v>
      </c>
      <c r="C111" s="3">
        <f>Data!C106/Data!F106</f>
        <v>50.511788571521677</v>
      </c>
      <c r="D111" s="3"/>
      <c r="E111" s="3">
        <f>Data!G106/Data!F106</f>
        <v>24.308291557814965</v>
      </c>
      <c r="F111" s="3"/>
      <c r="G111" s="3">
        <f t="shared" si="18"/>
        <v>-6.1362566446852895E-2</v>
      </c>
      <c r="H111" s="10">
        <f t="shared" si="19"/>
        <v>-9.6975291902712257E-2</v>
      </c>
      <c r="I111" s="3">
        <f t="shared" si="20"/>
        <v>38.131903211077464</v>
      </c>
      <c r="J111" s="3">
        <f t="shared" si="21"/>
        <v>20.311968761360706</v>
      </c>
      <c r="K111" s="3">
        <f t="shared" si="22"/>
        <v>530.03345463397682</v>
      </c>
      <c r="L111" s="3">
        <f t="shared" si="23"/>
        <v>282.33636578291384</v>
      </c>
    </row>
    <row r="112" spans="1:15" x14ac:dyDescent="0.15">
      <c r="A112" t="str">
        <f>Data!A107</f>
        <v>051521-LS-WM-C-IN-T1</v>
      </c>
      <c r="B112" s="3">
        <f>Data!H107</f>
        <v>200.61666666666667</v>
      </c>
      <c r="C112" s="3">
        <f>Data!C107/Data!F107</f>
        <v>50.367857178282776</v>
      </c>
      <c r="D112" s="3"/>
      <c r="E112" s="3">
        <f>Data!G107/Data!F107</f>
        <v>24.20580307909281</v>
      </c>
      <c r="F112" s="3"/>
      <c r="G112" s="3">
        <f t="shared" si="18"/>
        <v>-0.20419978738043909</v>
      </c>
      <c r="H112" s="10">
        <f t="shared" si="19"/>
        <v>-0.19939997151186972</v>
      </c>
      <c r="I112" s="3">
        <f t="shared" si="20"/>
        <v>38.003651205534723</v>
      </c>
      <c r="J112" s="3">
        <f t="shared" si="21"/>
        <v>20.226384088263881</v>
      </c>
      <c r="K112" s="3">
        <f t="shared" si="22"/>
        <v>528.25075175693269</v>
      </c>
      <c r="L112" s="3">
        <f t="shared" si="23"/>
        <v>281.14673882686793</v>
      </c>
      <c r="M112" s="3">
        <f>AVERAGE(K112:K114)</f>
        <v>528.37207619884509</v>
      </c>
      <c r="N112" s="3">
        <f>AVERAGE(L112:L114)</f>
        <v>281.12582872421757</v>
      </c>
      <c r="O112" s="4" t="str">
        <f>Data!A107</f>
        <v>051521-LS-WM-C-IN-T1</v>
      </c>
    </row>
    <row r="113" spans="1:15" x14ac:dyDescent="0.15">
      <c r="B113" s="3">
        <f>Data!H108</f>
        <v>200.71666666666658</v>
      </c>
      <c r="C113" s="3">
        <f>Data!C108/Data!F108</f>
        <v>50.324862995736439</v>
      </c>
      <c r="D113" s="3"/>
      <c r="E113" s="3">
        <f>Data!G108/Data!F108</f>
        <v>24.181718886446649</v>
      </c>
      <c r="F113" s="3"/>
      <c r="G113" s="3">
        <f t="shared" si="18"/>
        <v>-0.24716210083050782</v>
      </c>
      <c r="H113" s="10">
        <f t="shared" si="19"/>
        <v>-0.22348230593143725</v>
      </c>
      <c r="I113" s="3">
        <f t="shared" si="20"/>
        <v>37.965075806022512</v>
      </c>
      <c r="J113" s="3">
        <f t="shared" si="21"/>
        <v>20.206261216251274</v>
      </c>
      <c r="K113" s="3">
        <f t="shared" si="22"/>
        <v>527.71455370371291</v>
      </c>
      <c r="L113" s="3">
        <f t="shared" si="23"/>
        <v>280.8670309058927</v>
      </c>
    </row>
    <row r="114" spans="1:15" x14ac:dyDescent="0.15">
      <c r="B114" s="3">
        <f>Data!H109</f>
        <v>200.93333333333328</v>
      </c>
      <c r="C114" s="3">
        <f>Data!C109/Data!F109</f>
        <v>50.439881558533557</v>
      </c>
      <c r="D114" s="3"/>
      <c r="E114" s="3">
        <f>Data!G109/Data!F109</f>
        <v>24.224478565690827</v>
      </c>
      <c r="F114" s="3"/>
      <c r="G114" s="3">
        <f t="shared" si="18"/>
        <v>-0.13207448832479685</v>
      </c>
      <c r="H114" s="10">
        <f t="shared" si="19"/>
        <v>-0.18071860052964084</v>
      </c>
      <c r="I114" s="3">
        <f t="shared" si="20"/>
        <v>38.068411736394935</v>
      </c>
      <c r="J114" s="3">
        <f t="shared" si="21"/>
        <v>20.241993988481443</v>
      </c>
      <c r="K114" s="3">
        <f t="shared" si="22"/>
        <v>529.15092313588957</v>
      </c>
      <c r="L114" s="3">
        <f t="shared" si="23"/>
        <v>281.36371643989207</v>
      </c>
    </row>
    <row r="115" spans="1:15" x14ac:dyDescent="0.15">
      <c r="A115" t="str">
        <f>Data!A110</f>
        <v>051621-LS-WM-C-IN-T2</v>
      </c>
      <c r="B115" s="3">
        <f>Data!H110</f>
        <v>203.88333333333333</v>
      </c>
      <c r="C115" s="3">
        <f>Data!C110/Data!F110</f>
        <v>50.307070372692543</v>
      </c>
      <c r="D115" s="3"/>
      <c r="E115" s="3">
        <f>Data!G110/Data!F110</f>
        <v>24.211126173575359</v>
      </c>
      <c r="F115" s="3"/>
      <c r="G115" s="3">
        <f t="shared" si="18"/>
        <v>-0.26394553582581182</v>
      </c>
      <c r="H115" s="10">
        <f t="shared" si="19"/>
        <v>-0.19401617496064105</v>
      </c>
      <c r="I115" s="3">
        <f t="shared" si="20"/>
        <v>37.950006140119072</v>
      </c>
      <c r="J115" s="3">
        <f t="shared" si="21"/>
        <v>20.230882715641727</v>
      </c>
      <c r="K115" s="3">
        <f t="shared" si="22"/>
        <v>527.50508534765515</v>
      </c>
      <c r="L115" s="3">
        <f t="shared" si="23"/>
        <v>281.20926974742002</v>
      </c>
      <c r="M115" s="3">
        <f>AVERAGE(K115:K117)</f>
        <v>528.48558196081046</v>
      </c>
      <c r="N115" s="3">
        <f>AVERAGE(L115:L117)</f>
        <v>281.58649766918893</v>
      </c>
      <c r="O115" s="4" t="str">
        <f>Data!A110</f>
        <v>051621-LS-WM-C-IN-T2</v>
      </c>
    </row>
    <row r="116" spans="1:15" x14ac:dyDescent="0.15">
      <c r="B116" s="3">
        <f>Data!H111</f>
        <v>203.98333333333335</v>
      </c>
      <c r="C116" s="3">
        <f>Data!C111/Data!F111</f>
        <v>50.440663534382224</v>
      </c>
      <c r="D116" s="3"/>
      <c r="E116" s="3">
        <f>Data!G111/Data!F111</f>
        <v>24.262976596260923</v>
      </c>
      <c r="F116" s="3"/>
      <c r="G116" s="3">
        <f t="shared" si="18"/>
        <v>-0.13032050503985459</v>
      </c>
      <c r="H116" s="10">
        <f t="shared" si="19"/>
        <v>-0.14216389404848329</v>
      </c>
      <c r="I116" s="3">
        <f t="shared" si="20"/>
        <v>38.069986619135662</v>
      </c>
      <c r="J116" s="3">
        <f t="shared" si="21"/>
        <v>20.274209778300119</v>
      </c>
      <c r="K116" s="3">
        <f t="shared" si="22"/>
        <v>529.17281400598574</v>
      </c>
      <c r="L116" s="3">
        <f t="shared" si="23"/>
        <v>281.81151591837164</v>
      </c>
    </row>
    <row r="117" spans="1:15" x14ac:dyDescent="0.15">
      <c r="B117" s="3">
        <f>Data!H112</f>
        <v>204.10000000000002</v>
      </c>
      <c r="C117" s="3">
        <f>Data!C112/Data!F112</f>
        <v>50.409060117856221</v>
      </c>
      <c r="D117" s="3"/>
      <c r="E117" s="3">
        <f>Data!G112/Data!F112</f>
        <v>24.256705744611189</v>
      </c>
      <c r="F117" s="3"/>
      <c r="G117" s="3">
        <f t="shared" si="18"/>
        <v>-0.16188674095354116</v>
      </c>
      <c r="H117" s="10">
        <f t="shared" si="19"/>
        <v>-0.14843257776719554</v>
      </c>
      <c r="I117" s="3">
        <f t="shared" si="20"/>
        <v>38.041643635164782</v>
      </c>
      <c r="J117" s="3">
        <f t="shared" si="21"/>
        <v>20.268971751206838</v>
      </c>
      <c r="K117" s="3">
        <f t="shared" si="22"/>
        <v>528.7788465287905</v>
      </c>
      <c r="L117" s="3">
        <f t="shared" si="23"/>
        <v>281.73870734177507</v>
      </c>
    </row>
    <row r="118" spans="1:15" x14ac:dyDescent="0.15">
      <c r="A118" t="str">
        <f>Data!A113</f>
        <v>051621-LS-WM-C-IN-T2</v>
      </c>
      <c r="B118" s="3">
        <f>Data!H113</f>
        <v>207.73333333333335</v>
      </c>
      <c r="C118" s="3">
        <f>Data!C113/Data!F113</f>
        <v>50.52238853281095</v>
      </c>
      <c r="D118" s="3"/>
      <c r="E118" s="3">
        <f>Data!G113/Data!F113</f>
        <v>24.257095219076241</v>
      </c>
      <c r="F118" s="3"/>
      <c r="G118" s="3">
        <f t="shared" si="18"/>
        <v>-4.7400415500959525E-2</v>
      </c>
      <c r="H118" s="10">
        <f t="shared" si="19"/>
        <v>-0.14797558773596009</v>
      </c>
      <c r="I118" s="3">
        <f t="shared" si="20"/>
        <v>38.144439676354494</v>
      </c>
      <c r="J118" s="3">
        <f t="shared" si="21"/>
        <v>20.269353605878788</v>
      </c>
      <c r="K118" s="3">
        <f t="shared" si="22"/>
        <v>530.20771150132748</v>
      </c>
      <c r="L118" s="3">
        <f t="shared" si="23"/>
        <v>281.74401512171517</v>
      </c>
      <c r="M118" s="3">
        <f>AVERAGE(K118:K120)</f>
        <v>529.36051180747938</v>
      </c>
      <c r="N118" s="3">
        <f>AVERAGE(L118:L120)</f>
        <v>281.47546159113841</v>
      </c>
      <c r="O118" s="4" t="str">
        <f>Data!A113</f>
        <v>051621-LS-WM-C-IN-T2</v>
      </c>
    </row>
    <row r="119" spans="1:15" x14ac:dyDescent="0.15">
      <c r="B119" s="3">
        <f>Data!H114</f>
        <v>207.81666666666661</v>
      </c>
      <c r="C119" s="3">
        <f>Data!C114/Data!F114</f>
        <v>50.354305490147254</v>
      </c>
      <c r="D119" s="3"/>
      <c r="E119" s="3">
        <f>Data!G114/Data!F114</f>
        <v>24.185301266124274</v>
      </c>
      <c r="F119" s="3"/>
      <c r="G119" s="3">
        <f t="shared" si="18"/>
        <v>-0.21545690058442801</v>
      </c>
      <c r="H119" s="10">
        <f t="shared" si="19"/>
        <v>-0.21976799216576737</v>
      </c>
      <c r="I119" s="3">
        <f t="shared" si="20"/>
        <v>37.993543564573933</v>
      </c>
      <c r="J119" s="3">
        <f t="shared" si="21"/>
        <v>20.20936484645668</v>
      </c>
      <c r="K119" s="3">
        <f t="shared" si="22"/>
        <v>528.11025554757771</v>
      </c>
      <c r="L119" s="3">
        <f t="shared" si="23"/>
        <v>280.91017136574783</v>
      </c>
    </row>
    <row r="120" spans="1:15" x14ac:dyDescent="0.15">
      <c r="B120" s="3">
        <f>Data!H115</f>
        <v>207.89999999999998</v>
      </c>
      <c r="C120" s="3">
        <f>Data!C115/Data!F115</f>
        <v>50.486748909720419</v>
      </c>
      <c r="D120" s="3"/>
      <c r="E120" s="3">
        <f>Data!G115/Data!F115</f>
        <v>24.259518640322124</v>
      </c>
      <c r="F120" s="3"/>
      <c r="G120" s="3">
        <f t="shared" si="18"/>
        <v>-8.298692343103653E-2</v>
      </c>
      <c r="H120" s="10">
        <f t="shared" si="19"/>
        <v>-0.14554906944575663</v>
      </c>
      <c r="I120" s="3">
        <f t="shared" si="20"/>
        <v>38.112486933347704</v>
      </c>
      <c r="J120" s="3">
        <f t="shared" si="21"/>
        <v>20.271381171651246</v>
      </c>
      <c r="K120" s="3">
        <f t="shared" si="22"/>
        <v>529.76356837353308</v>
      </c>
      <c r="L120" s="3">
        <f t="shared" si="23"/>
        <v>281.7721982859523</v>
      </c>
    </row>
    <row r="121" spans="1:15" x14ac:dyDescent="0.15">
      <c r="A121" t="str">
        <f>Data!A116</f>
        <v>051421-LS-SB-C-IN-To</v>
      </c>
      <c r="B121" s="3">
        <f>Data!H116</f>
        <v>211.2833333333333</v>
      </c>
      <c r="C121" s="3">
        <f>Data!C116/Data!F116</f>
        <v>50.420319743070749</v>
      </c>
      <c r="D121" s="3"/>
      <c r="E121" s="3">
        <f>Data!G116/Data!F116</f>
        <v>24.206088975938343</v>
      </c>
      <c r="F121" s="3"/>
      <c r="G121" s="3">
        <f t="shared" si="18"/>
        <v>-0.14833785232352881</v>
      </c>
      <c r="H121" s="10">
        <f t="shared" si="19"/>
        <v>-0.19891586382983562</v>
      </c>
      <c r="I121" s="3">
        <f t="shared" si="20"/>
        <v>38.053809036649895</v>
      </c>
      <c r="J121" s="3">
        <f t="shared" si="21"/>
        <v>20.226788602077043</v>
      </c>
      <c r="K121" s="3">
        <f t="shared" si="22"/>
        <v>528.94794560943353</v>
      </c>
      <c r="L121" s="3">
        <f t="shared" si="23"/>
        <v>281.1523615688709</v>
      </c>
      <c r="M121" s="3">
        <f>AVERAGE(K121:K123)</f>
        <v>529.86165565976114</v>
      </c>
      <c r="N121" s="3">
        <f>AVERAGE(L121:L123)</f>
        <v>281.32744460973288</v>
      </c>
      <c r="O121" s="4" t="str">
        <f>Data!A116</f>
        <v>051421-LS-SB-C-IN-To</v>
      </c>
    </row>
    <row r="122" spans="1:15" x14ac:dyDescent="0.15">
      <c r="B122" s="3">
        <f>Data!H117</f>
        <v>211.41666666666663</v>
      </c>
      <c r="C122" s="3">
        <f>Data!C117/Data!F117</f>
        <v>50.457254254834304</v>
      </c>
      <c r="D122" s="3"/>
      <c r="E122" s="3">
        <f>Data!G117/Data!F117</f>
        <v>24.202254386738943</v>
      </c>
      <c r="F122" s="3"/>
      <c r="G122" s="3">
        <f t="shared" si="18"/>
        <v>-0.11136084843161598</v>
      </c>
      <c r="H122" s="10">
        <f t="shared" si="19"/>
        <v>-0.20274797539378042</v>
      </c>
      <c r="I122" s="3">
        <f t="shared" si="20"/>
        <v>38.087010291036556</v>
      </c>
      <c r="J122" s="3">
        <f t="shared" si="21"/>
        <v>20.223586541629089</v>
      </c>
      <c r="K122" s="3">
        <f t="shared" si="22"/>
        <v>529.40944304540812</v>
      </c>
      <c r="L122" s="3">
        <f t="shared" si="23"/>
        <v>281.10785292864432</v>
      </c>
    </row>
    <row r="123" spans="1:15" x14ac:dyDescent="0.15">
      <c r="B123" s="3">
        <f>Data!H118</f>
        <v>211.54999999999995</v>
      </c>
      <c r="C123" s="3">
        <f>Data!C118/Data!F118</f>
        <v>50.602887968136791</v>
      </c>
      <c r="D123" s="3"/>
      <c r="E123" s="3">
        <f>Data!G118/Data!F118</f>
        <v>24.25513910975592</v>
      </c>
      <c r="F123" s="3"/>
      <c r="G123" s="3">
        <f t="shared" si="18"/>
        <v>3.4315356999236712E-2</v>
      </c>
      <c r="H123" s="10">
        <f t="shared" si="19"/>
        <v>-0.14986077474134518</v>
      </c>
      <c r="I123" s="3">
        <f t="shared" si="20"/>
        <v>38.217811390247597</v>
      </c>
      <c r="J123" s="3">
        <f t="shared" si="21"/>
        <v>20.267778369185855</v>
      </c>
      <c r="K123" s="3">
        <f t="shared" si="22"/>
        <v>531.22757832444165</v>
      </c>
      <c r="L123" s="3">
        <f t="shared" si="23"/>
        <v>281.72211933168342</v>
      </c>
    </row>
    <row r="124" spans="1:15" x14ac:dyDescent="0.15">
      <c r="A124" t="str">
        <f>Data!A119</f>
        <v>051421-LS-SB-C-IN-To</v>
      </c>
      <c r="B124" s="3">
        <f>Data!H119</f>
        <v>215.73333333333335</v>
      </c>
      <c r="C124" s="3">
        <f>Data!C119/Data!F119</f>
        <v>50.414497551592895</v>
      </c>
      <c r="D124" s="3"/>
      <c r="E124" s="3">
        <f>Data!G119/Data!F119</f>
        <v>24.181799340607196</v>
      </c>
      <c r="F124" s="3"/>
      <c r="G124" s="3">
        <f t="shared" si="18"/>
        <v>-0.15274186901731213</v>
      </c>
      <c r="H124" s="10">
        <f t="shared" si="19"/>
        <v>-0.22312280807762974</v>
      </c>
      <c r="I124" s="3">
        <f t="shared" si="20"/>
        <v>38.049854717392421</v>
      </c>
      <c r="J124" s="3">
        <f t="shared" si="21"/>
        <v>20.206561607782053</v>
      </c>
      <c r="K124" s="3">
        <f t="shared" si="22"/>
        <v>528.89298057175472</v>
      </c>
      <c r="L124" s="3">
        <f t="shared" si="23"/>
        <v>280.87120634817052</v>
      </c>
      <c r="M124" s="3">
        <f>AVERAGE(K124:K126)</f>
        <v>529.8104935582445</v>
      </c>
      <c r="N124" s="3">
        <f>AVERAGE(L124:L126)</f>
        <v>280.87469596097048</v>
      </c>
      <c r="O124" s="4" t="str">
        <f>Data!A119</f>
        <v>051421-LS-SB-C-IN-To</v>
      </c>
    </row>
    <row r="125" spans="1:15" x14ac:dyDescent="0.15">
      <c r="B125" s="3">
        <f>Data!H120</f>
        <v>215.89999999999998</v>
      </c>
      <c r="C125" s="3">
        <f>Data!C120/Data!F120</f>
        <v>50.496133703720574</v>
      </c>
      <c r="D125" s="3"/>
      <c r="E125" s="3">
        <f>Data!G120/Data!F120</f>
        <v>24.177612823899086</v>
      </c>
      <c r="F125" s="3"/>
      <c r="G125" s="3">
        <f t="shared" si="18"/>
        <v>-7.1052601729178377E-2</v>
      </c>
      <c r="H125" s="10">
        <f t="shared" si="19"/>
        <v>-0.22730622774141906</v>
      </c>
      <c r="I125" s="3">
        <f t="shared" si="20"/>
        <v>38.123202632540476</v>
      </c>
      <c r="J125" s="3">
        <f t="shared" si="21"/>
        <v>20.203065999050658</v>
      </c>
      <c r="K125" s="3">
        <f t="shared" si="22"/>
        <v>529.91251659231261</v>
      </c>
      <c r="L125" s="3">
        <f t="shared" si="23"/>
        <v>280.82261738680415</v>
      </c>
    </row>
    <row r="126" spans="1:15" x14ac:dyDescent="0.15">
      <c r="B126" s="3">
        <f>Data!H121</f>
        <v>215.98333333333335</v>
      </c>
      <c r="C126" s="3">
        <f>Data!C121/Data!F121</f>
        <v>50.553272943737916</v>
      </c>
      <c r="D126" s="3"/>
      <c r="E126" s="3">
        <f>Data!G121/Data!F121</f>
        <v>24.186879462319002</v>
      </c>
      <c r="F126" s="3"/>
      <c r="G126" s="3">
        <f t="shared" si="18"/>
        <v>-1.3886804131608699E-2</v>
      </c>
      <c r="H126" s="10">
        <f t="shared" si="19"/>
        <v>-0.21803804079934253</v>
      </c>
      <c r="I126" s="3">
        <f t="shared" si="20"/>
        <v>38.174531187817728</v>
      </c>
      <c r="J126" s="3">
        <f t="shared" si="21"/>
        <v>20.210810370355158</v>
      </c>
      <c r="K126" s="3">
        <f t="shared" si="22"/>
        <v>530.6259835106664</v>
      </c>
      <c r="L126" s="3">
        <f t="shared" si="23"/>
        <v>280.93026414793673</v>
      </c>
    </row>
    <row r="127" spans="1:15" x14ac:dyDescent="0.15">
      <c r="A127" t="str">
        <f>Data!A122</f>
        <v>051521-LS-SB-C-IN-T1</v>
      </c>
      <c r="B127" s="3">
        <f>Data!H122</f>
        <v>220.5333333333333</v>
      </c>
      <c r="C127" s="3">
        <f>Data!C122/Data!F122</f>
        <v>49.763238916256149</v>
      </c>
      <c r="D127" s="3"/>
      <c r="E127" s="3">
        <f>Data!G122/Data!F122</f>
        <v>24.243385206747273</v>
      </c>
      <c r="F127" s="3"/>
      <c r="G127" s="3">
        <f t="shared" si="18"/>
        <v>-0.80247078773303571</v>
      </c>
      <c r="H127" s="10">
        <f t="shared" si="19"/>
        <v>-0.16144774706112841</v>
      </c>
      <c r="I127" s="3">
        <f t="shared" si="20"/>
        <v>37.466470104195871</v>
      </c>
      <c r="J127" s="3">
        <f t="shared" si="21"/>
        <v>20.258096452269399</v>
      </c>
      <c r="K127" s="3">
        <f t="shared" si="22"/>
        <v>520.78393444832261</v>
      </c>
      <c r="L127" s="3">
        <f t="shared" si="23"/>
        <v>281.58754068654463</v>
      </c>
      <c r="M127" s="3">
        <f>AVERAGE(K127:K129)</f>
        <v>520.26694634391106</v>
      </c>
      <c r="N127" s="3">
        <f>AVERAGE(L127:L129)</f>
        <v>281.17932236330353</v>
      </c>
      <c r="O127" s="4" t="str">
        <f>Data!A122</f>
        <v>051521-LS-SB-C-IN-T1</v>
      </c>
    </row>
    <row r="128" spans="1:15" x14ac:dyDescent="0.15">
      <c r="B128" s="3">
        <f>Data!H123</f>
        <v>220.66666666666663</v>
      </c>
      <c r="C128" s="3">
        <f>Data!C123/Data!F123</f>
        <v>49.646069763913083</v>
      </c>
      <c r="D128" s="3"/>
      <c r="E128" s="3">
        <f>Data!G123/Data!F123</f>
        <v>24.16272040349164</v>
      </c>
      <c r="F128" s="3"/>
      <c r="G128" s="3">
        <f t="shared" si="18"/>
        <v>-0.91959744794773712</v>
      </c>
      <c r="H128" s="10">
        <f t="shared" si="19"/>
        <v>-0.24211007268130302</v>
      </c>
      <c r="I128" s="3">
        <f t="shared" si="20"/>
        <v>37.361303334800077</v>
      </c>
      <c r="J128" s="3">
        <f t="shared" si="21"/>
        <v>20.190696107003244</v>
      </c>
      <c r="K128" s="3">
        <f t="shared" si="22"/>
        <v>519.32211635372107</v>
      </c>
      <c r="L128" s="3">
        <f t="shared" si="23"/>
        <v>280.65067588734513</v>
      </c>
    </row>
    <row r="129" spans="1:15" x14ac:dyDescent="0.15">
      <c r="B129" s="3">
        <f>Data!H124</f>
        <v>220.79999999999995</v>
      </c>
      <c r="C129" s="3">
        <f>Data!C124/Data!F124</f>
        <v>49.756011183597394</v>
      </c>
      <c r="D129" s="3"/>
      <c r="E129" s="3">
        <f>Data!G124/Data!F124</f>
        <v>24.21860205032619</v>
      </c>
      <c r="F129" s="3"/>
      <c r="G129" s="3">
        <f t="shared" si="18"/>
        <v>-0.80961353613506759</v>
      </c>
      <c r="H129" s="10">
        <f t="shared" si="19"/>
        <v>-0.18622594821129823</v>
      </c>
      <c r="I129" s="3">
        <f t="shared" si="20"/>
        <v>37.460056707171901</v>
      </c>
      <c r="J129" s="3">
        <f t="shared" si="21"/>
        <v>20.237392123454732</v>
      </c>
      <c r="K129" s="3">
        <f t="shared" si="22"/>
        <v>520.69478822968949</v>
      </c>
      <c r="L129" s="3">
        <f t="shared" si="23"/>
        <v>281.29975051602077</v>
      </c>
    </row>
    <row r="130" spans="1:15" x14ac:dyDescent="0.15">
      <c r="A130" t="str">
        <f>Data!A125</f>
        <v>051521-LS-SB-C-IN-T1</v>
      </c>
      <c r="B130" s="3">
        <f>Data!H125</f>
        <v>225.11666666666667</v>
      </c>
      <c r="C130" s="3">
        <f>Data!C125/Data!F125</f>
        <v>50.460674311989756</v>
      </c>
      <c r="D130" s="3"/>
      <c r="E130" s="3">
        <f>Data!G125/Data!F125</f>
        <v>24.252525113463754</v>
      </c>
      <c r="F130" s="3"/>
      <c r="G130" s="3">
        <f t="shared" si="18"/>
        <v>-0.10357472508699317</v>
      </c>
      <c r="H130" s="10">
        <f t="shared" si="19"/>
        <v>-0.15222267162583947</v>
      </c>
      <c r="I130" s="3">
        <f t="shared" si="20"/>
        <v>38.094001367506849</v>
      </c>
      <c r="J130" s="3">
        <f t="shared" si="21"/>
        <v>20.265804800183549</v>
      </c>
      <c r="K130" s="3">
        <f t="shared" si="22"/>
        <v>529.50661900834518</v>
      </c>
      <c r="L130" s="3">
        <f t="shared" si="23"/>
        <v>281.69468672255135</v>
      </c>
      <c r="M130" s="3">
        <f>AVERAGE(K130:K132)</f>
        <v>530.51135129070474</v>
      </c>
      <c r="N130" s="3">
        <f>AVERAGE(L130:L132)</f>
        <v>282.13357711501266</v>
      </c>
      <c r="O130" s="4" t="str">
        <f>Data!A125</f>
        <v>051521-LS-SB-C-IN-T1</v>
      </c>
    </row>
    <row r="131" spans="1:15" x14ac:dyDescent="0.15">
      <c r="B131" s="3">
        <f>Data!H126</f>
        <v>225.29999999999995</v>
      </c>
      <c r="C131" s="3">
        <f>Data!C126/Data!F126</f>
        <v>50.533020051680445</v>
      </c>
      <c r="D131" s="3"/>
      <c r="E131" s="3">
        <f>Data!G126/Data!F126</f>
        <v>24.29952410237177</v>
      </c>
      <c r="F131" s="3"/>
      <c r="G131" s="3">
        <f t="shared" si="18"/>
        <v>-3.1170558719807673E-2</v>
      </c>
      <c r="H131" s="10">
        <f t="shared" si="19"/>
        <v>-0.1052202759690708</v>
      </c>
      <c r="I131" s="3">
        <f t="shared" si="20"/>
        <v>38.159012290328988</v>
      </c>
      <c r="J131" s="3">
        <f t="shared" si="21"/>
        <v>20.305079364501466</v>
      </c>
      <c r="K131" s="3">
        <f t="shared" si="22"/>
        <v>530.41027083557299</v>
      </c>
      <c r="L131" s="3">
        <f t="shared" si="23"/>
        <v>282.24060316657039</v>
      </c>
    </row>
    <row r="132" spans="1:15" x14ac:dyDescent="0.15">
      <c r="B132" s="3">
        <f>Data!H127</f>
        <v>225.51666666666665</v>
      </c>
      <c r="C132" s="3">
        <f>Data!C127/Data!F127</f>
        <v>50.629652068547685</v>
      </c>
      <c r="D132" s="3"/>
      <c r="E132" s="3">
        <f>Data!G127/Data!F127</f>
        <v>24.318878236882135</v>
      </c>
      <c r="F132" s="3"/>
      <c r="G132" s="3">
        <f t="shared" si="18"/>
        <v>6.553050785601755E-2</v>
      </c>
      <c r="H132" s="10">
        <f t="shared" si="19"/>
        <v>-8.5862115301090114E-2</v>
      </c>
      <c r="I132" s="3">
        <f t="shared" si="20"/>
        <v>38.245839138719148</v>
      </c>
      <c r="J132" s="3">
        <f t="shared" si="21"/>
        <v>20.321254781001155</v>
      </c>
      <c r="K132" s="3">
        <f t="shared" si="22"/>
        <v>531.61716402819616</v>
      </c>
      <c r="L132" s="3">
        <f t="shared" si="23"/>
        <v>282.46544145591605</v>
      </c>
    </row>
    <row r="133" spans="1:15" x14ac:dyDescent="0.15">
      <c r="A133" t="str">
        <f>Data!A128</f>
        <v>051621-LS-SB-C-IN-T2</v>
      </c>
      <c r="B133" s="3">
        <f>Data!H128</f>
        <v>230.48333333333335</v>
      </c>
      <c r="C133" s="3">
        <f>Data!C128/Data!F128</f>
        <v>50.326016970746416</v>
      </c>
      <c r="D133" s="3"/>
      <c r="E133" s="3">
        <f>Data!G128/Data!F128</f>
        <v>24.208438247470415</v>
      </c>
      <c r="F133" s="3"/>
      <c r="G133" s="3">
        <f t="shared" si="18"/>
        <v>-0.23652175816377508</v>
      </c>
      <c r="H133" s="10">
        <f t="shared" si="19"/>
        <v>-0.19620981279206262</v>
      </c>
      <c r="I133" s="3">
        <f t="shared" si="20"/>
        <v>37.974629655346597</v>
      </c>
      <c r="J133" s="3">
        <f t="shared" si="21"/>
        <v>20.22904974162207</v>
      </c>
      <c r="K133" s="3">
        <f t="shared" si="22"/>
        <v>527.84735220931771</v>
      </c>
      <c r="L133" s="3">
        <f t="shared" si="23"/>
        <v>281.18379140854677</v>
      </c>
      <c r="M133" s="3">
        <f>AVERAGE(K133:K135)</f>
        <v>528.92034909704387</v>
      </c>
      <c r="N133" s="3">
        <f>AVERAGE(L133:L135)</f>
        <v>281.60869565882643</v>
      </c>
      <c r="O133" s="4" t="str">
        <f>Data!A128</f>
        <v>051621-LS-SB-C-IN-T2</v>
      </c>
    </row>
    <row r="134" spans="1:15" x14ac:dyDescent="0.15">
      <c r="B134" s="3">
        <f>Data!H129</f>
        <v>230.66666666666663</v>
      </c>
      <c r="C134" s="3">
        <f>Data!C129/Data!F129</f>
        <v>50.406982012284693</v>
      </c>
      <c r="D134" s="3"/>
      <c r="E134" s="3">
        <f>Data!G129/Data!F129</f>
        <v>24.24945930683273</v>
      </c>
      <c r="F134" s="3"/>
      <c r="G134" s="3">
        <f t="shared" si="18"/>
        <v>-0.15549828994900139</v>
      </c>
      <c r="H134" s="10">
        <f t="shared" si="19"/>
        <v>-0.15518534668099804</v>
      </c>
      <c r="I134" s="3">
        <f t="shared" si="20"/>
        <v>38.047379756662309</v>
      </c>
      <c r="J134" s="3">
        <f t="shared" si="21"/>
        <v>20.263329229090182</v>
      </c>
      <c r="K134" s="3">
        <f t="shared" si="22"/>
        <v>528.8585786176061</v>
      </c>
      <c r="L134" s="3">
        <f t="shared" si="23"/>
        <v>281.66027628435353</v>
      </c>
    </row>
    <row r="135" spans="1:15" x14ac:dyDescent="0.15">
      <c r="B135" s="3">
        <f>Data!H130</f>
        <v>230.83333333333326</v>
      </c>
      <c r="C135" s="3">
        <f>Data!C130/Data!F130</f>
        <v>50.502800252329429</v>
      </c>
      <c r="D135" s="3"/>
      <c r="E135" s="3">
        <f>Data!G130/Data!F130</f>
        <v>24.277157686662889</v>
      </c>
      <c r="F135" s="3"/>
      <c r="G135" s="3">
        <f t="shared" si="18"/>
        <v>-5.9626934743810978E-2</v>
      </c>
      <c r="H135" s="10">
        <f t="shared" si="19"/>
        <v>-0.12748386980651816</v>
      </c>
      <c r="I135" s="3">
        <f t="shared" si="20"/>
        <v>38.133461616130042</v>
      </c>
      <c r="J135" s="3">
        <f t="shared" si="21"/>
        <v>20.286476207451727</v>
      </c>
      <c r="K135" s="3">
        <f t="shared" si="22"/>
        <v>530.05511646420757</v>
      </c>
      <c r="L135" s="3">
        <f t="shared" si="23"/>
        <v>281.98201928357901</v>
      </c>
    </row>
    <row r="136" spans="1:15" x14ac:dyDescent="0.15">
      <c r="A136" t="str">
        <f>Data!A131</f>
        <v>051621-LS-SB-C-IN-T2</v>
      </c>
      <c r="B136" s="3">
        <f>Data!H131</f>
        <v>234.79999999999995</v>
      </c>
      <c r="C136" s="3">
        <f>Data!C131/Data!F131</f>
        <v>50.408704387876661</v>
      </c>
      <c r="D136" s="3"/>
      <c r="E136" s="3">
        <f>Data!G131/Data!F131</f>
        <v>24.277781742524471</v>
      </c>
      <c r="F136" s="3"/>
      <c r="G136" s="3">
        <f t="shared" si="18"/>
        <v>-0.15245865837781736</v>
      </c>
      <c r="H136" s="10">
        <f t="shared" si="19"/>
        <v>-0.12678610429011172</v>
      </c>
      <c r="I136" s="3">
        <f t="shared" si="20"/>
        <v>38.050109009181838</v>
      </c>
      <c r="J136" s="3">
        <f t="shared" si="21"/>
        <v>20.287059250853453</v>
      </c>
      <c r="K136" s="3">
        <f t="shared" si="22"/>
        <v>528.89651522762756</v>
      </c>
      <c r="L136" s="3">
        <f t="shared" si="23"/>
        <v>281.99012358686298</v>
      </c>
      <c r="M136" s="3">
        <f>AVERAGE(K136:K138)</f>
        <v>529.72494205264195</v>
      </c>
      <c r="N136" s="3">
        <f>AVERAGE(L136:L138)</f>
        <v>282.37391336471757</v>
      </c>
      <c r="O136" s="4" t="str">
        <f>Data!A131</f>
        <v>051621-LS-SB-C-IN-T2</v>
      </c>
    </row>
    <row r="137" spans="1:15" x14ac:dyDescent="0.15">
      <c r="B137" s="3">
        <f>Data!H132</f>
        <v>234.91666666666663</v>
      </c>
      <c r="C137" s="3">
        <f>Data!C132/Data!F132</f>
        <v>50.624814954439714</v>
      </c>
      <c r="D137" s="3"/>
      <c r="E137" s="3">
        <f>Data!G132/Data!F132</f>
        <v>24.394779186627069</v>
      </c>
      <c r="F137" s="3"/>
      <c r="G137" s="3">
        <f t="shared" si="18"/>
        <v>6.3689088797552529E-2</v>
      </c>
      <c r="H137" s="10">
        <f t="shared" si="19"/>
        <v>-9.7864922564880885E-3</v>
      </c>
      <c r="I137" s="3">
        <f t="shared" si="20"/>
        <v>38.244185748337081</v>
      </c>
      <c r="J137" s="3">
        <f t="shared" si="21"/>
        <v>20.384822539804546</v>
      </c>
      <c r="K137" s="3">
        <f t="shared" si="22"/>
        <v>531.59418190188546</v>
      </c>
      <c r="L137" s="3">
        <f t="shared" si="23"/>
        <v>283.34903330328319</v>
      </c>
    </row>
    <row r="138" spans="1:15" x14ac:dyDescent="0.15">
      <c r="B138" s="3">
        <f>Data!H133</f>
        <v>235.10000000000002</v>
      </c>
      <c r="C138" s="3">
        <f>Data!C133/Data!F133</f>
        <v>50.391591556432829</v>
      </c>
      <c r="D138" s="3"/>
      <c r="E138" s="3">
        <f>Data!G133/Data!F133</f>
        <v>24.259907324917084</v>
      </c>
      <c r="F138" s="3"/>
      <c r="G138" s="3">
        <f t="shared" si="18"/>
        <v>-0.16947588253283641</v>
      </c>
      <c r="H138" s="10">
        <f t="shared" si="19"/>
        <v>-0.14465494721772387</v>
      </c>
      <c r="I138" s="3">
        <f t="shared" si="20"/>
        <v>38.03482942650453</v>
      </c>
      <c r="J138" s="3">
        <f t="shared" si="21"/>
        <v>20.272128288058024</v>
      </c>
      <c r="K138" s="3">
        <f t="shared" si="22"/>
        <v>528.68412902841294</v>
      </c>
      <c r="L138" s="3">
        <f t="shared" si="23"/>
        <v>281.78258320400653</v>
      </c>
    </row>
    <row r="139" spans="1:15" x14ac:dyDescent="0.15">
      <c r="A139" t="str">
        <f>Data!A134</f>
        <v>051421-LS-WM-C-1-To</v>
      </c>
      <c r="B139" s="3">
        <f>Data!H134</f>
        <v>240.75</v>
      </c>
      <c r="C139" s="3">
        <f>Data!C134/Data!F134</f>
        <v>50.314959300165498</v>
      </c>
      <c r="D139" s="3"/>
      <c r="E139" s="3">
        <f>Data!G134/Data!F134</f>
        <v>22.71930713398147</v>
      </c>
      <c r="F139" s="3"/>
      <c r="G139" s="3">
        <f t="shared" si="18"/>
        <v>-0.24430753486084456</v>
      </c>
      <c r="H139" s="10">
        <f t="shared" si="19"/>
        <v>-1.6851501483508784</v>
      </c>
      <c r="I139" s="3">
        <f t="shared" si="20"/>
        <v>37.967638890127411</v>
      </c>
      <c r="J139" s="3">
        <f t="shared" si="21"/>
        <v>18.984911391707367</v>
      </c>
      <c r="K139" s="3">
        <f t="shared" si="22"/>
        <v>527.750180572771</v>
      </c>
      <c r="L139" s="3">
        <f t="shared" si="23"/>
        <v>263.89026834473242</v>
      </c>
      <c r="M139" s="3">
        <f>AVERAGE(K139:K141)</f>
        <v>528.52643241166993</v>
      </c>
      <c r="N139" s="3">
        <f>AVERAGE(L139:L141)</f>
        <v>264.37599641996212</v>
      </c>
      <c r="O139" s="4" t="str">
        <f>Data!A134</f>
        <v>051421-LS-WM-C-1-To</v>
      </c>
    </row>
    <row r="140" spans="1:15" x14ac:dyDescent="0.15">
      <c r="B140" s="3">
        <f>Data!H135</f>
        <v>240.85000000000002</v>
      </c>
      <c r="C140" s="3">
        <f>Data!C135/Data!F135</f>
        <v>50.365357207396876</v>
      </c>
      <c r="D140" s="3"/>
      <c r="E140" s="3">
        <f>Data!G135/Data!F135</f>
        <v>22.777985986420841</v>
      </c>
      <c r="F140" s="3"/>
      <c r="G140" s="3">
        <f t="shared" si="18"/>
        <v>-0.19387775853319056</v>
      </c>
      <c r="H140" s="10">
        <f t="shared" si="19"/>
        <v>-1.6264694376849143</v>
      </c>
      <c r="I140" s="3">
        <f t="shared" si="20"/>
        <v>38.012919244301351</v>
      </c>
      <c r="J140" s="3">
        <f t="shared" si="21"/>
        <v>19.033944197654137</v>
      </c>
      <c r="K140" s="3">
        <f t="shared" si="22"/>
        <v>528.37957749578879</v>
      </c>
      <c r="L140" s="3">
        <f t="shared" si="23"/>
        <v>264.57182434739252</v>
      </c>
    </row>
    <row r="141" spans="1:15" x14ac:dyDescent="0.15">
      <c r="B141" s="3">
        <f>Data!H136</f>
        <v>240.93333333333328</v>
      </c>
      <c r="C141" s="3">
        <f>Data!C136/Data!F136</f>
        <v>50.451060220072407</v>
      </c>
      <c r="D141" s="3"/>
      <c r="E141" s="3">
        <f>Data!G136/Data!F136</f>
        <v>22.786083881999563</v>
      </c>
      <c r="F141" s="3"/>
      <c r="G141" s="3">
        <f t="shared" si="18"/>
        <v>-0.10814818827743267</v>
      </c>
      <c r="H141" s="10">
        <f t="shared" si="19"/>
        <v>-1.6183699935840323</v>
      </c>
      <c r="I141" s="3">
        <f t="shared" si="20"/>
        <v>38.089894904061147</v>
      </c>
      <c r="J141" s="3">
        <f t="shared" si="21"/>
        <v>19.04071198329218</v>
      </c>
      <c r="K141" s="3">
        <f t="shared" si="22"/>
        <v>529.44953916644999</v>
      </c>
      <c r="L141" s="3">
        <f t="shared" si="23"/>
        <v>264.66589656776131</v>
      </c>
    </row>
    <row r="142" spans="1:15" x14ac:dyDescent="0.15">
      <c r="A142" t="str">
        <f>Data!A137</f>
        <v>051421-LS-WM-C-1-To</v>
      </c>
      <c r="B142" s="3">
        <f>Data!H137</f>
        <v>245.2833333333333</v>
      </c>
      <c r="C142" s="3">
        <f>Data!C137/Data!F137</f>
        <v>50.510765662287845</v>
      </c>
      <c r="D142" s="3"/>
      <c r="E142" s="3">
        <f>Data!G137/Data!F137</f>
        <v>22.973588777126032</v>
      </c>
      <c r="F142" s="3"/>
      <c r="G142" s="3">
        <f t="shared" si="18"/>
        <v>-4.7056440374198871E-2</v>
      </c>
      <c r="H142" s="10">
        <f t="shared" si="19"/>
        <v>-1.4307842656008027</v>
      </c>
      <c r="I142" s="3">
        <f t="shared" si="20"/>
        <v>38.144748527923966</v>
      </c>
      <c r="J142" s="3">
        <f t="shared" si="21"/>
        <v>19.197456073372198</v>
      </c>
      <c r="K142" s="3">
        <f t="shared" si="22"/>
        <v>530.21200453814311</v>
      </c>
      <c r="L142" s="3">
        <f t="shared" si="23"/>
        <v>266.84463941987354</v>
      </c>
      <c r="M142" s="3">
        <f>AVERAGE(K142:K144)</f>
        <v>529.26059361474984</v>
      </c>
      <c r="N142" s="3">
        <f>AVERAGE(L142:L144)</f>
        <v>266.70373364070497</v>
      </c>
      <c r="O142" s="4" t="str">
        <f>Data!A137</f>
        <v>051421-LS-WM-C-1-To</v>
      </c>
    </row>
    <row r="143" spans="1:15" x14ac:dyDescent="0.15">
      <c r="B143" s="3">
        <f>Data!H138</f>
        <v>245.5333333333333</v>
      </c>
      <c r="C143" s="3">
        <f>Data!C138/Data!F138</f>
        <v>50.41590394575995</v>
      </c>
      <c r="D143" s="3"/>
      <c r="E143" s="3">
        <f>Data!G138/Data!F138</f>
        <v>22.973118044676347</v>
      </c>
      <c r="F143" s="3"/>
      <c r="G143" s="3">
        <f t="shared" si="18"/>
        <v>-0.14183848416141132</v>
      </c>
      <c r="H143" s="10">
        <f t="shared" si="19"/>
        <v>-1.4312503524840068</v>
      </c>
      <c r="I143" s="3">
        <f t="shared" si="20"/>
        <v>38.059644749471133</v>
      </c>
      <c r="J143" s="3">
        <f t="shared" si="21"/>
        <v>19.197066617494123</v>
      </c>
      <c r="K143" s="3">
        <f t="shared" si="22"/>
        <v>529.02906201764881</v>
      </c>
      <c r="L143" s="3">
        <f t="shared" si="23"/>
        <v>266.83922598316832</v>
      </c>
    </row>
    <row r="144" spans="1:15" x14ac:dyDescent="0.15">
      <c r="B144" s="3">
        <f>Data!H139</f>
        <v>245.66666666666663</v>
      </c>
      <c r="C144" s="3">
        <f>Data!C139/Data!F139</f>
        <v>50.37673309781578</v>
      </c>
      <c r="D144" s="3"/>
      <c r="E144" s="3">
        <f>Data!G139/Data!F139</f>
        <v>22.937652560251561</v>
      </c>
      <c r="F144" s="3"/>
      <c r="G144" s="3">
        <f t="shared" si="18"/>
        <v>-0.18096683997722351</v>
      </c>
      <c r="H144" s="10">
        <f t="shared" si="19"/>
        <v>-1.4667133592733386</v>
      </c>
      <c r="I144" s="3">
        <f t="shared" si="20"/>
        <v>38.024511819313517</v>
      </c>
      <c r="J144" s="3">
        <f t="shared" si="21"/>
        <v>19.167434210005254</v>
      </c>
      <c r="K144" s="3">
        <f t="shared" si="22"/>
        <v>528.54071428845793</v>
      </c>
      <c r="L144" s="3">
        <f t="shared" si="23"/>
        <v>266.42733551907304</v>
      </c>
    </row>
    <row r="145" spans="1:15" x14ac:dyDescent="0.15">
      <c r="A145" t="str">
        <f>Data!A140</f>
        <v>051521-LS-WM-C-1-T1</v>
      </c>
      <c r="B145" s="3">
        <f>Data!H140</f>
        <v>250.11666666666667</v>
      </c>
      <c r="C145" s="3">
        <f>Data!C140/Data!F140</f>
        <v>50.352205734249694</v>
      </c>
      <c r="D145" s="3"/>
      <c r="E145" s="3">
        <f>Data!G140/Data!F140</f>
        <v>22.947864627412866</v>
      </c>
      <c r="F145" s="3"/>
      <c r="G145" s="3">
        <f t="shared" si="18"/>
        <v>-0.20407602875923203</v>
      </c>
      <c r="H145" s="10">
        <f t="shared" si="19"/>
        <v>-1.4564186010286804</v>
      </c>
      <c r="I145" s="3">
        <f t="shared" si="20"/>
        <v>38.003762327070618</v>
      </c>
      <c r="J145" s="3">
        <f t="shared" si="21"/>
        <v>19.17603637036682</v>
      </c>
      <c r="K145" s="3">
        <f t="shared" si="22"/>
        <v>528.25229634628158</v>
      </c>
      <c r="L145" s="3">
        <f t="shared" si="23"/>
        <v>266.54690554809878</v>
      </c>
      <c r="M145" s="3">
        <f>AVERAGE(K145:K147)</f>
        <v>527.68729887024494</v>
      </c>
      <c r="N145" s="3">
        <f>AVERAGE(L145:L147)</f>
        <v>266.37873305139573</v>
      </c>
      <c r="O145" s="4" t="str">
        <f>Data!A140</f>
        <v>051521-LS-WM-C-1-T1</v>
      </c>
    </row>
    <row r="146" spans="1:15" x14ac:dyDescent="0.15">
      <c r="B146" s="3">
        <f>Data!H141</f>
        <v>250.19999999999993</v>
      </c>
      <c r="C146" s="3">
        <f>Data!C141/Data!F141</f>
        <v>50.314460698953937</v>
      </c>
      <c r="D146" s="3"/>
      <c r="E146" s="3">
        <f>Data!G141/Data!F141</f>
        <v>22.930891367466</v>
      </c>
      <c r="F146" s="3"/>
      <c r="G146" s="3">
        <f t="shared" si="18"/>
        <v>-0.24179450647476841</v>
      </c>
      <c r="H146" s="10">
        <f t="shared" si="19"/>
        <v>-1.473390312453386</v>
      </c>
      <c r="I146" s="3">
        <f t="shared" si="20"/>
        <v>37.969895311306665</v>
      </c>
      <c r="J146" s="3">
        <f t="shared" si="21"/>
        <v>19.161855038487435</v>
      </c>
      <c r="K146" s="3">
        <f t="shared" si="22"/>
        <v>527.78154482716263</v>
      </c>
      <c r="L146" s="3">
        <f t="shared" si="23"/>
        <v>266.34978503497535</v>
      </c>
    </row>
    <row r="147" spans="1:15" x14ac:dyDescent="0.15">
      <c r="B147" s="3">
        <f>Data!H142</f>
        <v>250.33333333333326</v>
      </c>
      <c r="C147" s="3">
        <f>Data!C142/Data!F142</f>
        <v>50.254045650165608</v>
      </c>
      <c r="D147" s="3"/>
      <c r="E147" s="3">
        <f>Data!G142/Data!F142</f>
        <v>22.921394290349472</v>
      </c>
      <c r="F147" s="3"/>
      <c r="G147" s="3">
        <f t="shared" si="18"/>
        <v>-0.30216706313473196</v>
      </c>
      <c r="H147" s="10">
        <f t="shared" si="19"/>
        <v>-1.4828849119344589</v>
      </c>
      <c r="I147" s="3">
        <f t="shared" si="20"/>
        <v>37.915687441531716</v>
      </c>
      <c r="J147" s="3">
        <f t="shared" si="21"/>
        <v>19.15392147993618</v>
      </c>
      <c r="K147" s="3">
        <f t="shared" si="22"/>
        <v>527.02805543729085</v>
      </c>
      <c r="L147" s="3">
        <f t="shared" si="23"/>
        <v>266.23950857111294</v>
      </c>
    </row>
    <row r="148" spans="1:15" x14ac:dyDescent="0.15">
      <c r="A148" t="str">
        <f>Data!A143</f>
        <v>051521-LS-WM-C-1-T1</v>
      </c>
      <c r="B148" s="3">
        <f>Data!H143</f>
        <v>255.26666666666665</v>
      </c>
      <c r="C148" s="3">
        <f>Data!C143/Data!F143</f>
        <v>50.363596537279285</v>
      </c>
      <c r="D148" s="3"/>
      <c r="E148" s="3">
        <f>Data!G143/Data!F143</f>
        <v>23.179482909061946</v>
      </c>
      <c r="F148" s="3"/>
      <c r="G148" s="3">
        <f t="shared" si="18"/>
        <v>-0.19104396727167483</v>
      </c>
      <c r="H148" s="10">
        <f t="shared" si="19"/>
        <v>-1.2247046207101029</v>
      </c>
      <c r="I148" s="3">
        <f t="shared" si="20"/>
        <v>38.015463675019078</v>
      </c>
      <c r="J148" s="3">
        <f t="shared" si="21"/>
        <v>19.369653429587345</v>
      </c>
      <c r="K148" s="3">
        <f t="shared" si="22"/>
        <v>528.41494508276514</v>
      </c>
      <c r="L148" s="3">
        <f t="shared" si="23"/>
        <v>269.2381826712641</v>
      </c>
      <c r="M148" s="3">
        <f>AVERAGE(K148:K150)</f>
        <v>528.35281961343833</v>
      </c>
      <c r="N148" s="3">
        <f>AVERAGE(L148:L150)</f>
        <v>269.37227941597143</v>
      </c>
      <c r="O148" s="4" t="str">
        <f>Data!A143</f>
        <v>051521-LS-WM-C-1-T1</v>
      </c>
    </row>
    <row r="149" spans="1:15" x14ac:dyDescent="0.15">
      <c r="B149" s="3">
        <f>Data!H144</f>
        <v>255.39999999999998</v>
      </c>
      <c r="C149" s="3">
        <f>Data!C144/Data!F144</f>
        <v>50.311909989569223</v>
      </c>
      <c r="D149" s="3"/>
      <c r="E149" s="3">
        <f>Data!G144/Data!F144</f>
        <v>23.182905834448331</v>
      </c>
      <c r="F149" s="3"/>
      <c r="G149" s="3">
        <f t="shared" si="18"/>
        <v>-0.24268802285337188</v>
      </c>
      <c r="H149" s="10">
        <f t="shared" si="19"/>
        <v>-1.221279217688263</v>
      </c>
      <c r="I149" s="3">
        <f t="shared" si="20"/>
        <v>37.969093032553324</v>
      </c>
      <c r="J149" s="3">
        <f t="shared" si="21"/>
        <v>19.3725156498937</v>
      </c>
      <c r="K149" s="3">
        <f t="shared" si="22"/>
        <v>527.77039315249124</v>
      </c>
      <c r="L149" s="3">
        <f t="shared" si="23"/>
        <v>269.27796753352243</v>
      </c>
    </row>
    <row r="150" spans="1:15" x14ac:dyDescent="0.15">
      <c r="B150" s="3">
        <f>Data!H145</f>
        <v>255.48333333333335</v>
      </c>
      <c r="C150" s="3">
        <f>Data!C145/Data!F145</f>
        <v>50.400238326570786</v>
      </c>
      <c r="D150" s="3"/>
      <c r="E150" s="3">
        <f>Data!G145/Data!F145</f>
        <v>23.21068992463556</v>
      </c>
      <c r="F150" s="3"/>
      <c r="G150" s="3">
        <f t="shared" si="18"/>
        <v>-0.15433312827158119</v>
      </c>
      <c r="H150" s="10">
        <f t="shared" si="19"/>
        <v>-1.1934935789788739</v>
      </c>
      <c r="I150" s="3">
        <f t="shared" si="20"/>
        <v>38.048425942809963</v>
      </c>
      <c r="J150" s="3">
        <f t="shared" si="21"/>
        <v>19.39573295274301</v>
      </c>
      <c r="K150" s="3">
        <f t="shared" si="22"/>
        <v>528.87312060505849</v>
      </c>
      <c r="L150" s="3">
        <f t="shared" si="23"/>
        <v>269.60068804312783</v>
      </c>
    </row>
    <row r="151" spans="1:15" x14ac:dyDescent="0.15">
      <c r="A151" t="str">
        <f>Data!A146</f>
        <v>051621-LS-WM-C-1-T2</v>
      </c>
      <c r="B151" s="3">
        <f>Data!H146</f>
        <v>260.36666666666667</v>
      </c>
      <c r="C151" s="3">
        <f>Data!C146/Data!F146</f>
        <v>50.541878053532891</v>
      </c>
      <c r="D151" s="3"/>
      <c r="E151" s="3">
        <f>Data!G146/Data!F146</f>
        <v>22.980563834623904</v>
      </c>
      <c r="F151" s="3"/>
      <c r="G151" s="3">
        <f t="shared" si="18"/>
        <v>-1.1137127108227673E-2</v>
      </c>
      <c r="H151" s="10">
        <f t="shared" si="19"/>
        <v>-1.4235289255919419</v>
      </c>
      <c r="I151" s="3">
        <f t="shared" si="20"/>
        <v>38.17700009326505</v>
      </c>
      <c r="J151" s="3">
        <f t="shared" si="21"/>
        <v>19.203518537079521</v>
      </c>
      <c r="K151" s="3">
        <f t="shared" si="22"/>
        <v>530.6603012963842</v>
      </c>
      <c r="L151" s="3">
        <f t="shared" si="23"/>
        <v>266.92890766540535</v>
      </c>
      <c r="M151" s="3">
        <f>AVERAGE(K151:K153)</f>
        <v>529.87889250664068</v>
      </c>
      <c r="N151" s="3">
        <f>AVERAGE(L151:L153)</f>
        <v>266.73822266154826</v>
      </c>
      <c r="O151" s="4" t="str">
        <f>Data!A146</f>
        <v>051621-LS-WM-C-1-T2</v>
      </c>
    </row>
    <row r="152" spans="1:15" x14ac:dyDescent="0.15">
      <c r="B152" s="3">
        <f>Data!H147</f>
        <v>260.58333333333326</v>
      </c>
      <c r="C152" s="3">
        <f>Data!C147/Data!F147</f>
        <v>50.442642032299268</v>
      </c>
      <c r="D152" s="3"/>
      <c r="E152" s="3">
        <f>Data!G147/Data!F147</f>
        <v>22.960709697529897</v>
      </c>
      <c r="F152" s="3"/>
      <c r="G152" s="3">
        <f t="shared" si="18"/>
        <v>-0.1103040986332644</v>
      </c>
      <c r="H152" s="10">
        <f t="shared" si="19"/>
        <v>-1.4433790365283343</v>
      </c>
      <c r="I152" s="3">
        <f t="shared" si="20"/>
        <v>38.087959135323146</v>
      </c>
      <c r="J152" s="3">
        <f t="shared" si="21"/>
        <v>19.186932053607865</v>
      </c>
      <c r="K152" s="3">
        <f t="shared" si="22"/>
        <v>529.4226319809917</v>
      </c>
      <c r="L152" s="3">
        <f t="shared" si="23"/>
        <v>266.69835554514935</v>
      </c>
    </row>
    <row r="153" spans="1:15" x14ac:dyDescent="0.15">
      <c r="B153" s="3">
        <f>Data!H148</f>
        <v>260.66666666666663</v>
      </c>
      <c r="C153" s="3">
        <f>Data!C148/Data!F148</f>
        <v>50.453120708828386</v>
      </c>
      <c r="D153" s="3"/>
      <c r="E153" s="3">
        <f>Data!G148/Data!F148</f>
        <v>22.951155492924773</v>
      </c>
      <c r="F153" s="3"/>
      <c r="G153" s="3">
        <f t="shared" si="18"/>
        <v>-9.9798864523918951E-2</v>
      </c>
      <c r="H153" s="10">
        <f t="shared" si="19"/>
        <v>-1.4529316926112976</v>
      </c>
      <c r="I153" s="3">
        <f t="shared" si="20"/>
        <v>38.097391672125624</v>
      </c>
      <c r="J153" s="3">
        <f t="shared" si="21"/>
        <v>19.17894998374749</v>
      </c>
      <c r="K153" s="3">
        <f t="shared" si="22"/>
        <v>529.55374424254614</v>
      </c>
      <c r="L153" s="3">
        <f t="shared" si="23"/>
        <v>266.58740477409009</v>
      </c>
    </row>
    <row r="154" spans="1:15" x14ac:dyDescent="0.15">
      <c r="A154" t="str">
        <f>Data!A149</f>
        <v>051621-LS-WM-C-1-T2</v>
      </c>
      <c r="B154" s="3">
        <f>Data!H149</f>
        <v>265.68333333333328</v>
      </c>
      <c r="C154" s="3">
        <f>Data!C149/Data!F149</f>
        <v>50.224463838675426</v>
      </c>
      <c r="D154" s="3"/>
      <c r="E154" s="3">
        <f>Data!G149/Data!F149</f>
        <v>22.972433682770578</v>
      </c>
      <c r="F154" s="3"/>
      <c r="G154" s="3">
        <f t="shared" si="18"/>
        <v>-0.32685696834727196</v>
      </c>
      <c r="H154" s="10">
        <f t="shared" si="19"/>
        <v>-1.4315602817314499</v>
      </c>
      <c r="I154" s="3">
        <f t="shared" si="20"/>
        <v>37.893518640994486</v>
      </c>
      <c r="J154" s="3">
        <f t="shared" si="21"/>
        <v>19.196807644818527</v>
      </c>
      <c r="K154" s="3">
        <f t="shared" si="22"/>
        <v>526.71990910982333</v>
      </c>
      <c r="L154" s="3">
        <f t="shared" si="23"/>
        <v>266.83562626297754</v>
      </c>
      <c r="M154" s="3">
        <f>AVERAGE(K154:K156)</f>
        <v>527.34155971803114</v>
      </c>
      <c r="N154" s="3">
        <f>AVERAGE(L154:L156)</f>
        <v>266.95765935503141</v>
      </c>
      <c r="O154" s="4" t="str">
        <f>Data!A149</f>
        <v>051621-LS-WM-C-1-T2</v>
      </c>
    </row>
    <row r="155" spans="1:15" x14ac:dyDescent="0.15">
      <c r="B155" s="3">
        <f>Data!H150</f>
        <v>265.81666666666661</v>
      </c>
      <c r="C155" s="3">
        <f>Data!C150/Data!F150</f>
        <v>50.343091402298185</v>
      </c>
      <c r="D155" s="3"/>
      <c r="E155" s="3">
        <f>Data!G150/Data!F150</f>
        <v>23.013305967088552</v>
      </c>
      <c r="F155" s="3"/>
      <c r="G155" s="3">
        <f t="shared" si="18"/>
        <v>-0.20818691259615463</v>
      </c>
      <c r="H155" s="10">
        <f t="shared" si="19"/>
        <v>-1.390685519778021</v>
      </c>
      <c r="I155" s="3">
        <f t="shared" si="20"/>
        <v>38.000071208654894</v>
      </c>
      <c r="J155" s="3">
        <f t="shared" si="21"/>
        <v>19.23096204152295</v>
      </c>
      <c r="K155" s="3">
        <f t="shared" si="22"/>
        <v>528.20098980030309</v>
      </c>
      <c r="L155" s="3">
        <f t="shared" si="23"/>
        <v>267.31037237716902</v>
      </c>
    </row>
    <row r="156" spans="1:15" x14ac:dyDescent="0.15">
      <c r="B156" s="3">
        <f>Data!H151</f>
        <v>265.89999999999998</v>
      </c>
      <c r="C156" s="3">
        <f>Data!C151/Data!F151</f>
        <v>50.255152065854496</v>
      </c>
      <c r="D156" s="3"/>
      <c r="E156" s="3">
        <f>Data!G151/Data!F151</f>
        <v>22.963075364900586</v>
      </c>
      <c r="F156" s="3"/>
      <c r="G156" s="3">
        <f t="shared" si="18"/>
        <v>-0.29609969145961657</v>
      </c>
      <c r="H156" s="10">
        <f t="shared" si="19"/>
        <v>-1.4409145734438269</v>
      </c>
      <c r="I156" s="3">
        <f t="shared" si="20"/>
        <v>37.921135269350131</v>
      </c>
      <c r="J156" s="3">
        <f t="shared" si="21"/>
        <v>19.188991325535799</v>
      </c>
      <c r="K156" s="3">
        <f t="shared" si="22"/>
        <v>527.10378024396687</v>
      </c>
      <c r="L156" s="3">
        <f t="shared" si="23"/>
        <v>266.72697942494761</v>
      </c>
    </row>
    <row r="157" spans="1:15" x14ac:dyDescent="0.15">
      <c r="A157" t="str">
        <f>Data!A152</f>
        <v>20/0</v>
      </c>
      <c r="B157" s="3">
        <f>Data!H152</f>
        <v>270.83333333333326</v>
      </c>
      <c r="C157" s="3">
        <f>Data!C152/Data!F152</f>
        <v>50.477509776938696</v>
      </c>
      <c r="D157" s="3">
        <f>B$3/C157</f>
        <v>0.75651513255604819</v>
      </c>
      <c r="E157" s="3">
        <f>Data!G152/Data!F152</f>
        <v>24.399409162164446</v>
      </c>
      <c r="F157" s="3">
        <f>C$3/E157</f>
        <v>0.83579892711594495</v>
      </c>
      <c r="G157" s="3">
        <f t="shared" si="18"/>
        <v>-7.2169771626029444E-2</v>
      </c>
      <c r="H157" s="10">
        <f t="shared" si="19"/>
        <v>-4.4891036680851926E-3</v>
      </c>
      <c r="I157" s="3">
        <f t="shared" si="20"/>
        <v>38.122199537696801</v>
      </c>
      <c r="J157" s="3">
        <f t="shared" si="21"/>
        <v>20.389248965860602</v>
      </c>
      <c r="K157" s="3">
        <f t="shared" si="22"/>
        <v>529.89857357398557</v>
      </c>
      <c r="L157" s="3">
        <f t="shared" si="23"/>
        <v>283.41056062546238</v>
      </c>
      <c r="M157" s="3"/>
      <c r="N157" s="3"/>
      <c r="O157" s="4" t="str">
        <f>Data!A152</f>
        <v>20/0</v>
      </c>
    </row>
    <row r="158" spans="1:15" x14ac:dyDescent="0.15">
      <c r="B158" s="3">
        <f>Data!H153</f>
        <v>270.96666666666658</v>
      </c>
      <c r="C158" s="3">
        <f>Data!C153/Data!F153</f>
        <v>50.441874897869077</v>
      </c>
      <c r="D158" s="3">
        <f>B$3/C158</f>
        <v>0.75704957591917765</v>
      </c>
      <c r="E158" s="3">
        <f>Data!G153/Data!F153</f>
        <v>24.342059515821166</v>
      </c>
      <c r="F158" s="3">
        <f>C$3/E158</f>
        <v>0.83776806094593326</v>
      </c>
      <c r="G158" s="3">
        <f t="shared" si="18"/>
        <v>-0.1077621585672901</v>
      </c>
      <c r="H158" s="10">
        <f t="shared" si="19"/>
        <v>-6.1836272375909829E-2</v>
      </c>
      <c r="I158" s="3">
        <f t="shared" si="20"/>
        <v>38.09024151598905</v>
      </c>
      <c r="J158" s="3">
        <f t="shared" si="21"/>
        <v>20.341330449487241</v>
      </c>
      <c r="K158" s="3">
        <f t="shared" si="22"/>
        <v>529.45435707224783</v>
      </c>
      <c r="L158" s="3">
        <f t="shared" si="23"/>
        <v>282.74449324787264</v>
      </c>
    </row>
    <row r="159" spans="1:15" x14ac:dyDescent="0.15">
      <c r="B159" s="3">
        <f>Data!H154</f>
        <v>271.04999999999995</v>
      </c>
      <c r="C159" s="3">
        <f>Data!C154/Data!F154</f>
        <v>50.423412940157135</v>
      </c>
      <c r="D159" s="3">
        <f>B$3/C159</f>
        <v>0.757326760989396</v>
      </c>
      <c r="E159" s="3">
        <f>Data!G154/Data!F154</f>
        <v>24.341021137623546</v>
      </c>
      <c r="F159" s="3">
        <f>C$3/E159</f>
        <v>0.83780379979535247</v>
      </c>
      <c r="G159" s="3">
        <f t="shared" si="18"/>
        <v>-0.12619755869900473</v>
      </c>
      <c r="H159" s="10">
        <f t="shared" si="19"/>
        <v>-6.2873102051369756E-2</v>
      </c>
      <c r="I159" s="3">
        <f t="shared" si="20"/>
        <v>38.073688568344025</v>
      </c>
      <c r="J159" s="3">
        <f t="shared" si="21"/>
        <v>20.340464088672935</v>
      </c>
      <c r="K159" s="3">
        <f t="shared" si="22"/>
        <v>529.22427109998193</v>
      </c>
      <c r="L159" s="3">
        <f t="shared" si="23"/>
        <v>282.73245083255381</v>
      </c>
    </row>
    <row r="160" spans="1:15" x14ac:dyDescent="0.15">
      <c r="A160" t="str">
        <f>Data!A155</f>
        <v>30/0</v>
      </c>
      <c r="B160" s="3">
        <f>Data!H155</f>
        <v>278.56666666666661</v>
      </c>
      <c r="C160" s="3">
        <f>Data!C155/Data!F155</f>
        <v>51.289490397356822</v>
      </c>
      <c r="D160" s="3">
        <f>B$4/C160</f>
        <v>0.75767958891638121</v>
      </c>
      <c r="E160" s="3">
        <f>Data!G155/Data!F155</f>
        <v>24.370925080009073</v>
      </c>
      <c r="F160" s="3">
        <f>C$4/E160</f>
        <v>0.83624236392722162</v>
      </c>
      <c r="G160" s="3">
        <f t="shared" si="18"/>
        <v>0.74227539223707595</v>
      </c>
      <c r="H160" s="10">
        <f t="shared" si="19"/>
        <v>-3.2829482966995727E-2</v>
      </c>
      <c r="I160" s="3">
        <f t="shared" si="20"/>
        <v>38.853481097134306</v>
      </c>
      <c r="J160" s="3">
        <f t="shared" si="21"/>
        <v>20.365568129298627</v>
      </c>
      <c r="K160" s="3">
        <f t="shared" si="22"/>
        <v>540.0633872501669</v>
      </c>
      <c r="L160" s="3">
        <f t="shared" si="23"/>
        <v>283.08139699725092</v>
      </c>
      <c r="M160" s="3"/>
      <c r="N160" s="3"/>
      <c r="O160" s="4" t="str">
        <f>Data!A155</f>
        <v>30/0</v>
      </c>
    </row>
    <row r="161" spans="1:15" x14ac:dyDescent="0.15">
      <c r="B161" s="3">
        <f>Data!H156</f>
        <v>278.64999999999998</v>
      </c>
      <c r="C161" s="3">
        <f>Data!C156/Data!F156</f>
        <v>51.407470590015443</v>
      </c>
      <c r="D161" s="3">
        <f>B$4/C161</f>
        <v>0.75594071355745196</v>
      </c>
      <c r="E161" s="3">
        <f>Data!G156/Data!F156</f>
        <v>24.43468696062456</v>
      </c>
      <c r="F161" s="3">
        <f>C$4/E161</f>
        <v>0.83406020436609174</v>
      </c>
      <c r="G161" s="3">
        <f t="shared" si="18"/>
        <v>0.86028214247592416</v>
      </c>
      <c r="H161" s="10">
        <f t="shared" si="19"/>
        <v>3.0933946170652149E-2</v>
      </c>
      <c r="I161" s="3">
        <f t="shared" si="20"/>
        <v>38.959438089904076</v>
      </c>
      <c r="J161" s="3">
        <f t="shared" si="21"/>
        <v>20.41884798586349</v>
      </c>
      <c r="K161" s="3">
        <f t="shared" si="22"/>
        <v>541.53618944966672</v>
      </c>
      <c r="L161" s="3">
        <f t="shared" si="23"/>
        <v>283.8219870035025</v>
      </c>
    </row>
    <row r="162" spans="1:15" x14ac:dyDescent="0.15">
      <c r="B162" s="3">
        <f>Data!H157</f>
        <v>278.73333333333335</v>
      </c>
      <c r="C162" s="3">
        <f>Data!C157/Data!F157</f>
        <v>51.336332179213187</v>
      </c>
      <c r="D162" s="3">
        <f>B$4/C162</f>
        <v>0.75698824497896966</v>
      </c>
      <c r="E162" s="3">
        <f>Data!G157/Data!F157</f>
        <v>24.386351310854433</v>
      </c>
      <c r="F162" s="3">
        <f>C$4/E162</f>
        <v>0.83571337672515211</v>
      </c>
      <c r="G162" s="3">
        <f t="shared" si="18"/>
        <v>0.78917028925388877</v>
      </c>
      <c r="H162" s="10">
        <f t="shared" si="19"/>
        <v>-1.7400155077314849E-2</v>
      </c>
      <c r="I162" s="3">
        <f t="shared" si="20"/>
        <v>38.895587521165922</v>
      </c>
      <c r="J162" s="3">
        <f t="shared" si="21"/>
        <v>20.378460666415471</v>
      </c>
      <c r="K162" s="3">
        <f t="shared" si="22"/>
        <v>540.64866654420632</v>
      </c>
      <c r="L162" s="3">
        <f t="shared" si="23"/>
        <v>283.26060326317503</v>
      </c>
    </row>
    <row r="163" spans="1:15" x14ac:dyDescent="0.15">
      <c r="A163" t="str">
        <f>Data!A158</f>
        <v>051421-LS-SB-C-1-To</v>
      </c>
      <c r="B163" s="3">
        <f>Data!H158</f>
        <v>283.93333333333328</v>
      </c>
      <c r="C163" s="3">
        <f>Data!C158/Data!F158</f>
        <v>50.376878997951366</v>
      </c>
      <c r="D163" s="3"/>
      <c r="E163" s="3">
        <f>Data!G158/Data!F158</f>
        <v>21.968902309574123</v>
      </c>
      <c r="F163" s="3"/>
      <c r="G163" s="3">
        <f t="shared" si="18"/>
        <v>-0.16862569900182223</v>
      </c>
      <c r="H163" s="10">
        <f t="shared" si="19"/>
        <v>-2.4347525285748333</v>
      </c>
      <c r="I163" s="3">
        <f t="shared" si="20"/>
        <v>38.035592797159737</v>
      </c>
      <c r="J163" s="3">
        <f t="shared" si="21"/>
        <v>18.358553809639481</v>
      </c>
      <c r="K163" s="3">
        <f t="shared" si="22"/>
        <v>528.69473988052039</v>
      </c>
      <c r="L163" s="3">
        <f t="shared" si="23"/>
        <v>255.1838979539888</v>
      </c>
      <c r="M163" s="3">
        <f>AVERAGE(K163:K165)</f>
        <v>528.4625267945172</v>
      </c>
      <c r="N163" s="3">
        <f>AVERAGE(L163:L165)</f>
        <v>255.40619120359904</v>
      </c>
      <c r="O163" s="4" t="str">
        <f>Data!A158</f>
        <v>051421-LS-SB-C-1-To</v>
      </c>
    </row>
    <row r="164" spans="1:15" x14ac:dyDescent="0.15">
      <c r="B164" s="3">
        <f>Data!H159</f>
        <v>284.06666666666661</v>
      </c>
      <c r="C164" s="3">
        <f>Data!C159/Data!F159</f>
        <v>50.37299561571745</v>
      </c>
      <c r="D164" s="3"/>
      <c r="E164" s="3">
        <f>Data!G159/Data!F159</f>
        <v>21.997967384952911</v>
      </c>
      <c r="F164" s="3"/>
      <c r="G164" s="3">
        <f t="shared" si="18"/>
        <v>-0.17246658910737978</v>
      </c>
      <c r="H164" s="10">
        <f t="shared" si="19"/>
        <v>-2.4056849755605896</v>
      </c>
      <c r="I164" s="3">
        <f t="shared" si="20"/>
        <v>38.032144103213668</v>
      </c>
      <c r="J164" s="3">
        <f t="shared" si="21"/>
        <v>18.382842262695345</v>
      </c>
      <c r="K164" s="3">
        <f t="shared" si="22"/>
        <v>528.64680303467003</v>
      </c>
      <c r="L164" s="3">
        <f t="shared" si="23"/>
        <v>255.52150745146531</v>
      </c>
    </row>
    <row r="165" spans="1:15" x14ac:dyDescent="0.15">
      <c r="B165" s="3">
        <f>Data!H160</f>
        <v>284.14999999999998</v>
      </c>
      <c r="C165" s="3">
        <f>Data!C160/Data!F160</f>
        <v>50.324833339600438</v>
      </c>
      <c r="D165" s="3"/>
      <c r="E165" s="3">
        <f>Data!G160/Data!F160</f>
        <v>21.997247842770705</v>
      </c>
      <c r="F165" s="3"/>
      <c r="G165" s="3">
        <f t="shared" si="18"/>
        <v>-0.22060230764416389</v>
      </c>
      <c r="H165" s="10">
        <f t="shared" si="19"/>
        <v>-2.4064029692206361</v>
      </c>
      <c r="I165" s="3">
        <f t="shared" si="20"/>
        <v>37.988923558874916</v>
      </c>
      <c r="J165" s="3">
        <f t="shared" si="21"/>
        <v>18.382242316931148</v>
      </c>
      <c r="K165" s="3">
        <f t="shared" si="22"/>
        <v>528.04603746836131</v>
      </c>
      <c r="L165" s="3">
        <f t="shared" si="23"/>
        <v>255.51316820534296</v>
      </c>
    </row>
    <row r="166" spans="1:15" x14ac:dyDescent="0.15">
      <c r="A166" t="str">
        <f>Data!A161</f>
        <v>051421-LS-SB-C-1-To</v>
      </c>
      <c r="B166" s="3">
        <f>Data!H161</f>
        <v>288.71666666666658</v>
      </c>
      <c r="C166" s="3">
        <f>Data!C161/Data!F161</f>
        <v>50.536315369867864</v>
      </c>
      <c r="D166" s="3"/>
      <c r="E166" s="3">
        <f>Data!G161/Data!F161</f>
        <v>22.10149805900377</v>
      </c>
      <c r="F166" s="3"/>
      <c r="G166" s="3">
        <f t="shared" si="18"/>
        <v>-7.6649219803499591E-3</v>
      </c>
      <c r="H166" s="10">
        <f t="shared" si="19"/>
        <v>-2.3020678939731916</v>
      </c>
      <c r="I166" s="3">
        <f t="shared" si="20"/>
        <v>38.180117748932084</v>
      </c>
      <c r="J166" s="3">
        <f t="shared" si="21"/>
        <v>18.469423290712655</v>
      </c>
      <c r="K166" s="3">
        <f t="shared" si="22"/>
        <v>530.70363671015593</v>
      </c>
      <c r="L166" s="3">
        <f t="shared" si="23"/>
        <v>256.72498374090588</v>
      </c>
      <c r="M166" s="3">
        <f>AVERAGE(K166:K168)</f>
        <v>529.2270482587918</v>
      </c>
      <c r="N166" s="3">
        <f>AVERAGE(L166:L168)</f>
        <v>256.28546472955264</v>
      </c>
      <c r="O166" s="4" t="str">
        <f>Data!A161</f>
        <v>051421-LS-SB-C-1-To</v>
      </c>
    </row>
    <row r="167" spans="1:15" x14ac:dyDescent="0.15">
      <c r="B167" s="3">
        <f>Data!H162</f>
        <v>288.85000000000002</v>
      </c>
      <c r="C167" s="3">
        <f>Data!C162/Data!F162</f>
        <v>50.308366339999075</v>
      </c>
      <c r="D167" s="3"/>
      <c r="E167" s="3">
        <f>Data!G162/Data!F162</f>
        <v>22.010732086057057</v>
      </c>
      <c r="F167" s="3"/>
      <c r="G167" s="3">
        <f t="shared" si="18"/>
        <v>-0.23557145972077365</v>
      </c>
      <c r="H167" s="10">
        <f t="shared" si="19"/>
        <v>-2.3928313892844493</v>
      </c>
      <c r="I167" s="3">
        <f t="shared" si="20"/>
        <v>37.975482918105293</v>
      </c>
      <c r="J167" s="3">
        <f t="shared" si="21"/>
        <v>18.393582545054663</v>
      </c>
      <c r="K167" s="3">
        <f t="shared" si="22"/>
        <v>527.85921256166353</v>
      </c>
      <c r="L167" s="3">
        <f t="shared" si="23"/>
        <v>255.67079737625983</v>
      </c>
    </row>
    <row r="168" spans="1:15" x14ac:dyDescent="0.15">
      <c r="B168" s="3">
        <f>Data!H163</f>
        <v>288.98333333333335</v>
      </c>
      <c r="C168" s="3">
        <f>Data!C163/Data!F163</f>
        <v>50.409206564112147</v>
      </c>
      <c r="D168" s="3"/>
      <c r="E168" s="3">
        <f>Data!G163/Data!F163</f>
        <v>22.078731278292427</v>
      </c>
      <c r="F168" s="3"/>
      <c r="G168" s="3">
        <f t="shared" si="18"/>
        <v>-0.13468874347934445</v>
      </c>
      <c r="H168" s="10">
        <f t="shared" si="19"/>
        <v>-2.3248297194136249</v>
      </c>
      <c r="I168" s="3">
        <f t="shared" si="20"/>
        <v>38.066064424788195</v>
      </c>
      <c r="J168" s="3">
        <f t="shared" si="21"/>
        <v>18.450403818092969</v>
      </c>
      <c r="K168" s="3">
        <f t="shared" si="22"/>
        <v>529.11829550455593</v>
      </c>
      <c r="L168" s="3">
        <f t="shared" si="23"/>
        <v>256.46061307149228</v>
      </c>
    </row>
    <row r="169" spans="1:15" x14ac:dyDescent="0.15">
      <c r="A169" t="str">
        <f>Data!A164</f>
        <v>051521-LS-SB-C-1-T1</v>
      </c>
      <c r="B169" s="3">
        <f>Data!H164</f>
        <v>293.36666666666667</v>
      </c>
      <c r="C169" s="3">
        <f>Data!C164/Data!F164</f>
        <v>50.568609472719061</v>
      </c>
      <c r="D169" s="3"/>
      <c r="E169" s="3">
        <f>Data!G164/Data!F164</f>
        <v>22.027214794338079</v>
      </c>
      <c r="F169" s="3"/>
      <c r="G169" s="3">
        <f t="shared" si="18"/>
        <v>2.6111093847461575E-2</v>
      </c>
      <c r="H169" s="10">
        <f t="shared" si="19"/>
        <v>-2.3762647511023474</v>
      </c>
      <c r="I169" s="3">
        <f t="shared" si="20"/>
        <v>38.210444870538389</v>
      </c>
      <c r="J169" s="3">
        <f t="shared" si="21"/>
        <v>18.407425403226533</v>
      </c>
      <c r="K169" s="3">
        <f t="shared" si="22"/>
        <v>531.1251837004836</v>
      </c>
      <c r="L169" s="3">
        <f t="shared" si="23"/>
        <v>255.86321310484882</v>
      </c>
      <c r="M169" s="3">
        <f>AVERAGE(K169:K171)</f>
        <v>530.52011662714324</v>
      </c>
      <c r="N169" s="3">
        <f>AVERAGE(L169:L171)</f>
        <v>255.4768761316484</v>
      </c>
      <c r="O169" s="4" t="str">
        <f>Data!A164</f>
        <v>051521-LS-SB-C-1-T1</v>
      </c>
    </row>
    <row r="170" spans="1:15" x14ac:dyDescent="0.15">
      <c r="B170" s="3">
        <f>Data!H165</f>
        <v>293.5</v>
      </c>
      <c r="C170" s="3">
        <f>Data!C165/Data!F165</f>
        <v>50.419903898151709</v>
      </c>
      <c r="D170" s="3"/>
      <c r="E170" s="3">
        <f>Data!G165/Data!F165</f>
        <v>21.947218636256871</v>
      </c>
      <c r="F170" s="3"/>
      <c r="G170" s="3">
        <f t="shared" si="18"/>
        <v>-0.12255198859152472</v>
      </c>
      <c r="H170" s="10">
        <f t="shared" si="19"/>
        <v>-2.4562584315481004</v>
      </c>
      <c r="I170" s="3">
        <f t="shared" si="20"/>
        <v>38.076961886563005</v>
      </c>
      <c r="J170" s="3">
        <f t="shared" si="21"/>
        <v>18.340583768799299</v>
      </c>
      <c r="K170" s="3">
        <f t="shared" si="22"/>
        <v>529.26977022322581</v>
      </c>
      <c r="L170" s="3">
        <f t="shared" si="23"/>
        <v>254.93411438631026</v>
      </c>
    </row>
    <row r="171" spans="1:15" x14ac:dyDescent="0.15">
      <c r="B171" s="3">
        <f>Data!H166</f>
        <v>293.63333333333333</v>
      </c>
      <c r="C171" s="3">
        <f>Data!C166/Data!F166</f>
        <v>50.571746453908801</v>
      </c>
      <c r="D171" s="3"/>
      <c r="E171" s="3">
        <f>Data!G166/Data!F166</f>
        <v>22.007414823989201</v>
      </c>
      <c r="F171" s="3"/>
      <c r="G171" s="3">
        <f t="shared" si="18"/>
        <v>2.9333059293925601E-2</v>
      </c>
      <c r="H171" s="10">
        <f t="shared" si="19"/>
        <v>-2.3960597661803114</v>
      </c>
      <c r="I171" s="3">
        <f t="shared" si="20"/>
        <v>38.213337838684915</v>
      </c>
      <c r="J171" s="3">
        <f t="shared" si="21"/>
        <v>18.390884957106916</v>
      </c>
      <c r="K171" s="3">
        <f t="shared" si="22"/>
        <v>531.16539595772031</v>
      </c>
      <c r="L171" s="3">
        <f t="shared" si="23"/>
        <v>255.63330090378614</v>
      </c>
    </row>
    <row r="172" spans="1:15" x14ac:dyDescent="0.15">
      <c r="A172" t="str">
        <f>Data!A167</f>
        <v>051521-LS-SB-C-1-T1</v>
      </c>
      <c r="B172" s="3">
        <f>Data!H167</f>
        <v>297.64999999999998</v>
      </c>
      <c r="C172" s="3">
        <f>Data!C167/Data!F167</f>
        <v>50.512064150038434</v>
      </c>
      <c r="D172" s="3"/>
      <c r="E172" s="3">
        <f>Data!G167/Data!F167</f>
        <v>21.568371419531147</v>
      </c>
      <c r="F172" s="3"/>
      <c r="G172" s="3">
        <f t="shared" si="18"/>
        <v>-2.9069169209542167E-2</v>
      </c>
      <c r="H172" s="10">
        <f t="shared" si="19"/>
        <v>-2.8350285318702468</v>
      </c>
      <c r="I172" s="3">
        <f t="shared" si="20"/>
        <v>38.16089910538571</v>
      </c>
      <c r="J172" s="3">
        <f t="shared" si="21"/>
        <v>18.024088610224016</v>
      </c>
      <c r="K172" s="3">
        <f t="shared" si="22"/>
        <v>530.43649756486138</v>
      </c>
      <c r="L172" s="3">
        <f t="shared" si="23"/>
        <v>250.53483168211383</v>
      </c>
      <c r="M172" s="3">
        <f>AVERAGE(K172:K174)</f>
        <v>531.14644488799433</v>
      </c>
      <c r="N172" s="3">
        <f>AVERAGE(L172:L174)</f>
        <v>251.05948682789312</v>
      </c>
      <c r="O172" s="4" t="str">
        <f>Data!A167</f>
        <v>051521-LS-SB-C-1-T1</v>
      </c>
    </row>
    <row r="173" spans="1:15" x14ac:dyDescent="0.15">
      <c r="B173" s="3">
        <f>Data!H168</f>
        <v>297.81666666666661</v>
      </c>
      <c r="C173" s="3">
        <f>Data!C168/Data!F168</f>
        <v>50.56979648494756</v>
      </c>
      <c r="D173" s="3"/>
      <c r="E173" s="3">
        <f>Data!G168/Data!F168</f>
        <v>21.626631841863734</v>
      </c>
      <c r="F173" s="3"/>
      <c r="G173" s="3">
        <f t="shared" ref="G173:G190" si="24">C173-(G$3+G$4*B173)</f>
        <v>2.8716280860038523E-2</v>
      </c>
      <c r="H173" s="10">
        <f t="shared" ref="H173:H190" si="25">E173-(H$3+H$4*B173)</f>
        <v>-2.776765012493339</v>
      </c>
      <c r="I173" s="3">
        <f t="shared" ref="I173:I190" si="26">G173*(B$7/B$9)+B$3</f>
        <v>38.21278403995791</v>
      </c>
      <c r="J173" s="3">
        <f t="shared" ref="J173:J190" si="27">H173*(C$7)+C$3</f>
        <v>18.07277281678801</v>
      </c>
      <c r="K173" s="3">
        <f t="shared" ref="K173:K190" si="28">I173*D$3</f>
        <v>531.15769815541501</v>
      </c>
      <c r="L173" s="3">
        <f t="shared" ref="L173:L190" si="29">J173*D$3</f>
        <v>251.21154215335335</v>
      </c>
    </row>
    <row r="174" spans="1:15" x14ac:dyDescent="0.15">
      <c r="B174" s="3">
        <f>Data!H169</f>
        <v>297.89999999999998</v>
      </c>
      <c r="C174" s="3">
        <f>Data!C169/Data!F169</f>
        <v>50.624850408259839</v>
      </c>
      <c r="D174" s="3"/>
      <c r="E174" s="3">
        <f>Data!G169/Data!F169</f>
        <v>21.645618766249548</v>
      </c>
      <c r="F174" s="3"/>
      <c r="G174" s="3">
        <f t="shared" si="24"/>
        <v>8.3796761752537918E-2</v>
      </c>
      <c r="H174" s="10">
        <f t="shared" si="25"/>
        <v>-2.7577765395853646</v>
      </c>
      <c r="I174" s="3">
        <f t="shared" si="26"/>
        <v>38.262240211777481</v>
      </c>
      <c r="J174" s="3">
        <f t="shared" si="27"/>
        <v>18.088639327209506</v>
      </c>
      <c r="K174" s="3">
        <f t="shared" si="28"/>
        <v>531.84513894370696</v>
      </c>
      <c r="L174" s="3">
        <f t="shared" si="29"/>
        <v>251.43208664821213</v>
      </c>
    </row>
    <row r="175" spans="1:15" x14ac:dyDescent="0.15">
      <c r="A175" t="str">
        <f>Data!A170</f>
        <v>051621-LS-SB-C-1-T2</v>
      </c>
      <c r="B175" s="3">
        <f>Data!H170</f>
        <v>303.5333333333333</v>
      </c>
      <c r="C175" s="3">
        <f>Data!C170/Data!F170</f>
        <v>50.576400455062569</v>
      </c>
      <c r="D175" s="3"/>
      <c r="E175" s="3">
        <f>Data!G170/Data!F170</f>
        <v>21.828887372013654</v>
      </c>
      <c r="F175" s="3"/>
      <c r="G175" s="3">
        <f t="shared" si="24"/>
        <v>3.7142100978549308E-2</v>
      </c>
      <c r="H175" s="10">
        <f t="shared" si="25"/>
        <v>-2.5744032537232329</v>
      </c>
      <c r="I175" s="3">
        <f t="shared" si="26"/>
        <v>38.220349493286378</v>
      </c>
      <c r="J175" s="3">
        <f t="shared" si="27"/>
        <v>18.241863557786431</v>
      </c>
      <c r="K175" s="3">
        <f t="shared" si="28"/>
        <v>531.2628579566807</v>
      </c>
      <c r="L175" s="3">
        <f t="shared" si="29"/>
        <v>253.56190345323139</v>
      </c>
      <c r="M175" s="3">
        <f>AVERAGE(K175:K177)</f>
        <v>531.35092702940517</v>
      </c>
      <c r="N175" s="3">
        <f>AVERAGE(L175:L177)</f>
        <v>253.63501887257607</v>
      </c>
      <c r="O175" s="4" t="str">
        <f>Data!A170</f>
        <v>051621-LS-SB-C-1-T2</v>
      </c>
    </row>
    <row r="176" spans="1:15" x14ac:dyDescent="0.15">
      <c r="B176" s="3">
        <f>Data!H171</f>
        <v>303.66666666666663</v>
      </c>
      <c r="C176" s="3">
        <f>Data!C171/Data!F171</f>
        <v>50.476782760430183</v>
      </c>
      <c r="D176" s="3"/>
      <c r="E176" s="3">
        <f>Data!G171/Data!F171</f>
        <v>21.792311337798896</v>
      </c>
      <c r="F176" s="3"/>
      <c r="G176" s="3">
        <f t="shared" si="24"/>
        <v>-6.2433101525471102E-2</v>
      </c>
      <c r="H176" s="10">
        <f t="shared" si="25"/>
        <v>-2.6109768103025353</v>
      </c>
      <c r="I176" s="3">
        <f t="shared" si="26"/>
        <v>38.130941989135877</v>
      </c>
      <c r="J176" s="3">
        <f t="shared" si="27"/>
        <v>18.211303189955437</v>
      </c>
      <c r="K176" s="3">
        <f t="shared" si="28"/>
        <v>530.02009364898868</v>
      </c>
      <c r="L176" s="3">
        <f t="shared" si="29"/>
        <v>253.13711434038058</v>
      </c>
    </row>
    <row r="177" spans="1:15" x14ac:dyDescent="0.15">
      <c r="B177" s="3">
        <f>Data!H172</f>
        <v>303.79999999999995</v>
      </c>
      <c r="C177" s="3">
        <f>Data!C172/Data!F172</f>
        <v>50.697060002916302</v>
      </c>
      <c r="D177" s="3"/>
      <c r="E177" s="3">
        <f>Data!G172/Data!F172</f>
        <v>21.884341280256638</v>
      </c>
      <c r="F177" s="3"/>
      <c r="G177" s="3">
        <f t="shared" si="24"/>
        <v>0.15788663308900652</v>
      </c>
      <c r="H177" s="10">
        <f t="shared" si="25"/>
        <v>-2.5189443902093345</v>
      </c>
      <c r="I177" s="3">
        <f t="shared" si="26"/>
        <v>38.328764710974539</v>
      </c>
      <c r="J177" s="3">
        <f t="shared" si="27"/>
        <v>18.288204231950807</v>
      </c>
      <c r="K177" s="3">
        <f t="shared" si="28"/>
        <v>532.76982948254613</v>
      </c>
      <c r="L177" s="3">
        <f t="shared" si="29"/>
        <v>254.20603882411623</v>
      </c>
    </row>
    <row r="178" spans="1:15" x14ac:dyDescent="0.15">
      <c r="A178" t="str">
        <f>Data!A173</f>
        <v>051621-LS-SB-C-1-T2</v>
      </c>
      <c r="B178" s="3">
        <f>Data!H173</f>
        <v>309.71666666666658</v>
      </c>
      <c r="C178" s="3">
        <f>Data!C173/Data!F173</f>
        <v>50.604941811512077</v>
      </c>
      <c r="D178" s="3"/>
      <c r="E178" s="3">
        <f>Data!G173/Data!F173</f>
        <v>21.995029970370975</v>
      </c>
      <c r="F178" s="3"/>
      <c r="G178" s="3">
        <f t="shared" si="24"/>
        <v>6.7654029880834798E-2</v>
      </c>
      <c r="H178" s="10">
        <f t="shared" si="25"/>
        <v>-2.4081457550216285</v>
      </c>
      <c r="I178" s="3">
        <f t="shared" si="26"/>
        <v>38.24774582632282</v>
      </c>
      <c r="J178" s="3">
        <f t="shared" si="27"/>
        <v>18.380786068753217</v>
      </c>
      <c r="K178" s="3">
        <f t="shared" si="28"/>
        <v>531.64366698588719</v>
      </c>
      <c r="L178" s="3">
        <f t="shared" si="29"/>
        <v>255.49292635566971</v>
      </c>
      <c r="M178" s="3">
        <f>AVERAGE(K178:K180)</f>
        <v>531.84966193760272</v>
      </c>
      <c r="N178" s="3">
        <f>AVERAGE(L178:L180)</f>
        <v>255.48894339026575</v>
      </c>
      <c r="O178" s="4" t="str">
        <f>Data!A173</f>
        <v>051621-LS-SB-C-1-T2</v>
      </c>
    </row>
    <row r="179" spans="1:15" x14ac:dyDescent="0.15">
      <c r="B179" s="3">
        <f>Data!H174</f>
        <v>309.81666666666661</v>
      </c>
      <c r="C179" s="3">
        <f>Data!C174/Data!F174</f>
        <v>50.587239110305021</v>
      </c>
      <c r="D179" s="3"/>
      <c r="E179" s="3">
        <f>Data!G174/Data!F174</f>
        <v>21.999073120588104</v>
      </c>
      <c r="F179" s="3"/>
      <c r="G179" s="3">
        <f t="shared" si="24"/>
        <v>4.9983197770053778E-2</v>
      </c>
      <c r="H179" s="10">
        <f t="shared" si="25"/>
        <v>-2.4041007465779067</v>
      </c>
      <c r="I179" s="3">
        <f t="shared" si="26"/>
        <v>38.231879376086638</v>
      </c>
      <c r="J179" s="3">
        <f t="shared" si="27"/>
        <v>18.384166022946395</v>
      </c>
      <c r="K179" s="3">
        <f t="shared" si="28"/>
        <v>531.42312332760434</v>
      </c>
      <c r="L179" s="3">
        <f t="shared" si="29"/>
        <v>255.53990771895491</v>
      </c>
    </row>
    <row r="180" spans="1:15" x14ac:dyDescent="0.15">
      <c r="B180" s="3">
        <f>Data!H175</f>
        <v>309.89999999999998</v>
      </c>
      <c r="C180" s="3">
        <f>Data!C175/Data!F175</f>
        <v>50.672069613160069</v>
      </c>
      <c r="D180" s="3"/>
      <c r="E180" s="3">
        <f>Data!G175/Data!F175</f>
        <v>21.989952777325101</v>
      </c>
      <c r="F180" s="3"/>
      <c r="G180" s="3">
        <f t="shared" si="24"/>
        <v>0.13484025820532253</v>
      </c>
      <c r="H180" s="10">
        <f t="shared" si="25"/>
        <v>-2.4132195413187496</v>
      </c>
      <c r="I180" s="3">
        <f t="shared" si="26"/>
        <v>38.308071618655859</v>
      </c>
      <c r="J180" s="3">
        <f t="shared" si="27"/>
        <v>18.376546481739041</v>
      </c>
      <c r="K180" s="3">
        <f t="shared" si="28"/>
        <v>532.4821954993165</v>
      </c>
      <c r="L180" s="3">
        <f t="shared" si="29"/>
        <v>255.43399609617268</v>
      </c>
    </row>
    <row r="181" spans="1:15" x14ac:dyDescent="0.15">
      <c r="A181" t="str">
        <f>Data!A176</f>
        <v>051421-LS-WM-C-2-To</v>
      </c>
      <c r="B181" s="3">
        <f>Data!H176</f>
        <v>314.56666666666661</v>
      </c>
      <c r="C181" s="3">
        <f>Data!C176/Data!F176</f>
        <v>50.259417728169261</v>
      </c>
      <c r="D181" s="3"/>
      <c r="E181" s="3">
        <f>Data!G176/Data!F176</f>
        <v>22.770007524387477</v>
      </c>
      <c r="F181" s="3"/>
      <c r="G181" s="3">
        <f t="shared" si="24"/>
        <v>-0.27632440229282196</v>
      </c>
      <c r="H181" s="10">
        <f t="shared" si="25"/>
        <v>-1.633078077015405</v>
      </c>
      <c r="I181" s="3">
        <f t="shared" si="26"/>
        <v>37.93889128895939</v>
      </c>
      <c r="J181" s="3">
        <f t="shared" si="27"/>
        <v>19.028422108262468</v>
      </c>
      <c r="K181" s="3">
        <f t="shared" si="28"/>
        <v>527.35058891653557</v>
      </c>
      <c r="L181" s="3">
        <f t="shared" si="29"/>
        <v>264.49506730484831</v>
      </c>
      <c r="M181" s="3">
        <f>AVERAGE(K181:K183)</f>
        <v>527.82233809691922</v>
      </c>
      <c r="N181" s="3">
        <f>AVERAGE(L181:L183)</f>
        <v>265.04440761168036</v>
      </c>
      <c r="O181" s="4" t="str">
        <f>Data!A176</f>
        <v>051421-LS-WM-C-2-To</v>
      </c>
    </row>
    <row r="182" spans="1:15" x14ac:dyDescent="0.15">
      <c r="B182" s="3">
        <f>Data!H177</f>
        <v>314.64999999999998</v>
      </c>
      <c r="C182" s="3">
        <f>Data!C177/Data!F177</f>
        <v>50.345858705523213</v>
      </c>
      <c r="D182" s="3"/>
      <c r="E182" s="3">
        <f>Data!G177/Data!F177</f>
        <v>22.859431674841076</v>
      </c>
      <c r="F182" s="3"/>
      <c r="G182" s="3">
        <f t="shared" si="24"/>
        <v>-0.18985686735864249</v>
      </c>
      <c r="H182" s="10">
        <f t="shared" si="25"/>
        <v>-1.5436523780396456</v>
      </c>
      <c r="I182" s="3">
        <f t="shared" si="26"/>
        <v>38.016529559272712</v>
      </c>
      <c r="J182" s="3">
        <f t="shared" si="27"/>
        <v>19.103145009447029</v>
      </c>
      <c r="K182" s="3">
        <f t="shared" si="28"/>
        <v>528.4297608738907</v>
      </c>
      <c r="L182" s="3">
        <f t="shared" si="29"/>
        <v>265.53371563131373</v>
      </c>
    </row>
    <row r="183" spans="1:15" x14ac:dyDescent="0.15">
      <c r="B183" s="3">
        <f>Data!H178</f>
        <v>314.81666666666661</v>
      </c>
      <c r="C183" s="3">
        <f>Data!C178/Data!F178</f>
        <v>50.286265763366458</v>
      </c>
      <c r="D183" s="3"/>
      <c r="E183" s="3">
        <f>Data!G178/Data!F178</f>
        <v>22.822468731573405</v>
      </c>
      <c r="F183" s="3"/>
      <c r="G183" s="3">
        <f t="shared" si="24"/>
        <v>-0.24939669435494949</v>
      </c>
      <c r="H183" s="10">
        <f t="shared" si="25"/>
        <v>-1.5806122242629961</v>
      </c>
      <c r="I183" s="3">
        <f t="shared" si="26"/>
        <v>37.963069388513055</v>
      </c>
      <c r="J183" s="3">
        <f t="shared" si="27"/>
        <v>19.072261863228707</v>
      </c>
      <c r="K183" s="3">
        <f t="shared" si="28"/>
        <v>527.68666450033152</v>
      </c>
      <c r="L183" s="3">
        <f t="shared" si="29"/>
        <v>265.10443989887904</v>
      </c>
    </row>
    <row r="184" spans="1:15" x14ac:dyDescent="0.15">
      <c r="A184" t="str">
        <f>Data!A179</f>
        <v>051421-LS-WM-C-2-To</v>
      </c>
      <c r="B184" s="3">
        <f>Data!H179</f>
        <v>318.96666666666658</v>
      </c>
      <c r="C184" s="3">
        <f>Data!C179/Data!F179</f>
        <v>50.241666392092988</v>
      </c>
      <c r="D184" s="3"/>
      <c r="E184" s="3">
        <f>Data!G179/Data!F179</f>
        <v>22.757043260047389</v>
      </c>
      <c r="F184" s="3"/>
      <c r="G184" s="3">
        <f t="shared" si="24"/>
        <v>-0.29267349813316201</v>
      </c>
      <c r="H184" s="10">
        <f t="shared" si="25"/>
        <v>-1.6459605793854379</v>
      </c>
      <c r="I184" s="3">
        <f t="shared" si="26"/>
        <v>37.924211611515169</v>
      </c>
      <c r="J184" s="3">
        <f t="shared" si="27"/>
        <v>19.017657664007281</v>
      </c>
      <c r="K184" s="3">
        <f t="shared" si="28"/>
        <v>527.14654140006087</v>
      </c>
      <c r="L184" s="3">
        <f t="shared" si="29"/>
        <v>264.34544152970119</v>
      </c>
      <c r="M184" s="3">
        <f>AVERAGE(K184:K186)</f>
        <v>527.25893130119027</v>
      </c>
      <c r="N184" s="3">
        <f>AVERAGE(L184:L186)</f>
        <v>264.37724533252504</v>
      </c>
      <c r="O184" s="4" t="str">
        <f>Data!A179</f>
        <v>051421-LS-WM-C-2-To</v>
      </c>
    </row>
    <row r="185" spans="1:15" x14ac:dyDescent="0.15">
      <c r="B185" s="3">
        <f>Data!H180</f>
        <v>319.13333333333333</v>
      </c>
      <c r="C185" s="3">
        <f>Data!C180/Data!F180</f>
        <v>50.264403345304594</v>
      </c>
      <c r="D185" s="3"/>
      <c r="E185" s="3">
        <f>Data!G180/Data!F180</f>
        <v>22.7594311486531</v>
      </c>
      <c r="F185" s="3"/>
      <c r="G185" s="3">
        <f t="shared" si="24"/>
        <v>-0.26988342976110147</v>
      </c>
      <c r="H185" s="10">
        <f t="shared" si="25"/>
        <v>-1.6435695937354069</v>
      </c>
      <c r="I185" s="3">
        <f t="shared" si="26"/>
        <v>37.944674568971699</v>
      </c>
      <c r="J185" s="3">
        <f t="shared" si="27"/>
        <v>19.019655539187539</v>
      </c>
      <c r="K185" s="3">
        <f t="shared" si="28"/>
        <v>527.43097650870664</v>
      </c>
      <c r="L185" s="3">
        <f t="shared" si="29"/>
        <v>264.37321199470682</v>
      </c>
    </row>
    <row r="186" spans="1:15" x14ac:dyDescent="0.15">
      <c r="B186" s="3">
        <f>Data!H181</f>
        <v>319.29999999999995</v>
      </c>
      <c r="C186" s="3">
        <f>Data!C181/Data!F181</f>
        <v>50.245785466536567</v>
      </c>
      <c r="D186" s="3"/>
      <c r="E186" s="3">
        <f>Data!G181/Data!F181</f>
        <v>22.762860826027193</v>
      </c>
      <c r="F186" s="3"/>
      <c r="G186" s="3">
        <f t="shared" si="24"/>
        <v>-0.28844819336867289</v>
      </c>
      <c r="H186" s="10">
        <f t="shared" si="25"/>
        <v>-1.640136819316993</v>
      </c>
      <c r="I186" s="3">
        <f t="shared" si="26"/>
        <v>37.928005467252021</v>
      </c>
      <c r="J186" s="3">
        <f t="shared" si="27"/>
        <v>19.02252391893289</v>
      </c>
      <c r="K186" s="3">
        <f t="shared" si="28"/>
        <v>527.19927599480309</v>
      </c>
      <c r="L186" s="3">
        <f t="shared" si="29"/>
        <v>264.41308247316721</v>
      </c>
    </row>
    <row r="187" spans="1:15" x14ac:dyDescent="0.15">
      <c r="A187" t="str">
        <f>Data!A182</f>
        <v>051521-LS-WM-C-2-T1</v>
      </c>
      <c r="B187" s="3">
        <f>Data!H182</f>
        <v>324.01666666666665</v>
      </c>
      <c r="C187" s="3">
        <f>Data!C182/Data!F182</f>
        <v>50.358537181331961</v>
      </c>
      <c r="D187" s="3"/>
      <c r="E187" s="3">
        <f>Data!G182/Data!F182</f>
        <v>22.530013846279154</v>
      </c>
      <c r="F187" s="3"/>
      <c r="G187" s="3">
        <f t="shared" si="24"/>
        <v>-0.17419331953248474</v>
      </c>
      <c r="H187" s="10">
        <f t="shared" si="25"/>
        <v>-1.8728961527107657</v>
      </c>
      <c r="I187" s="3">
        <f t="shared" si="26"/>
        <v>38.030593690522885</v>
      </c>
      <c r="J187" s="3">
        <f t="shared" si="27"/>
        <v>18.828033376860841</v>
      </c>
      <c r="K187" s="3">
        <f t="shared" si="28"/>
        <v>528.62525229826815</v>
      </c>
      <c r="L187" s="3">
        <f t="shared" si="29"/>
        <v>261.70966393836568</v>
      </c>
      <c r="M187" s="3">
        <f>AVERAGE(K187:K189)</f>
        <v>527.71932780097097</v>
      </c>
      <c r="N187" s="3">
        <f>AVERAGE(L187:L189)</f>
        <v>261.2870205722088</v>
      </c>
      <c r="O187" s="4" t="str">
        <f>Data!A182</f>
        <v>051521-LS-WM-C-2-T1</v>
      </c>
    </row>
    <row r="188" spans="1:15" x14ac:dyDescent="0.15">
      <c r="B188" s="3">
        <f>Data!H183</f>
        <v>324.10000000000002</v>
      </c>
      <c r="C188" s="3">
        <f>Data!C183/Data!F183</f>
        <v>50.282854062378277</v>
      </c>
      <c r="D188" s="3"/>
      <c r="E188" s="3">
        <f>Data!G183/Data!F183</f>
        <v>22.490061066039345</v>
      </c>
      <c r="F188" s="3"/>
      <c r="G188" s="3">
        <f t="shared" si="24"/>
        <v>-0.24984988090594129</v>
      </c>
      <c r="H188" s="10">
        <f t="shared" si="25"/>
        <v>-1.9128473844284173</v>
      </c>
      <c r="I188" s="3">
        <f t="shared" si="26"/>
        <v>37.962662477179514</v>
      </c>
      <c r="J188" s="3">
        <f t="shared" si="27"/>
        <v>18.794650669495603</v>
      </c>
      <c r="K188" s="3">
        <f t="shared" si="28"/>
        <v>527.68100843279524</v>
      </c>
      <c r="L188" s="3">
        <f t="shared" si="29"/>
        <v>261.24564430598889</v>
      </c>
    </row>
    <row r="189" spans="1:15" x14ac:dyDescent="0.15">
      <c r="B189" s="3">
        <f>Data!H184</f>
        <v>324.23333333333335</v>
      </c>
      <c r="C189" s="3">
        <f>Data!C184/Data!F184</f>
        <v>50.216365907891593</v>
      </c>
      <c r="D189" s="3"/>
      <c r="E189" s="3">
        <f>Data!G184/Data!F184</f>
        <v>22.460794616560751</v>
      </c>
      <c r="F189" s="3"/>
      <c r="G189" s="3">
        <f t="shared" si="24"/>
        <v>-0.31629554326426756</v>
      </c>
      <c r="H189" s="10">
        <f t="shared" si="25"/>
        <v>-1.9421113562715533</v>
      </c>
      <c r="I189" s="3">
        <f t="shared" si="26"/>
        <v>37.903001631068307</v>
      </c>
      <c r="J189" s="3">
        <f t="shared" si="27"/>
        <v>18.770198091530343</v>
      </c>
      <c r="K189" s="3">
        <f t="shared" si="28"/>
        <v>526.85172267184953</v>
      </c>
      <c r="L189" s="3">
        <f t="shared" si="29"/>
        <v>260.90575347227178</v>
      </c>
    </row>
    <row r="190" spans="1:15" x14ac:dyDescent="0.15">
      <c r="A190" t="str">
        <f>Data!A185</f>
        <v>051521-LS-WM-C-2-T1</v>
      </c>
      <c r="B190" s="3">
        <f>Data!H185</f>
        <v>327.16666666666663</v>
      </c>
      <c r="C190" s="3">
        <f>Data!C185/Data!F185</f>
        <v>50.334578676860936</v>
      </c>
      <c r="D190" s="3"/>
      <c r="E190" s="3">
        <f>Data!G185/Data!F185</f>
        <v>22.59211427134742</v>
      </c>
      <c r="F190" s="3"/>
      <c r="G190" s="3">
        <f t="shared" si="24"/>
        <v>-0.19714794747096676</v>
      </c>
      <c r="H190" s="10">
        <f t="shared" si="25"/>
        <v>-1.8107371935048491</v>
      </c>
      <c r="I190" s="3">
        <f t="shared" si="26"/>
        <v>38.009982976800259</v>
      </c>
      <c r="J190" s="3">
        <f t="shared" si="27"/>
        <v>18.879972560112154</v>
      </c>
      <c r="K190" s="3">
        <f t="shared" si="28"/>
        <v>528.33876337752361</v>
      </c>
      <c r="L190" s="3">
        <f t="shared" si="29"/>
        <v>262.43161858555897</v>
      </c>
      <c r="M190" s="3">
        <f>AVERAGE(K190:K192)</f>
        <v>528.76640601038923</v>
      </c>
      <c r="N190" s="3">
        <f>AVERAGE(L190:L192)</f>
        <v>262.53009238703197</v>
      </c>
      <c r="O190" s="4" t="str">
        <f>Data!A185</f>
        <v>051521-LS-WM-C-2-T1</v>
      </c>
    </row>
    <row r="191" spans="1:15" x14ac:dyDescent="0.15">
      <c r="B191" s="3">
        <f>Data!H186</f>
        <v>327.25</v>
      </c>
      <c r="C191" s="3">
        <f>Data!C186/Data!F186</f>
        <v>50.299860340754094</v>
      </c>
      <c r="D191" s="3"/>
      <c r="E191" s="3">
        <f>Data!G186/Data!F186</f>
        <v>22.589466943090667</v>
      </c>
      <c r="F191" s="3"/>
      <c r="G191" s="3">
        <f t="shared" ref="G191:G228" si="30">C191-(G$3+G$4*B191)</f>
        <v>-0.23183972599758107</v>
      </c>
      <c r="H191" s="10">
        <f t="shared" ref="H191:H228" si="31">E191-(H$3+H$4*B191)</f>
        <v>-1.8133829732394418</v>
      </c>
      <c r="I191" s="3">
        <f t="shared" ref="I191:I228" si="32">G191*(B$7/B$9)+B$3</f>
        <v>37.978833601708793</v>
      </c>
      <c r="J191" s="3">
        <f t="shared" ref="J191:J228" si="33">H191*(C$7)+C$3</f>
        <v>18.877761782450605</v>
      </c>
      <c r="K191" s="3">
        <f t="shared" ref="K191:K228" si="34">I191*D$3</f>
        <v>527.9057870637522</v>
      </c>
      <c r="L191" s="3">
        <f t="shared" ref="L191:L228" si="35">J191*D$3</f>
        <v>262.40088877606343</v>
      </c>
    </row>
    <row r="192" spans="1:15" x14ac:dyDescent="0.15">
      <c r="B192" s="3">
        <f>Data!H187</f>
        <v>327.38333333333333</v>
      </c>
      <c r="C192" s="3">
        <f>Data!C187/Data!F187</f>
        <v>50.471994674290023</v>
      </c>
      <c r="D192" s="3"/>
      <c r="E192" s="3">
        <f>Data!G187/Data!F187</f>
        <v>22.62019126119197</v>
      </c>
      <c r="F192" s="3"/>
      <c r="G192" s="3">
        <f t="shared" si="30"/>
        <v>-5.9662900333293578E-2</v>
      </c>
      <c r="H192" s="10">
        <f t="shared" si="31"/>
        <v>-1.7826561775026804</v>
      </c>
      <c r="I192" s="3">
        <f t="shared" si="32"/>
        <v>38.133429323013786</v>
      </c>
      <c r="J192" s="3">
        <f t="shared" si="33"/>
        <v>18.903436676221116</v>
      </c>
      <c r="K192" s="3">
        <f t="shared" si="34"/>
        <v>530.05466758989166</v>
      </c>
      <c r="L192" s="3">
        <f t="shared" si="35"/>
        <v>262.75776979947352</v>
      </c>
    </row>
    <row r="193" spans="1:15" x14ac:dyDescent="0.15">
      <c r="A193" t="str">
        <f>Data!A188</f>
        <v>051621-LS-WM-C-2-T2</v>
      </c>
      <c r="B193" s="3">
        <f>Data!H188</f>
        <v>331.43333333333328</v>
      </c>
      <c r="C193" s="3">
        <f>Data!C188/Data!F188</f>
        <v>50.307769061536696</v>
      </c>
      <c r="D193" s="3"/>
      <c r="E193" s="3">
        <f>Data!G188/Data!F188</f>
        <v>22.976505772921257</v>
      </c>
      <c r="F193" s="3"/>
      <c r="G193" s="3">
        <f t="shared" si="30"/>
        <v>-0.22259781468763151</v>
      </c>
      <c r="H193" s="10">
        <f t="shared" si="31"/>
        <v>-1.4262664075964118</v>
      </c>
      <c r="I193" s="3">
        <f t="shared" si="32"/>
        <v>37.987131814547169</v>
      </c>
      <c r="J193" s="3">
        <f t="shared" si="33"/>
        <v>19.20123113424502</v>
      </c>
      <c r="K193" s="3">
        <f t="shared" si="34"/>
        <v>528.02113222220567</v>
      </c>
      <c r="L193" s="3">
        <f t="shared" si="35"/>
        <v>266.89711276600576</v>
      </c>
      <c r="M193" s="3">
        <f>AVERAGE(K193:K195)</f>
        <v>528.36495083812599</v>
      </c>
      <c r="N193" s="3">
        <f>AVERAGE(L193:L195)</f>
        <v>266.8757858054982</v>
      </c>
      <c r="O193" s="4" t="str">
        <f>Data!A188</f>
        <v>051621-LS-WM-C-2-T2</v>
      </c>
    </row>
    <row r="194" spans="1:15" x14ac:dyDescent="0.15">
      <c r="B194" s="3">
        <f>Data!H189</f>
        <v>331.65</v>
      </c>
      <c r="C194" s="3">
        <f>Data!C189/Data!F189</f>
        <v>50.38403973396553</v>
      </c>
      <c r="D194" s="3"/>
      <c r="E194" s="3">
        <f>Data!G189/Data!F189</f>
        <v>22.969333589239678</v>
      </c>
      <c r="F194" s="3"/>
      <c r="G194" s="3">
        <f t="shared" si="30"/>
        <v>-0.14625809255021238</v>
      </c>
      <c r="H194" s="10">
        <f t="shared" si="31"/>
        <v>-1.4334345651203719</v>
      </c>
      <c r="I194" s="3">
        <f t="shared" si="32"/>
        <v>38.055676430598275</v>
      </c>
      <c r="J194" s="3">
        <f t="shared" si="33"/>
        <v>19.195241519039623</v>
      </c>
      <c r="K194" s="3">
        <f t="shared" si="34"/>
        <v>528.97390238531602</v>
      </c>
      <c r="L194" s="3">
        <f t="shared" si="35"/>
        <v>266.81385711465077</v>
      </c>
    </row>
    <row r="195" spans="1:15" x14ac:dyDescent="0.15">
      <c r="B195" s="3">
        <f>Data!H190</f>
        <v>331.86666666666667</v>
      </c>
      <c r="C195" s="3">
        <f>Data!C190/Data!F190</f>
        <v>50.313935571074566</v>
      </c>
      <c r="D195" s="3"/>
      <c r="E195" s="3">
        <f>Data!G190/Data!F190</f>
        <v>22.978157242622213</v>
      </c>
      <c r="F195" s="3"/>
      <c r="G195" s="3">
        <f t="shared" si="30"/>
        <v>-0.21629320573258326</v>
      </c>
      <c r="H195" s="10">
        <f t="shared" si="31"/>
        <v>-1.4246068855802214</v>
      </c>
      <c r="I195" s="3">
        <f t="shared" si="32"/>
        <v>37.992792655169538</v>
      </c>
      <c r="J195" s="3">
        <f t="shared" si="33"/>
        <v>19.202617808333674</v>
      </c>
      <c r="K195" s="3">
        <f t="shared" si="34"/>
        <v>528.09981790685663</v>
      </c>
      <c r="L195" s="3">
        <f t="shared" si="35"/>
        <v>266.91638753583806</v>
      </c>
    </row>
    <row r="196" spans="1:15" x14ac:dyDescent="0.15">
      <c r="A196" t="str">
        <f>Data!A191</f>
        <v>051621-LS-WM-C-2-T2</v>
      </c>
      <c r="B196" s="3">
        <f>Data!H191</f>
        <v>335.96666666666658</v>
      </c>
      <c r="C196" s="3">
        <f>Data!C191/Data!F191</f>
        <v>50.39489749463511</v>
      </c>
      <c r="D196" s="3"/>
      <c r="E196" s="3">
        <f>Data!G191/Data!F191</f>
        <v>23.048569558925085</v>
      </c>
      <c r="F196" s="3"/>
      <c r="G196" s="3">
        <f t="shared" si="30"/>
        <v>-0.1340246492249193</v>
      </c>
      <c r="H196" s="10">
        <f t="shared" si="31"/>
        <v>-1.354118381987071</v>
      </c>
      <c r="I196" s="3">
        <f t="shared" si="32"/>
        <v>38.066660707881937</v>
      </c>
      <c r="J196" s="3">
        <f t="shared" si="33"/>
        <v>19.26151704590146</v>
      </c>
      <c r="K196" s="3">
        <f t="shared" si="34"/>
        <v>529.12658383955898</v>
      </c>
      <c r="L196" s="3">
        <f t="shared" si="35"/>
        <v>267.73508693803029</v>
      </c>
      <c r="M196" s="3">
        <f>AVERAGE(K196:K198)</f>
        <v>528.61153072152126</v>
      </c>
      <c r="N196" s="3">
        <f>AVERAGE(L196:L198)</f>
        <v>267.14940515457926</v>
      </c>
      <c r="O196" s="4" t="str">
        <f>Data!A191</f>
        <v>051621-LS-WM-C-2-T2</v>
      </c>
    </row>
    <row r="197" spans="1:15" x14ac:dyDescent="0.15">
      <c r="B197" s="3">
        <f>Data!H192</f>
        <v>336.1</v>
      </c>
      <c r="C197" s="3">
        <f>Data!C192/Data!F192</f>
        <v>50.269126052541424</v>
      </c>
      <c r="D197" s="3"/>
      <c r="E197" s="3">
        <f>Data!G192/Data!F192</f>
        <v>22.942103460089072</v>
      </c>
      <c r="F197" s="3"/>
      <c r="G197" s="3">
        <f t="shared" si="30"/>
        <v>-0.25975359919024044</v>
      </c>
      <c r="H197" s="10">
        <f t="shared" si="31"/>
        <v>-1.4605820031876249</v>
      </c>
      <c r="I197" s="3">
        <f t="shared" si="32"/>
        <v>37.953770034971598</v>
      </c>
      <c r="J197" s="3">
        <f t="shared" si="33"/>
        <v>19.172557487990975</v>
      </c>
      <c r="K197" s="3">
        <f t="shared" si="34"/>
        <v>527.55740348610527</v>
      </c>
      <c r="L197" s="3">
        <f t="shared" si="35"/>
        <v>266.49854908307458</v>
      </c>
    </row>
    <row r="198" spans="1:15" x14ac:dyDescent="0.15">
      <c r="B198" s="3">
        <f>Data!H193</f>
        <v>336.26666666666665</v>
      </c>
      <c r="C198" s="3">
        <f>Data!C193/Data!F193</f>
        <v>50.396726545029885</v>
      </c>
      <c r="D198" s="3"/>
      <c r="E198" s="3">
        <f>Data!G193/Data!F193</f>
        <v>23.003749252047715</v>
      </c>
      <c r="F198" s="3"/>
      <c r="G198" s="3">
        <f t="shared" si="30"/>
        <v>-0.13209999154133101</v>
      </c>
      <c r="H198" s="10">
        <f t="shared" si="31"/>
        <v>-1.3989331141846648</v>
      </c>
      <c r="I198" s="3">
        <f t="shared" si="32"/>
        <v>38.0683888373309</v>
      </c>
      <c r="J198" s="3">
        <f t="shared" si="33"/>
        <v>19.224070463498773</v>
      </c>
      <c r="K198" s="3">
        <f t="shared" si="34"/>
        <v>529.15060483889954</v>
      </c>
      <c r="L198" s="3">
        <f t="shared" si="35"/>
        <v>267.21457944263295</v>
      </c>
    </row>
    <row r="199" spans="1:15" x14ac:dyDescent="0.15">
      <c r="A199" t="str">
        <f>Data!A194</f>
        <v>051421-LS-SB-C-2-To</v>
      </c>
      <c r="B199" s="3">
        <f>Data!H194</f>
        <v>339.66666666666663</v>
      </c>
      <c r="C199" s="3">
        <f>Data!C194/Data!F194</f>
        <v>50.45591445213806</v>
      </c>
      <c r="D199" s="3"/>
      <c r="E199" s="3">
        <f>Data!G194/Data!F194</f>
        <v>21.75165765097919</v>
      </c>
      <c r="F199" s="3"/>
      <c r="G199" s="3">
        <f t="shared" si="30"/>
        <v>-7.1828535159930595E-2</v>
      </c>
      <c r="H199" s="10">
        <f t="shared" si="31"/>
        <v>-2.6509615355490546</v>
      </c>
      <c r="I199" s="3">
        <f t="shared" si="32"/>
        <v>38.122505930252295</v>
      </c>
      <c r="J199" s="3">
        <f t="shared" si="33"/>
        <v>18.177892495851747</v>
      </c>
      <c r="K199" s="3">
        <f t="shared" si="34"/>
        <v>529.90283243050692</v>
      </c>
      <c r="L199" s="3">
        <f t="shared" si="35"/>
        <v>252.67270569233929</v>
      </c>
      <c r="M199" s="3">
        <f>AVERAGE(K199:K201)</f>
        <v>529.69291576726107</v>
      </c>
      <c r="N199" s="3">
        <f>AVERAGE(L199:L201)</f>
        <v>252.66679497792032</v>
      </c>
      <c r="O199" s="4" t="str">
        <f>Data!A194</f>
        <v>051421-LS-SB-C-2-To</v>
      </c>
    </row>
    <row r="200" spans="1:15" x14ac:dyDescent="0.15">
      <c r="B200" s="3">
        <f>Data!H195</f>
        <v>339.79999999999995</v>
      </c>
      <c r="C200" s="3">
        <f>Data!C195/Data!F195</f>
        <v>50.450134036727491</v>
      </c>
      <c r="D200" s="3"/>
      <c r="E200" s="3">
        <f>Data!G195/Data!F195</f>
        <v>21.774105107731124</v>
      </c>
      <c r="F200" s="3"/>
      <c r="G200" s="3">
        <f t="shared" si="30"/>
        <v>-7.756645844214205E-2</v>
      </c>
      <c r="H200" s="10">
        <f t="shared" si="31"/>
        <v>-2.6285116011616623</v>
      </c>
      <c r="I200" s="3">
        <f t="shared" si="32"/>
        <v>38.117353910605146</v>
      </c>
      <c r="J200" s="3">
        <f t="shared" si="33"/>
        <v>18.196651356537686</v>
      </c>
      <c r="K200" s="3">
        <f t="shared" si="34"/>
        <v>529.83121935741156</v>
      </c>
      <c r="L200" s="3">
        <f t="shared" si="35"/>
        <v>252.93345385587384</v>
      </c>
    </row>
    <row r="201" spans="1:15" x14ac:dyDescent="0.15">
      <c r="B201" s="3">
        <f>Data!H196</f>
        <v>339.98333333333335</v>
      </c>
      <c r="C201" s="3">
        <f>Data!C196/Data!F196</f>
        <v>50.411093391182639</v>
      </c>
      <c r="D201" s="3"/>
      <c r="E201" s="3">
        <f>Data!G196/Data!F196</f>
        <v>21.727675127485043</v>
      </c>
      <c r="F201" s="3"/>
      <c r="G201" s="3">
        <f t="shared" si="30"/>
        <v>-0.11654867731049023</v>
      </c>
      <c r="H201" s="10">
        <f t="shared" si="31"/>
        <v>-2.674938174658994</v>
      </c>
      <c r="I201" s="3">
        <f t="shared" si="32"/>
        <v>38.082352195242059</v>
      </c>
      <c r="J201" s="3">
        <f t="shared" si="33"/>
        <v>18.157857941406323</v>
      </c>
      <c r="K201" s="3">
        <f t="shared" si="34"/>
        <v>529.34469551386462</v>
      </c>
      <c r="L201" s="3">
        <f t="shared" si="35"/>
        <v>252.39422538554791</v>
      </c>
    </row>
    <row r="202" spans="1:15" x14ac:dyDescent="0.15">
      <c r="A202" t="str">
        <f>Data!A197</f>
        <v>051421-LS-SB-C-2-To</v>
      </c>
      <c r="B202" s="3">
        <f>Data!H197</f>
        <v>345.51666666666665</v>
      </c>
      <c r="C202" s="3">
        <f>Data!C197/Data!F197</f>
        <v>50.493433287991955</v>
      </c>
      <c r="D202" s="3"/>
      <c r="E202" s="3">
        <f>Data!G197/Data!F197</f>
        <v>21.771242311583251</v>
      </c>
      <c r="F202" s="3"/>
      <c r="G202" s="3">
        <f t="shared" si="30"/>
        <v>-3.2445357174168521E-2</v>
      </c>
      <c r="H202" s="10">
        <f t="shared" si="31"/>
        <v>-2.6312681686893491</v>
      </c>
      <c r="I202" s="3">
        <f t="shared" si="32"/>
        <v>38.15786766249763</v>
      </c>
      <c r="J202" s="3">
        <f t="shared" si="33"/>
        <v>18.194348006098842</v>
      </c>
      <c r="K202" s="3">
        <f t="shared" si="34"/>
        <v>530.39436050871711</v>
      </c>
      <c r="L202" s="3">
        <f t="shared" si="35"/>
        <v>252.90143728477392</v>
      </c>
      <c r="M202" s="3">
        <f>AVERAGE(K202:K204)</f>
        <v>530.03921984869351</v>
      </c>
      <c r="N202" s="3">
        <f>AVERAGE(L202:L204)</f>
        <v>252.58505635177849</v>
      </c>
      <c r="O202" s="4" t="str">
        <f>Data!A197</f>
        <v>051421-LS-SB-C-2-To</v>
      </c>
    </row>
    <row r="203" spans="1:15" x14ac:dyDescent="0.15">
      <c r="B203" s="3">
        <f>Data!H198</f>
        <v>345.65</v>
      </c>
      <c r="C203" s="3">
        <f>Data!C198/Data!F198</f>
        <v>50.411288876134442</v>
      </c>
      <c r="D203" s="3"/>
      <c r="E203" s="3">
        <f>Data!G198/Data!F198</f>
        <v>21.726369408472934</v>
      </c>
      <c r="F203" s="3"/>
      <c r="G203" s="3">
        <f t="shared" si="30"/>
        <v>-0.11454727690331623</v>
      </c>
      <c r="H203" s="10">
        <f t="shared" si="31"/>
        <v>-2.6761385941642111</v>
      </c>
      <c r="I203" s="3">
        <f t="shared" si="32"/>
        <v>38.084149231157745</v>
      </c>
      <c r="J203" s="3">
        <f t="shared" si="33"/>
        <v>18.156854887149038</v>
      </c>
      <c r="K203" s="3">
        <f t="shared" si="34"/>
        <v>529.36967431309267</v>
      </c>
      <c r="L203" s="3">
        <f t="shared" si="35"/>
        <v>252.38028293137162</v>
      </c>
    </row>
    <row r="204" spans="1:15" x14ac:dyDescent="0.15">
      <c r="B204" s="3">
        <f>Data!H199</f>
        <v>345.7833333333333</v>
      </c>
      <c r="C204" s="3">
        <f>Data!C199/Data!F199</f>
        <v>50.490084391213557</v>
      </c>
      <c r="D204" s="3"/>
      <c r="E204" s="3">
        <f>Data!G199/Data!F199</f>
        <v>21.734388343104822</v>
      </c>
      <c r="F204" s="3"/>
      <c r="G204" s="3">
        <f t="shared" si="30"/>
        <v>-3.5709269695843204E-2</v>
      </c>
      <c r="H204" s="10">
        <f t="shared" si="31"/>
        <v>-2.6681171818968679</v>
      </c>
      <c r="I204" s="3">
        <f t="shared" si="32"/>
        <v>38.154937030523101</v>
      </c>
      <c r="J204" s="3">
        <f t="shared" si="33"/>
        <v>18.163557470445323</v>
      </c>
      <c r="K204" s="3">
        <f t="shared" si="34"/>
        <v>530.35362472427107</v>
      </c>
      <c r="L204" s="3">
        <f t="shared" si="35"/>
        <v>252.47344883918998</v>
      </c>
    </row>
    <row r="205" spans="1:15" x14ac:dyDescent="0.15">
      <c r="A205" t="str">
        <f>Data!A200</f>
        <v>051521-LS-SB-C-2-T1</v>
      </c>
      <c r="B205" s="3">
        <f>Data!H200</f>
        <v>349.75</v>
      </c>
      <c r="C205" s="3">
        <f>Data!C200/Data!F200</f>
        <v>50.591250260615752</v>
      </c>
      <c r="D205" s="3"/>
      <c r="E205" s="3">
        <f>Data!G200/Data!F200</f>
        <v>21.684144686547839</v>
      </c>
      <c r="F205" s="3"/>
      <c r="G205" s="3">
        <f t="shared" si="30"/>
        <v>6.6720740525113342E-2</v>
      </c>
      <c r="H205" s="10">
        <f t="shared" si="31"/>
        <v>-2.7182871287990267</v>
      </c>
      <c r="I205" s="3">
        <f t="shared" si="32"/>
        <v>38.24690783584078</v>
      </c>
      <c r="J205" s="3">
        <f t="shared" si="33"/>
        <v>18.121636143268208</v>
      </c>
      <c r="K205" s="3">
        <f t="shared" si="34"/>
        <v>531.63201891818687</v>
      </c>
      <c r="L205" s="3">
        <f t="shared" si="35"/>
        <v>251.89074239142809</v>
      </c>
      <c r="M205" s="3">
        <f>AVERAGE(K205:K207)</f>
        <v>532.19813689763225</v>
      </c>
      <c r="N205" s="3">
        <f>AVERAGE(L205:L207)</f>
        <v>251.91135905892224</v>
      </c>
      <c r="O205" s="4" t="str">
        <f>Data!A200</f>
        <v>051521-LS-SB-C-2-T1</v>
      </c>
    </row>
    <row r="206" spans="1:15" x14ac:dyDescent="0.15">
      <c r="B206" s="3">
        <f>Data!H201</f>
        <v>349.86666666666667</v>
      </c>
      <c r="C206" s="3">
        <f>Data!C201/Data!F201</f>
        <v>50.650334691381872</v>
      </c>
      <c r="D206" s="3"/>
      <c r="E206" s="3">
        <f>Data!G201/Data!F201</f>
        <v>21.68748895879996</v>
      </c>
      <c r="F206" s="3"/>
      <c r="G206" s="3">
        <f t="shared" si="30"/>
        <v>0.12584235190355031</v>
      </c>
      <c r="H206" s="10">
        <f t="shared" si="31"/>
        <v>-2.7149406886158793</v>
      </c>
      <c r="I206" s="3">
        <f t="shared" si="32"/>
        <v>38.299992495291896</v>
      </c>
      <c r="J206" s="3">
        <f t="shared" si="33"/>
        <v>18.124432383297524</v>
      </c>
      <c r="K206" s="3">
        <f t="shared" si="34"/>
        <v>532.36989568455738</v>
      </c>
      <c r="L206" s="3">
        <f t="shared" si="35"/>
        <v>251.92961012783559</v>
      </c>
    </row>
    <row r="207" spans="1:15" x14ac:dyDescent="0.15">
      <c r="B207" s="3">
        <f>Data!H202</f>
        <v>350</v>
      </c>
      <c r="C207" s="3">
        <f>Data!C202/Data!F202</f>
        <v>50.668127826111643</v>
      </c>
      <c r="D207" s="3"/>
      <c r="E207" s="3">
        <f>Data!G202/Data!F202</f>
        <v>21.686118771563628</v>
      </c>
      <c r="F207" s="3"/>
      <c r="G207" s="3">
        <f t="shared" si="30"/>
        <v>0.14367797876168709</v>
      </c>
      <c r="H207" s="10">
        <f t="shared" si="31"/>
        <v>-2.7163083982167571</v>
      </c>
      <c r="I207" s="3">
        <f t="shared" si="32"/>
        <v>38.316006912960603</v>
      </c>
      <c r="J207" s="3">
        <f t="shared" si="33"/>
        <v>18.123289543705258</v>
      </c>
      <c r="K207" s="3">
        <f t="shared" si="34"/>
        <v>532.59249609015239</v>
      </c>
      <c r="L207" s="3">
        <f t="shared" si="35"/>
        <v>251.91372465750311</v>
      </c>
    </row>
    <row r="208" spans="1:15" x14ac:dyDescent="0.15">
      <c r="A208" t="str">
        <f>Data!A203</f>
        <v>051521-LS-SB-C-2-T1</v>
      </c>
      <c r="B208" s="3">
        <f>Data!H203</f>
        <v>353.44999999999993</v>
      </c>
      <c r="C208" s="3">
        <f>Data!C203/Data!F203</f>
        <v>50.668127705677264</v>
      </c>
      <c r="D208" s="3"/>
      <c r="E208" s="3">
        <f>Data!G203/Data!F203</f>
        <v>22.080515277260087</v>
      </c>
      <c r="F208" s="3"/>
      <c r="G208" s="3">
        <f t="shared" si="30"/>
        <v>0.14477734214866445</v>
      </c>
      <c r="H208" s="10">
        <f t="shared" si="31"/>
        <v>-2.3218477837028679</v>
      </c>
      <c r="I208" s="3">
        <f t="shared" si="32"/>
        <v>38.316994019530441</v>
      </c>
      <c r="J208" s="3">
        <f t="shared" si="33"/>
        <v>18.452895483128923</v>
      </c>
      <c r="K208" s="3">
        <f t="shared" si="34"/>
        <v>532.60621687147318</v>
      </c>
      <c r="L208" s="3">
        <f t="shared" si="35"/>
        <v>256.49524721549204</v>
      </c>
      <c r="M208" s="3">
        <f>AVERAGE(K208:K210)</f>
        <v>530.9640908994437</v>
      </c>
      <c r="N208" s="3">
        <f>AVERAGE(L208:L210)</f>
        <v>255.81515279539872</v>
      </c>
      <c r="O208" s="4" t="str">
        <f>Data!A203</f>
        <v>051521-LS-SB-C-2-T1</v>
      </c>
    </row>
    <row r="209" spans="1:15" x14ac:dyDescent="0.15">
      <c r="B209" s="3">
        <f>Data!H204</f>
        <v>353.58333333333326</v>
      </c>
      <c r="C209" s="3">
        <f>Data!C204/Data!F204</f>
        <v>50.459521833125052</v>
      </c>
      <c r="D209" s="3"/>
      <c r="E209" s="3">
        <f>Data!G204/Data!F204</f>
        <v>21.997008036341413</v>
      </c>
      <c r="F209" s="3"/>
      <c r="G209" s="3">
        <f t="shared" si="30"/>
        <v>-6.3786038275182477E-2</v>
      </c>
      <c r="H209" s="10">
        <f t="shared" si="31"/>
        <v>-2.4053525469860872</v>
      </c>
      <c r="I209" s="3">
        <f t="shared" si="32"/>
        <v>38.129727201768908</v>
      </c>
      <c r="J209" s="3">
        <f t="shared" si="33"/>
        <v>18.383120035503474</v>
      </c>
      <c r="K209" s="3">
        <f t="shared" si="34"/>
        <v>530.00320810458788</v>
      </c>
      <c r="L209" s="3">
        <f t="shared" si="35"/>
        <v>255.52536849349829</v>
      </c>
    </row>
    <row r="210" spans="1:15" x14ac:dyDescent="0.15">
      <c r="B210" s="3">
        <f>Data!H205</f>
        <v>353.69999999999993</v>
      </c>
      <c r="C210" s="3">
        <f>Data!C205/Data!F205</f>
        <v>50.481890487140021</v>
      </c>
      <c r="D210" s="3"/>
      <c r="E210" s="3">
        <f>Data!G205/Data!F205</f>
        <v>21.988350781642321</v>
      </c>
      <c r="F210" s="3"/>
      <c r="G210" s="3">
        <f t="shared" si="30"/>
        <v>-4.1380203647896963E-2</v>
      </c>
      <c r="H210" s="10">
        <f t="shared" si="31"/>
        <v>-2.4140076337541529</v>
      </c>
      <c r="I210" s="3">
        <f t="shared" si="32"/>
        <v>38.149845159875532</v>
      </c>
      <c r="J210" s="3">
        <f t="shared" si="33"/>
        <v>18.375887962388905</v>
      </c>
      <c r="K210" s="3">
        <f t="shared" si="34"/>
        <v>530.28284772226993</v>
      </c>
      <c r="L210" s="3">
        <f t="shared" si="35"/>
        <v>255.42484267720579</v>
      </c>
    </row>
    <row r="211" spans="1:15" x14ac:dyDescent="0.15">
      <c r="A211" t="str">
        <f>Data!A206</f>
        <v>051621-LS-SB-C-2-T2</v>
      </c>
      <c r="B211" s="3">
        <f>Data!H206</f>
        <v>357.06666666666661</v>
      </c>
      <c r="C211" s="3">
        <f>Data!C206/Data!F206</f>
        <v>50.57496190204008</v>
      </c>
      <c r="D211" s="3"/>
      <c r="E211" s="3">
        <f>Data!G206/Data!F206</f>
        <v>21.852040215375595</v>
      </c>
      <c r="F211" s="3"/>
      <c r="G211" s="3">
        <f t="shared" si="30"/>
        <v>5.276413749329123E-2</v>
      </c>
      <c r="H211" s="10">
        <f t="shared" si="31"/>
        <v>-2.5502556397256093</v>
      </c>
      <c r="I211" s="3">
        <f t="shared" si="32"/>
        <v>38.234376351976167</v>
      </c>
      <c r="J211" s="3">
        <f t="shared" si="33"/>
        <v>18.262040976529075</v>
      </c>
      <c r="K211" s="3">
        <f t="shared" si="34"/>
        <v>531.45783129246877</v>
      </c>
      <c r="L211" s="3">
        <f t="shared" si="35"/>
        <v>253.84236957375415</v>
      </c>
      <c r="M211" s="3">
        <f>AVERAGE(K211:K213)</f>
        <v>531.03844083977731</v>
      </c>
      <c r="N211" s="3">
        <f>AVERAGE(L211:L213)</f>
        <v>253.53640174729921</v>
      </c>
      <c r="O211" s="4" t="str">
        <f>Data!A206</f>
        <v>051621-LS-SB-C-2-T2</v>
      </c>
    </row>
    <row r="212" spans="1:15" x14ac:dyDescent="0.15">
      <c r="B212" s="3">
        <f>Data!H207</f>
        <v>357.18333333333328</v>
      </c>
      <c r="C212" s="3">
        <f>Data!C207/Data!F207</f>
        <v>50.436923552938715</v>
      </c>
      <c r="D212" s="3"/>
      <c r="E212" s="3">
        <f>Data!G207/Data!F207</f>
        <v>21.77149149349556</v>
      </c>
      <c r="F212" s="3"/>
      <c r="G212" s="3">
        <f t="shared" si="30"/>
        <v>-8.5237030995756413E-2</v>
      </c>
      <c r="H212" s="10">
        <f t="shared" si="31"/>
        <v>-2.6308021936746186</v>
      </c>
      <c r="I212" s="3">
        <f t="shared" si="32"/>
        <v>38.110466585948224</v>
      </c>
      <c r="J212" s="3">
        <f t="shared" si="33"/>
        <v>18.194737368501137</v>
      </c>
      <c r="K212" s="3">
        <f t="shared" si="34"/>
        <v>529.73548554468027</v>
      </c>
      <c r="L212" s="3">
        <f t="shared" si="35"/>
        <v>252.90684942216581</v>
      </c>
    </row>
    <row r="213" spans="1:15" x14ac:dyDescent="0.15">
      <c r="B213" s="3">
        <f>Data!H208</f>
        <v>357.36666666666667</v>
      </c>
      <c r="C213" s="3">
        <f>Data!C208/Data!F208</f>
        <v>50.612057786787943</v>
      </c>
      <c r="D213" s="3"/>
      <c r="E213" s="3">
        <f>Data!G208/Data!F208</f>
        <v>21.853551403576063</v>
      </c>
      <c r="F213" s="3"/>
      <c r="G213" s="3">
        <f t="shared" si="30"/>
        <v>8.9955629529967496E-2</v>
      </c>
      <c r="H213" s="10">
        <f t="shared" si="31"/>
        <v>-2.5487388768453627</v>
      </c>
      <c r="I213" s="3">
        <f t="shared" si="32"/>
        <v>38.267770192962814</v>
      </c>
      <c r="J213" s="3">
        <f t="shared" si="33"/>
        <v>18.263308363019974</v>
      </c>
      <c r="K213" s="3">
        <f t="shared" si="34"/>
        <v>531.92200568218311</v>
      </c>
      <c r="L213" s="3">
        <f t="shared" si="35"/>
        <v>253.85998624597764</v>
      </c>
    </row>
    <row r="214" spans="1:15" x14ac:dyDescent="0.15">
      <c r="A214" t="str">
        <f>Data!A209</f>
        <v>051621-LS-SB-C-2-T2</v>
      </c>
      <c r="B214" s="3">
        <f>Data!H209</f>
        <v>360.16666666666663</v>
      </c>
      <c r="C214" s="3">
        <f>Data!C209/Data!F209</f>
        <v>50.463670283765303</v>
      </c>
      <c r="D214" s="3"/>
      <c r="E214" s="3">
        <f>Data!G209/Data!F209</f>
        <v>21.759953091226276</v>
      </c>
      <c r="F214" s="3"/>
      <c r="G214" s="3">
        <f t="shared" si="30"/>
        <v>-5.7539538797072964E-2</v>
      </c>
      <c r="H214" s="10">
        <f t="shared" si="31"/>
        <v>-2.6422851588505694</v>
      </c>
      <c r="I214" s="3">
        <f t="shared" si="32"/>
        <v>38.135335866516471</v>
      </c>
      <c r="J214" s="3">
        <f t="shared" si="33"/>
        <v>18.18514235854342</v>
      </c>
      <c r="K214" s="3">
        <f t="shared" si="34"/>
        <v>530.08116854457899</v>
      </c>
      <c r="L214" s="3">
        <f t="shared" si="35"/>
        <v>252.77347878375355</v>
      </c>
      <c r="M214" s="3">
        <f>AVERAGE(K214:K216)</f>
        <v>531.03116977849311</v>
      </c>
      <c r="N214" s="3">
        <f>AVERAGE(L214:L216)</f>
        <v>253.27683390913751</v>
      </c>
      <c r="O214" s="4" t="str">
        <f>Data!A209</f>
        <v>051621-LS-SB-C-2-T2</v>
      </c>
    </row>
    <row r="215" spans="1:15" x14ac:dyDescent="0.15">
      <c r="B215" s="3">
        <f>Data!H210</f>
        <v>360.2833333333333</v>
      </c>
      <c r="C215" s="3">
        <f>Data!C210/Data!F210</f>
        <v>50.520194777709669</v>
      </c>
      <c r="D215" s="3"/>
      <c r="E215" s="3">
        <f>Data!G210/Data!F210</f>
        <v>21.78969809090113</v>
      </c>
      <c r="F215" s="3"/>
      <c r="G215" s="3">
        <f t="shared" si="30"/>
        <v>-9.7786424039014719E-4</v>
      </c>
      <c r="H215" s="10">
        <f t="shared" si="31"/>
        <v>-2.6125379912446931</v>
      </c>
      <c r="I215" s="3">
        <f t="shared" si="32"/>
        <v>38.186121986208079</v>
      </c>
      <c r="J215" s="3">
        <f t="shared" si="33"/>
        <v>18.209998688334444</v>
      </c>
      <c r="K215" s="3">
        <f t="shared" si="34"/>
        <v>530.78709560829236</v>
      </c>
      <c r="L215" s="3">
        <f t="shared" si="35"/>
        <v>253.11898176784879</v>
      </c>
    </row>
    <row r="216" spans="1:15" x14ac:dyDescent="0.15">
      <c r="B216" s="3">
        <f>Data!H211</f>
        <v>360.41666666666663</v>
      </c>
      <c r="C216" s="3">
        <f>Data!C211/Data!F211</f>
        <v>50.635382530131487</v>
      </c>
      <c r="D216" s="3"/>
      <c r="E216" s="3">
        <f>Data!G211/Data!F211</f>
        <v>21.860215112689385</v>
      </c>
      <c r="F216" s="3"/>
      <c r="G216" s="3">
        <f t="shared" si="30"/>
        <v>0.11425238030978591</v>
      </c>
      <c r="H216" s="10">
        <f t="shared" si="31"/>
        <v>-2.5420184918209792</v>
      </c>
      <c r="I216" s="3">
        <f t="shared" si="32"/>
        <v>38.289585984360301</v>
      </c>
      <c r="J216" s="3">
        <f t="shared" si="33"/>
        <v>18.268923825597856</v>
      </c>
      <c r="K216" s="3">
        <f t="shared" si="34"/>
        <v>532.22524518260821</v>
      </c>
      <c r="L216" s="3">
        <f t="shared" si="35"/>
        <v>253.93804117581021</v>
      </c>
    </row>
    <row r="217" spans="1:15" x14ac:dyDescent="0.15">
      <c r="A217" t="str">
        <f>Data!A212</f>
        <v>20/0</v>
      </c>
      <c r="B217" s="3">
        <f>Data!H212</f>
        <v>364.51666666666665</v>
      </c>
      <c r="C217" s="3">
        <f>Data!C212/Data!F212</f>
        <v>50.583894697780011</v>
      </c>
      <c r="D217" s="3">
        <f>B$3/C217</f>
        <v>0.75492407668790917</v>
      </c>
      <c r="E217" s="3">
        <f>Data!G212/Data!F212</f>
        <v>24.404374495208572</v>
      </c>
      <c r="F217" s="3">
        <f>C$3/E217</f>
        <v>0.83562887481520398</v>
      </c>
      <c r="G217" s="3">
        <f t="shared" si="30"/>
        <v>6.407118090543662E-2</v>
      </c>
      <c r="H217" s="10">
        <f t="shared" si="31"/>
        <v>2.2170779884866931E-3</v>
      </c>
      <c r="I217" s="3">
        <f t="shared" si="32"/>
        <v>38.244528824734239</v>
      </c>
      <c r="J217" s="3">
        <f t="shared" si="33"/>
        <v>20.394852560296979</v>
      </c>
      <c r="K217" s="3">
        <f t="shared" si="34"/>
        <v>531.59895066380591</v>
      </c>
      <c r="L217" s="3">
        <f t="shared" si="35"/>
        <v>283.48845058812799</v>
      </c>
      <c r="M217" s="3"/>
      <c r="N217" s="3"/>
      <c r="O217" s="4" t="str">
        <f>Data!A212</f>
        <v>20/0</v>
      </c>
    </row>
    <row r="218" spans="1:15" x14ac:dyDescent="0.15">
      <c r="B218" s="3">
        <f>Data!H213</f>
        <v>364.65</v>
      </c>
      <c r="C218" s="3">
        <f>Data!C213/Data!F213</f>
        <v>50.541285333212215</v>
      </c>
      <c r="D218" s="3">
        <f>B$3/C218</f>
        <v>0.75556052340651814</v>
      </c>
      <c r="E218" s="3">
        <f>Data!G213/Data!F213</f>
        <v>24.420387706723641</v>
      </c>
      <c r="F218" s="3">
        <f>C$3/E218</f>
        <v>0.83508092684315638</v>
      </c>
      <c r="G218" s="3">
        <f t="shared" si="30"/>
        <v>2.15043084659996E-2</v>
      </c>
      <c r="H218" s="10">
        <f t="shared" si="31"/>
        <v>1.823276713901123E-2</v>
      </c>
      <c r="I218" s="3">
        <f t="shared" si="32"/>
        <v>38.206308487455495</v>
      </c>
      <c r="J218" s="3">
        <f t="shared" si="33"/>
        <v>20.408235052930578</v>
      </c>
      <c r="K218" s="3">
        <f t="shared" si="34"/>
        <v>531.06768797563143</v>
      </c>
      <c r="L218" s="3">
        <f t="shared" si="35"/>
        <v>283.67446723573505</v>
      </c>
    </row>
    <row r="219" spans="1:15" x14ac:dyDescent="0.15">
      <c r="B219" s="3">
        <f>Data!H214</f>
        <v>364.7833333333333</v>
      </c>
      <c r="C219" s="3">
        <f>Data!C214/Data!F214</f>
        <v>50.638356267355661</v>
      </c>
      <c r="D219" s="3">
        <f>B$3/C219</f>
        <v>0.75411215558387878</v>
      </c>
      <c r="E219" s="3">
        <f>Data!G214/Data!F214</f>
        <v>24.409511930557244</v>
      </c>
      <c r="F219" s="3">
        <f>C$3/E219</f>
        <v>0.83545300119134536</v>
      </c>
      <c r="G219" s="3">
        <f t="shared" si="30"/>
        <v>0.11861773473781057</v>
      </c>
      <c r="H219" s="10">
        <f t="shared" si="31"/>
        <v>7.3594686080689087E-3</v>
      </c>
      <c r="I219" s="3">
        <f t="shared" si="32"/>
        <v>38.293505589184868</v>
      </c>
      <c r="J219" s="3">
        <f t="shared" si="33"/>
        <v>20.399149472152526</v>
      </c>
      <c r="K219" s="3">
        <f t="shared" si="34"/>
        <v>532.2797276896697</v>
      </c>
      <c r="L219" s="3">
        <f t="shared" si="35"/>
        <v>283.54817766292012</v>
      </c>
    </row>
    <row r="220" spans="1:15" x14ac:dyDescent="0.15">
      <c r="A220" t="str">
        <f>Data!A215</f>
        <v>30/0</v>
      </c>
      <c r="B220" s="3">
        <f>Data!H215</f>
        <v>369.93333333333328</v>
      </c>
      <c r="C220" s="3">
        <f>Data!C215/Data!F215</f>
        <v>51.361534623297445</v>
      </c>
      <c r="D220" s="3">
        <f>B$4/C220</f>
        <v>0.75661680058860159</v>
      </c>
      <c r="E220" s="3">
        <f>Data!G215/Data!F215</f>
        <v>24.39298146236759</v>
      </c>
      <c r="F220" s="3">
        <f>C$4/E220</f>
        <v>0.83548622506196546</v>
      </c>
      <c r="G220" s="3">
        <f t="shared" si="30"/>
        <v>0.84343734913756663</v>
      </c>
      <c r="H220" s="10">
        <f t="shared" si="31"/>
        <v>-9.075300912087414E-3</v>
      </c>
      <c r="I220" s="3">
        <f t="shared" si="32"/>
        <v>38.944313331003862</v>
      </c>
      <c r="J220" s="3">
        <f t="shared" si="33"/>
        <v>20.385416801646048</v>
      </c>
      <c r="K220" s="3">
        <f t="shared" si="34"/>
        <v>541.32595530095364</v>
      </c>
      <c r="L220" s="3">
        <f t="shared" si="35"/>
        <v>283.35729354288009</v>
      </c>
      <c r="M220" s="3"/>
      <c r="N220" s="3"/>
      <c r="O220" s="4" t="str">
        <f>Data!A215</f>
        <v>30/0</v>
      </c>
    </row>
    <row r="221" spans="1:15" x14ac:dyDescent="0.15">
      <c r="B221" s="3">
        <f>Data!H216</f>
        <v>370.06666666666661</v>
      </c>
      <c r="C221" s="3">
        <f>Data!C216/Data!F216</f>
        <v>51.26713152649225</v>
      </c>
      <c r="D221" s="3">
        <f>B$4/C221</f>
        <v>0.75801003182552951</v>
      </c>
      <c r="E221" s="3">
        <f>Data!G216/Data!F216</f>
        <v>24.359278262672714</v>
      </c>
      <c r="F221" s="3">
        <f>C$4/E221</f>
        <v>0.83664219359198266</v>
      </c>
      <c r="G221" s="3">
        <f t="shared" si="30"/>
        <v>0.74907674446073003</v>
      </c>
      <c r="H221" s="10">
        <f t="shared" si="31"/>
        <v>-4.2776022971505512E-2</v>
      </c>
      <c r="I221" s="3">
        <f t="shared" si="32"/>
        <v>38.859587958198844</v>
      </c>
      <c r="J221" s="3">
        <f t="shared" si="33"/>
        <v>20.357256935375649</v>
      </c>
      <c r="K221" s="3">
        <f t="shared" si="34"/>
        <v>540.14827261896392</v>
      </c>
      <c r="L221" s="3">
        <f t="shared" si="35"/>
        <v>282.96587140172153</v>
      </c>
    </row>
    <row r="222" spans="1:15" x14ac:dyDescent="0.15">
      <c r="B222" s="3">
        <f>Data!H217</f>
        <v>370.41666666666663</v>
      </c>
      <c r="C222" s="3">
        <f>Data!C217/Data!F217</f>
        <v>51.396685820382828</v>
      </c>
      <c r="D222" s="3">
        <f>B$4/C222</f>
        <v>0.75609933558378495</v>
      </c>
      <c r="E222" s="3">
        <f>Data!G217/Data!F217</f>
        <v>24.422142827717668</v>
      </c>
      <c r="F222" s="3">
        <f>C$4/E222</f>
        <v>0.83448860911868561</v>
      </c>
      <c r="G222" s="3">
        <f t="shared" si="30"/>
        <v>0.87874258018825913</v>
      </c>
      <c r="H222" s="10">
        <f t="shared" si="31"/>
        <v>2.0095045866519001E-2</v>
      </c>
      <c r="I222" s="3">
        <f t="shared" si="32"/>
        <v>38.976013518523658</v>
      </c>
      <c r="J222" s="3">
        <f t="shared" si="33"/>
        <v>20.40979114777722</v>
      </c>
      <c r="K222" s="3">
        <f t="shared" si="34"/>
        <v>541.76658790747888</v>
      </c>
      <c r="L222" s="3">
        <f t="shared" si="35"/>
        <v>283.69609695410338</v>
      </c>
    </row>
    <row r="223" spans="1:15" x14ac:dyDescent="0.15">
      <c r="A223" t="str">
        <f>Data!A218</f>
        <v>20/0</v>
      </c>
      <c r="B223" s="3">
        <f>Data!H218</f>
        <v>374.73333333333335</v>
      </c>
      <c r="C223" s="3">
        <f>Data!C218/Data!F218</f>
        <v>50.61954064981672</v>
      </c>
      <c r="D223" s="3">
        <f>B$3/C223</f>
        <v>0.7543924640520866</v>
      </c>
      <c r="E223" s="3">
        <f>Data!G218/Data!F218</f>
        <v>24.429885206155205</v>
      </c>
      <c r="F223" s="3">
        <f>C$3/E223</f>
        <v>0.83475627609015146</v>
      </c>
      <c r="G223" s="3">
        <f t="shared" si="30"/>
        <v>0.102973092277864</v>
      </c>
      <c r="H223" s="10">
        <f t="shared" si="31"/>
        <v>2.7917637751954771E-2</v>
      </c>
      <c r="I223" s="3">
        <f t="shared" si="32"/>
        <v>38.27945843285984</v>
      </c>
      <c r="J223" s="3">
        <f t="shared" si="33"/>
        <v>20.416327599458981</v>
      </c>
      <c r="K223" s="3">
        <f t="shared" si="34"/>
        <v>532.08447221675181</v>
      </c>
      <c r="L223" s="3">
        <f t="shared" si="35"/>
        <v>283.78695363247982</v>
      </c>
      <c r="M223" s="3"/>
      <c r="N223" s="3"/>
      <c r="O223" s="4" t="str">
        <f>Data!A218</f>
        <v>20/0</v>
      </c>
    </row>
    <row r="224" spans="1:15" x14ac:dyDescent="0.15">
      <c r="B224" s="3">
        <f>Data!H219</f>
        <v>374.86666666666667</v>
      </c>
      <c r="C224" s="3">
        <f>Data!C219/Data!F219</f>
        <v>50.473698427220839</v>
      </c>
      <c r="D224" s="3">
        <f>B$3/C224</f>
        <v>0.75657225822400731</v>
      </c>
      <c r="E224" s="3">
        <f>Data!G219/Data!F219</f>
        <v>24.376543371236874</v>
      </c>
      <c r="F224" s="3">
        <f>C$3/E224</f>
        <v>0.83658292685019242</v>
      </c>
      <c r="G224" s="3">
        <f t="shared" si="30"/>
        <v>-4.282663818965915E-2</v>
      </c>
      <c r="H224" s="10">
        <f t="shared" si="31"/>
        <v>-2.5421719530921649E-2</v>
      </c>
      <c r="I224" s="3">
        <f t="shared" si="32"/>
        <v>38.148546421845943</v>
      </c>
      <c r="J224" s="3">
        <f t="shared" si="33"/>
        <v>20.371757955954411</v>
      </c>
      <c r="K224" s="3">
        <f t="shared" si="34"/>
        <v>530.26479526365858</v>
      </c>
      <c r="L224" s="3">
        <f t="shared" si="35"/>
        <v>283.16743558776631</v>
      </c>
    </row>
    <row r="225" spans="1:15" x14ac:dyDescent="0.15">
      <c r="B225" s="3">
        <f>Data!H220</f>
        <v>374.94999999999993</v>
      </c>
      <c r="C225" s="3">
        <f>Data!C220/Data!F220</f>
        <v>50.430367020354396</v>
      </c>
      <c r="D225" s="3">
        <f>B$3/C225</f>
        <v>0.75722232964489822</v>
      </c>
      <c r="E225" s="3">
        <f>Data!G220/Data!F220</f>
        <v>24.365082753171034</v>
      </c>
      <c r="F225" s="3">
        <f>C$3/E225</f>
        <v>0.83697643084532192</v>
      </c>
      <c r="G225" s="3">
        <f t="shared" si="30"/>
        <v>-8.6131487475874735E-2</v>
      </c>
      <c r="H225" s="10">
        <f t="shared" si="31"/>
        <v>-3.6880789074601239E-2</v>
      </c>
      <c r="I225" s="3">
        <f t="shared" si="32"/>
        <v>38.109663463087834</v>
      </c>
      <c r="J225" s="3">
        <f t="shared" si="33"/>
        <v>20.362182912862924</v>
      </c>
      <c r="K225" s="3">
        <f t="shared" si="34"/>
        <v>529.72432213692093</v>
      </c>
      <c r="L225" s="3">
        <f t="shared" si="35"/>
        <v>283.03434248879466</v>
      </c>
    </row>
    <row r="226" spans="1:15" x14ac:dyDescent="0.15">
      <c r="A226" t="str">
        <f>Data!A221</f>
        <v>30/0</v>
      </c>
      <c r="B226" s="3">
        <f>Data!H221</f>
        <v>380.5333333333333</v>
      </c>
      <c r="C226" s="3">
        <f>Data!C221/Data!F221</f>
        <v>51.381916642857171</v>
      </c>
      <c r="D226" s="3">
        <f>B$4/C226</f>
        <v>0.75631666817945065</v>
      </c>
      <c r="E226" s="3">
        <f>Data!G221/Data!F221</f>
        <v>24.405604071929211</v>
      </c>
      <c r="F226" s="3">
        <f>C$4/E226</f>
        <v>0.83505411052048606</v>
      </c>
      <c r="G226" s="3">
        <f t="shared" si="30"/>
        <v>0.86719749290204362</v>
      </c>
      <c r="H226" s="10">
        <f t="shared" si="31"/>
        <v>3.7442806683074537E-3</v>
      </c>
      <c r="I226" s="3">
        <f t="shared" si="32"/>
        <v>38.965647308729423</v>
      </c>
      <c r="J226" s="3">
        <f t="shared" si="33"/>
        <v>20.396128670142808</v>
      </c>
      <c r="K226" s="3">
        <f t="shared" si="34"/>
        <v>541.62249759133897</v>
      </c>
      <c r="L226" s="3">
        <f t="shared" si="35"/>
        <v>283.50618851498501</v>
      </c>
      <c r="M226" s="3"/>
      <c r="N226" s="3"/>
      <c r="O226" s="4" t="str">
        <f>Data!A221</f>
        <v>30/0</v>
      </c>
    </row>
    <row r="227" spans="1:15" x14ac:dyDescent="0.15">
      <c r="B227" s="3">
        <f>Data!H222</f>
        <v>380.63333333333333</v>
      </c>
      <c r="C227" s="3">
        <f>Data!C222/Data!F222</f>
        <v>51.355546100403103</v>
      </c>
      <c r="D227" s="3">
        <f>B$4/C227</f>
        <v>0.75670502897631475</v>
      </c>
      <c r="E227" s="3">
        <f>Data!G222/Data!F222</f>
        <v>24.402710728185525</v>
      </c>
      <c r="F227" s="3">
        <f>C$4/E227</f>
        <v>0.83515311995485686</v>
      </c>
      <c r="G227" s="3">
        <f t="shared" si="30"/>
        <v>0.8408588195442519</v>
      </c>
      <c r="H227" s="10">
        <f t="shared" si="31"/>
        <v>8.5279515121428062E-4</v>
      </c>
      <c r="I227" s="3">
        <f t="shared" si="32"/>
        <v>38.941998096994595</v>
      </c>
      <c r="J227" s="3">
        <f t="shared" si="33"/>
        <v>20.393712584061905</v>
      </c>
      <c r="K227" s="3">
        <f t="shared" si="34"/>
        <v>541.29377354822486</v>
      </c>
      <c r="L227" s="3">
        <f t="shared" si="35"/>
        <v>283.47260491846049</v>
      </c>
    </row>
    <row r="228" spans="1:15" x14ac:dyDescent="0.15">
      <c r="B228" s="3">
        <f>Data!H223</f>
        <v>380.71666666666658</v>
      </c>
      <c r="C228" s="3">
        <f>Data!C223/Data!F223</f>
        <v>51.377303450522042</v>
      </c>
      <c r="D228" s="3">
        <f>B$4/C228</f>
        <v>0.7563845782101889</v>
      </c>
      <c r="E228" s="3">
        <f>Data!G223/Data!F223</f>
        <v>24.42806749565521</v>
      </c>
      <c r="F228" s="3">
        <f>C$4/E228</f>
        <v>0.83428621619883758</v>
      </c>
      <c r="G228" s="3">
        <f t="shared" si="30"/>
        <v>0.8626427272434114</v>
      </c>
      <c r="H228" s="10">
        <f t="shared" si="31"/>
        <v>2.6211111143059185E-2</v>
      </c>
      <c r="I228" s="3">
        <f t="shared" si="32"/>
        <v>38.961557633596577</v>
      </c>
      <c r="J228" s="3">
        <f t="shared" si="33"/>
        <v>20.414901648970183</v>
      </c>
      <c r="K228" s="3">
        <f t="shared" si="34"/>
        <v>541.56565110699239</v>
      </c>
      <c r="L228" s="3">
        <f t="shared" si="35"/>
        <v>283.76713292068553</v>
      </c>
    </row>
    <row r="229" spans="1:15" x14ac:dyDescent="0.1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1:15" x14ac:dyDescent="0.1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1:15" x14ac:dyDescent="0.1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1:15" x14ac:dyDescent="0.1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1:15" x14ac:dyDescent="0.1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1:15" x14ac:dyDescent="0.1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1:15" x14ac:dyDescent="0.1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1:15" x14ac:dyDescent="0.1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1:15" x14ac:dyDescent="0.1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1:15" x14ac:dyDescent="0.1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1:15" x14ac:dyDescent="0.1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1:15" x14ac:dyDescent="0.1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1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1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1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1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1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1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1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1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1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1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1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1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1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1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1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1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1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1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1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1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1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1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1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1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1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1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1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1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1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1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1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1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1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1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1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1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1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1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1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1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1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1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1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1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1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1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1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1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1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1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1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1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1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1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1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1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1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1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1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1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1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1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1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1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1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1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1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1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1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1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1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1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1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1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1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1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1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1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1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1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1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1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1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1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1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1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1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1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1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1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1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1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1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1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1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1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1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1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1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1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1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1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1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1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1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1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1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1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1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1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1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1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1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1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1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1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1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1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1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1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1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1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1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1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1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1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1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1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1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1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1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1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1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1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1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1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1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1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1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1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1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1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1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1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1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1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1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1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1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1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1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1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1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1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1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1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1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1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1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1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1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1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1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1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1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1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1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1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1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1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1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1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1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1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1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1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1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1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1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1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1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1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1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1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1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1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1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1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1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1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1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1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1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1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1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1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1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1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1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1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1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1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1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1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  <row r="445" spans="2:14" x14ac:dyDescent="0.15"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</row>
    <row r="446" spans="2:14" x14ac:dyDescent="0.15"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</row>
    <row r="447" spans="2:14" x14ac:dyDescent="0.15"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</row>
    <row r="448" spans="2:14" x14ac:dyDescent="0.15"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</row>
    <row r="449" spans="2:14" x14ac:dyDescent="0.15"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</row>
    <row r="450" spans="2:14" x14ac:dyDescent="0.15"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</row>
    <row r="451" spans="2:14" x14ac:dyDescent="0.15"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</row>
    <row r="452" spans="2:14" x14ac:dyDescent="0.15"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</row>
    <row r="453" spans="2:14" x14ac:dyDescent="0.15"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</row>
    <row r="454" spans="2:14" x14ac:dyDescent="0.15"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</row>
    <row r="455" spans="2:14" x14ac:dyDescent="0.15"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</row>
    <row r="456" spans="2:14" x14ac:dyDescent="0.15"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</row>
    <row r="457" spans="2:14" x14ac:dyDescent="0.15"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</row>
    <row r="458" spans="2:14" x14ac:dyDescent="0.15"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</row>
    <row r="459" spans="2:14" x14ac:dyDescent="0.15"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</row>
    <row r="460" spans="2:14" x14ac:dyDescent="0.15"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</row>
    <row r="461" spans="2:14" x14ac:dyDescent="0.15"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</row>
    <row r="462" spans="2:14" x14ac:dyDescent="0.15"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</row>
    <row r="463" spans="2:14" x14ac:dyDescent="0.15"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</row>
    <row r="464" spans="2:14" x14ac:dyDescent="0.15"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</row>
    <row r="465" spans="2:14" x14ac:dyDescent="0.15"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</row>
    <row r="466" spans="2:14" x14ac:dyDescent="0.15"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</row>
    <row r="467" spans="2:14" x14ac:dyDescent="0.15"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</row>
    <row r="468" spans="2:14" x14ac:dyDescent="0.15"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</row>
    <row r="469" spans="2:14" x14ac:dyDescent="0.15"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</row>
    <row r="470" spans="2:14" x14ac:dyDescent="0.15"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</row>
    <row r="471" spans="2:14" x14ac:dyDescent="0.15"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</row>
    <row r="472" spans="2:14" x14ac:dyDescent="0.15"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</row>
    <row r="473" spans="2:14" x14ac:dyDescent="0.15"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</row>
    <row r="474" spans="2:14" x14ac:dyDescent="0.15"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</row>
    <row r="475" spans="2:14" x14ac:dyDescent="0.15"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</row>
    <row r="476" spans="2:14" x14ac:dyDescent="0.15"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</row>
    <row r="477" spans="2:14" x14ac:dyDescent="0.15"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</row>
    <row r="478" spans="2:14" x14ac:dyDescent="0.15"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</row>
    <row r="479" spans="2:14" x14ac:dyDescent="0.15"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</row>
    <row r="480" spans="2:14" x14ac:dyDescent="0.15"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</row>
    <row r="481" spans="2:14" x14ac:dyDescent="0.15"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</row>
    <row r="482" spans="2:14" x14ac:dyDescent="0.15"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</row>
    <row r="483" spans="2:14" x14ac:dyDescent="0.15"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</row>
    <row r="484" spans="2:14" x14ac:dyDescent="0.15"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</row>
    <row r="485" spans="2:14" x14ac:dyDescent="0.15"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</row>
    <row r="486" spans="2:14" x14ac:dyDescent="0.15"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</row>
    <row r="487" spans="2:14" x14ac:dyDescent="0.15"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</row>
    <row r="488" spans="2:14" x14ac:dyDescent="0.15"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</row>
    <row r="489" spans="2:14" x14ac:dyDescent="0.15"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</row>
    <row r="490" spans="2:14" x14ac:dyDescent="0.15"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</row>
    <row r="491" spans="2:14" x14ac:dyDescent="0.15"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</row>
    <row r="492" spans="2:14" x14ac:dyDescent="0.15"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</row>
    <row r="493" spans="2:14" x14ac:dyDescent="0.15"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</row>
    <row r="494" spans="2:14" x14ac:dyDescent="0.15"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</row>
    <row r="495" spans="2:14" x14ac:dyDescent="0.15"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</row>
    <row r="496" spans="2:14" x14ac:dyDescent="0.15"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</row>
    <row r="497" spans="2:14" x14ac:dyDescent="0.15"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</row>
    <row r="498" spans="2:14" x14ac:dyDescent="0.15"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</row>
    <row r="499" spans="2:14" x14ac:dyDescent="0.15"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</row>
    <row r="500" spans="2:14" x14ac:dyDescent="0.15"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</row>
    <row r="501" spans="2:14" x14ac:dyDescent="0.15"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</row>
    <row r="502" spans="2:14" x14ac:dyDescent="0.15"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</row>
    <row r="503" spans="2:14" x14ac:dyDescent="0.15"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</row>
    <row r="504" spans="2:14" x14ac:dyDescent="0.15"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</row>
    <row r="505" spans="2:14" x14ac:dyDescent="0.15"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</row>
    <row r="506" spans="2:14" x14ac:dyDescent="0.15"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</row>
    <row r="507" spans="2:14" x14ac:dyDescent="0.15"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</row>
    <row r="508" spans="2:14" x14ac:dyDescent="0.15"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</row>
    <row r="509" spans="2:14" x14ac:dyDescent="0.15"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</row>
    <row r="510" spans="2:14" x14ac:dyDescent="0.15"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</row>
    <row r="511" spans="2:14" x14ac:dyDescent="0.15"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</row>
    <row r="512" spans="2:14" x14ac:dyDescent="0.15"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</row>
    <row r="513" spans="2:14" x14ac:dyDescent="0.15"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</row>
    <row r="514" spans="2:14" x14ac:dyDescent="0.15"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</row>
    <row r="515" spans="2:14" x14ac:dyDescent="0.15"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</row>
    <row r="516" spans="2:14" x14ac:dyDescent="0.15"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</row>
    <row r="517" spans="2:14" x14ac:dyDescent="0.15"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</row>
    <row r="518" spans="2:14" x14ac:dyDescent="0.15"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</row>
    <row r="519" spans="2:14" x14ac:dyDescent="0.15"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</row>
    <row r="520" spans="2:14" x14ac:dyDescent="0.15"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</row>
    <row r="521" spans="2:14" x14ac:dyDescent="0.15"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</row>
    <row r="522" spans="2:14" x14ac:dyDescent="0.15"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</row>
    <row r="523" spans="2:14" x14ac:dyDescent="0.15"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</row>
    <row r="524" spans="2:14" x14ac:dyDescent="0.15"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</row>
    <row r="525" spans="2:14" x14ac:dyDescent="0.15"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</row>
    <row r="526" spans="2:14" x14ac:dyDescent="0.15"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</row>
    <row r="527" spans="2:14" x14ac:dyDescent="0.15"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</row>
    <row r="528" spans="2:14" x14ac:dyDescent="0.15"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</row>
    <row r="529" spans="2:14" x14ac:dyDescent="0.15"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</row>
    <row r="530" spans="2:14" x14ac:dyDescent="0.15"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</row>
    <row r="531" spans="2:14" x14ac:dyDescent="0.15"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</row>
    <row r="532" spans="2:14" x14ac:dyDescent="0.15"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</row>
    <row r="533" spans="2:14" x14ac:dyDescent="0.15"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</row>
    <row r="534" spans="2:14" x14ac:dyDescent="0.15"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</row>
    <row r="535" spans="2:14" x14ac:dyDescent="0.15"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</row>
    <row r="536" spans="2:14" x14ac:dyDescent="0.15"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</row>
    <row r="537" spans="2:14" x14ac:dyDescent="0.15"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</row>
    <row r="538" spans="2:14" x14ac:dyDescent="0.15"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</row>
    <row r="539" spans="2:14" x14ac:dyDescent="0.15"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</row>
    <row r="540" spans="2:14" x14ac:dyDescent="0.15"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</row>
    <row r="541" spans="2:14" x14ac:dyDescent="0.15"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</row>
    <row r="542" spans="2:14" x14ac:dyDescent="0.15"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</row>
    <row r="543" spans="2:14" x14ac:dyDescent="0.15"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</row>
    <row r="544" spans="2:14" x14ac:dyDescent="0.15"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</row>
    <row r="545" spans="2:14" x14ac:dyDescent="0.15"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</row>
    <row r="546" spans="2:14" x14ac:dyDescent="0.15"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</row>
    <row r="547" spans="2:14" x14ac:dyDescent="0.15"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</row>
    <row r="548" spans="2:14" x14ac:dyDescent="0.15"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</row>
    <row r="549" spans="2:14" x14ac:dyDescent="0.15"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</row>
    <row r="550" spans="2:14" x14ac:dyDescent="0.15"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</row>
    <row r="551" spans="2:14" x14ac:dyDescent="0.15"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</row>
    <row r="552" spans="2:14" x14ac:dyDescent="0.15"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</row>
    <row r="553" spans="2:14" x14ac:dyDescent="0.15"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</row>
    <row r="554" spans="2:14" x14ac:dyDescent="0.15"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</row>
    <row r="555" spans="2:14" x14ac:dyDescent="0.15"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</row>
    <row r="556" spans="2:14" x14ac:dyDescent="0.15"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</row>
    <row r="557" spans="2:14" x14ac:dyDescent="0.15"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</row>
    <row r="558" spans="2:14" x14ac:dyDescent="0.15"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</row>
    <row r="559" spans="2:14" x14ac:dyDescent="0.15"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</row>
    <row r="560" spans="2:14" x14ac:dyDescent="0.15"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</row>
    <row r="561" spans="2:14" x14ac:dyDescent="0.15"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</row>
    <row r="562" spans="2:14" x14ac:dyDescent="0.15"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</row>
    <row r="563" spans="2:14" x14ac:dyDescent="0.15"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</row>
    <row r="564" spans="2:14" x14ac:dyDescent="0.15"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</row>
    <row r="565" spans="2:14" x14ac:dyDescent="0.15"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</row>
    <row r="566" spans="2:14" x14ac:dyDescent="0.15"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</row>
    <row r="567" spans="2:14" x14ac:dyDescent="0.15"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</row>
    <row r="568" spans="2:14" x14ac:dyDescent="0.15"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</row>
    <row r="569" spans="2:14" x14ac:dyDescent="0.15"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</row>
    <row r="570" spans="2:14" x14ac:dyDescent="0.15"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</row>
    <row r="571" spans="2:14" x14ac:dyDescent="0.15"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</row>
    <row r="572" spans="2:14" x14ac:dyDescent="0.15"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</row>
    <row r="573" spans="2:14" x14ac:dyDescent="0.15"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</row>
    <row r="574" spans="2:14" x14ac:dyDescent="0.15"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</row>
    <row r="575" spans="2:14" x14ac:dyDescent="0.15"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</row>
    <row r="576" spans="2:14" x14ac:dyDescent="0.15"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</row>
    <row r="577" spans="2:14" x14ac:dyDescent="0.15"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</row>
    <row r="578" spans="2:14" x14ac:dyDescent="0.15"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</row>
    <row r="579" spans="2:14" x14ac:dyDescent="0.15"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</row>
    <row r="580" spans="2:14" x14ac:dyDescent="0.15"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</row>
    <row r="581" spans="2:14" x14ac:dyDescent="0.15"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</row>
    <row r="582" spans="2:14" x14ac:dyDescent="0.15"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</row>
    <row r="583" spans="2:14" x14ac:dyDescent="0.15"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</row>
    <row r="584" spans="2:14" x14ac:dyDescent="0.15"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</row>
    <row r="585" spans="2:14" x14ac:dyDescent="0.15"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</row>
    <row r="586" spans="2:14" x14ac:dyDescent="0.15"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</row>
    <row r="587" spans="2:14" x14ac:dyDescent="0.15"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</row>
    <row r="588" spans="2:14" x14ac:dyDescent="0.15"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</row>
    <row r="589" spans="2:14" x14ac:dyDescent="0.15"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</row>
    <row r="590" spans="2:14" x14ac:dyDescent="0.15"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</row>
    <row r="591" spans="2:14" x14ac:dyDescent="0.15"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</row>
    <row r="592" spans="2:14" x14ac:dyDescent="0.15"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</row>
    <row r="593" spans="2:14" x14ac:dyDescent="0.15"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</row>
    <row r="594" spans="2:14" x14ac:dyDescent="0.15"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</row>
    <row r="595" spans="2:14" x14ac:dyDescent="0.15"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</row>
    <row r="596" spans="2:14" x14ac:dyDescent="0.15"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</row>
    <row r="597" spans="2:14" x14ac:dyDescent="0.15"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</row>
    <row r="598" spans="2:14" x14ac:dyDescent="0.15"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</row>
    <row r="599" spans="2:14" x14ac:dyDescent="0.15"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</row>
    <row r="600" spans="2:14" x14ac:dyDescent="0.15"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</row>
    <row r="601" spans="2:14" x14ac:dyDescent="0.15"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</row>
    <row r="602" spans="2:14" x14ac:dyDescent="0.15"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</row>
    <row r="603" spans="2:14" x14ac:dyDescent="0.15"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</row>
    <row r="604" spans="2:14" x14ac:dyDescent="0.15"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</row>
    <row r="605" spans="2:14" x14ac:dyDescent="0.15"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</row>
    <row r="606" spans="2:14" x14ac:dyDescent="0.15"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</row>
    <row r="607" spans="2:14" x14ac:dyDescent="0.15"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</row>
    <row r="608" spans="2:14" x14ac:dyDescent="0.15"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</row>
    <row r="609" spans="2:14" x14ac:dyDescent="0.15"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</row>
    <row r="610" spans="2:14" x14ac:dyDescent="0.15"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</row>
    <row r="611" spans="2:14" x14ac:dyDescent="0.15"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</row>
    <row r="612" spans="2:14" x14ac:dyDescent="0.15"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</row>
    <row r="613" spans="2:14" x14ac:dyDescent="0.15"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</row>
    <row r="614" spans="2:14" x14ac:dyDescent="0.15"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</row>
    <row r="615" spans="2:14" x14ac:dyDescent="0.15"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</row>
    <row r="616" spans="2:14" x14ac:dyDescent="0.15"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</row>
    <row r="617" spans="2:14" x14ac:dyDescent="0.15"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</row>
    <row r="618" spans="2:14" x14ac:dyDescent="0.15"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</row>
    <row r="619" spans="2:14" x14ac:dyDescent="0.15"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</row>
    <row r="620" spans="2:14" x14ac:dyDescent="0.15"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</row>
    <row r="621" spans="2:14" x14ac:dyDescent="0.15"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</row>
    <row r="622" spans="2:14" x14ac:dyDescent="0.15"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</row>
    <row r="623" spans="2:14" x14ac:dyDescent="0.15"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</row>
    <row r="624" spans="2:14" x14ac:dyDescent="0.15"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baseColWidth="10" defaultColWidth="8.83203125" defaultRowHeight="13" x14ac:dyDescent="0.15"/>
  <cols>
    <col min="1" max="1" width="25.5" customWidth="1"/>
    <col min="3" max="3" width="12.1640625" customWidth="1"/>
    <col min="5" max="5" width="12.6640625" customWidth="1"/>
    <col min="6" max="6" width="9.33203125" customWidth="1"/>
    <col min="9" max="9" width="12.5" bestFit="1" customWidth="1"/>
  </cols>
  <sheetData>
    <row r="1" spans="1:13" x14ac:dyDescent="0.15">
      <c r="A1">
        <v>531.20000000000005</v>
      </c>
      <c r="B1" s="16" t="s">
        <v>72</v>
      </c>
    </row>
    <row r="2" spans="1:13" x14ac:dyDescent="0.15">
      <c r="A2" s="2">
        <f>AVERAGE(Data!C8:C10,Data!C14:C16,Data!C56:C58,Data!C86:C88,Data!C92:C94,Data!C152:C154,Data!C212:C214,Data!C218:C220)</f>
        <v>5.921952083333333E-8</v>
      </c>
      <c r="B2" s="16" t="s">
        <v>73</v>
      </c>
    </row>
    <row r="4" spans="1:13" x14ac:dyDescent="0.15">
      <c r="C4" s="4" t="s">
        <v>54</v>
      </c>
      <c r="D4" s="4" t="s">
        <v>55</v>
      </c>
      <c r="F4" t="s">
        <v>56</v>
      </c>
    </row>
    <row r="5" spans="1:13" x14ac:dyDescent="0.1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4" thickBot="1" x14ac:dyDescent="0.2"/>
    <row r="7" spans="1:13" x14ac:dyDescent="0.15">
      <c r="A7" t="str">
        <f>Data!A8</f>
        <v>20/0</v>
      </c>
      <c r="B7" s="2">
        <f>Data!C8*Data!G8</f>
        <v>1.8775519171944E-15</v>
      </c>
      <c r="C7" s="11">
        <f>SQRT(B7)</f>
        <v>4.3330727171308815E-8</v>
      </c>
      <c r="D7" s="2">
        <f>Data!E8</f>
        <v>1.1340010000000001E-11</v>
      </c>
      <c r="E7" s="11">
        <f>D7-(C7*I$22+I$21)</f>
        <v>4.8318880682107693E-14</v>
      </c>
      <c r="F7" s="3">
        <f>A$1*E7/A$2</f>
        <v>4.3342109252407593E-4</v>
      </c>
      <c r="H7" s="14" t="s">
        <v>10</v>
      </c>
      <c r="I7" s="14"/>
    </row>
    <row r="8" spans="1:13" x14ac:dyDescent="0.15">
      <c r="B8" s="2">
        <f>Data!C9*Data!G9</f>
        <v>1.8805594048864001E-15</v>
      </c>
      <c r="C8" s="11">
        <f t="shared" ref="C8:C30" si="0">SQRT(B8)</f>
        <v>4.3365417153376956E-8</v>
      </c>
      <c r="D8" s="2">
        <f>Data!E9</f>
        <v>1.1507380000000001E-11</v>
      </c>
      <c r="E8" s="11">
        <f t="shared" ref="E8:E30" si="1">D8-(C8*I$22+I$21)</f>
        <v>2.0966595560582355E-13</v>
      </c>
      <c r="F8" s="3">
        <f t="shared" ref="F8:F30" si="2">A$1*E8/A$2</f>
        <v>1.8807068015843057E-3</v>
      </c>
      <c r="H8" t="s">
        <v>11</v>
      </c>
      <c r="I8">
        <v>0.92521334467124927</v>
      </c>
    </row>
    <row r="9" spans="1:13" x14ac:dyDescent="0.15">
      <c r="B9" s="2">
        <f>Data!C10*Data!G10</f>
        <v>1.8759939709354995E-15</v>
      </c>
      <c r="C9" s="11">
        <f t="shared" si="0"/>
        <v>4.3312746056276549E-8</v>
      </c>
      <c r="D9" s="2">
        <f>Data!E10</f>
        <v>1.144119E-11</v>
      </c>
      <c r="E9" s="11">
        <f t="shared" si="1"/>
        <v>1.5262078799282866E-13</v>
      </c>
      <c r="F9" s="3">
        <f t="shared" si="2"/>
        <v>1.3690107829470463E-3</v>
      </c>
      <c r="H9" t="s">
        <v>12</v>
      </c>
      <c r="I9">
        <v>0.85601973315775981</v>
      </c>
    </row>
    <row r="10" spans="1:13" x14ac:dyDescent="0.15">
      <c r="A10" t="str">
        <f>Data!A11</f>
        <v>30/0</v>
      </c>
      <c r="B10" s="2">
        <f>Data!C11*Data!G11</f>
        <v>1.324871554365E-15</v>
      </c>
      <c r="C10" s="11">
        <f t="shared" si="0"/>
        <v>3.6398785067155745E-8</v>
      </c>
      <c r="D10" s="2">
        <f>Data!E11</f>
        <v>1.067302E-11</v>
      </c>
      <c r="E10" s="11">
        <f t="shared" si="1"/>
        <v>5.8486273793327539E-13</v>
      </c>
      <c r="F10" s="3">
        <f t="shared" si="2"/>
        <v>5.2462276293070188E-3</v>
      </c>
      <c r="H10" t="s">
        <v>13</v>
      </c>
      <c r="I10">
        <v>0.85288972735684165</v>
      </c>
    </row>
    <row r="11" spans="1:13" x14ac:dyDescent="0.15">
      <c r="B11" s="2">
        <f>Data!C12*Data!G12</f>
        <v>1.3248727126395001E-15</v>
      </c>
      <c r="C11" s="11">
        <f t="shared" si="0"/>
        <v>3.6398800978047341E-8</v>
      </c>
      <c r="D11" s="2">
        <f>Data!E12</f>
        <v>1.037504E-11</v>
      </c>
      <c r="E11" s="11">
        <f t="shared" si="1"/>
        <v>2.8687997546116538E-13</v>
      </c>
      <c r="F11" s="3">
        <f t="shared" si="2"/>
        <v>2.573317730716825E-3</v>
      </c>
      <c r="H11" t="s">
        <v>14</v>
      </c>
      <c r="I11">
        <v>2.4535243676254516E-13</v>
      </c>
    </row>
    <row r="12" spans="1:13" ht="14" thickBot="1" x14ac:dyDescent="0.2">
      <c r="B12" s="2">
        <f>Data!C13*Data!G13</f>
        <v>1.322760601266E-15</v>
      </c>
      <c r="C12" s="11">
        <f t="shared" si="0"/>
        <v>3.6369775930929243E-8</v>
      </c>
      <c r="D12" s="2">
        <f>Data!E13</f>
        <v>1.0317779999999999E-11</v>
      </c>
      <c r="E12" s="11">
        <f t="shared" si="1"/>
        <v>2.34659346302708E-13</v>
      </c>
      <c r="F12" s="3">
        <f t="shared" si="2"/>
        <v>2.10489789518586E-3</v>
      </c>
      <c r="H12" s="5" t="s">
        <v>15</v>
      </c>
      <c r="I12" s="5">
        <v>48</v>
      </c>
    </row>
    <row r="13" spans="1:13" x14ac:dyDescent="0.15">
      <c r="A13" t="str">
        <f>Data!A14</f>
        <v>20/0</v>
      </c>
      <c r="B13" s="2">
        <f>Data!C14*Data!G14</f>
        <v>1.8583397412852001E-15</v>
      </c>
      <c r="C13" s="11">
        <f t="shared" si="0"/>
        <v>4.3108464844914161E-8</v>
      </c>
      <c r="D13" s="2">
        <f>Data!E14</f>
        <v>1.131205E-11</v>
      </c>
      <c r="E13" s="11">
        <f t="shared" si="1"/>
        <v>5.894838864223479E-14</v>
      </c>
      <c r="F13" s="3">
        <f t="shared" si="2"/>
        <v>5.2876794013384737E-4</v>
      </c>
    </row>
    <row r="14" spans="1:13" ht="14" thickBot="1" x14ac:dyDescent="0.2">
      <c r="B14" s="2">
        <f>Data!C15*Data!G15</f>
        <v>1.8603025167408001E-15</v>
      </c>
      <c r="C14" s="11">
        <f t="shared" si="0"/>
        <v>4.31312243825839E-8</v>
      </c>
      <c r="D14" s="2">
        <f>Data!E15</f>
        <v>1.1409809999999999E-11</v>
      </c>
      <c r="E14" s="11">
        <f t="shared" si="1"/>
        <v>1.5275684465220388E-13</v>
      </c>
      <c r="F14" s="3">
        <f t="shared" si="2"/>
        <v>1.3702312132450815E-3</v>
      </c>
      <c r="H14" t="s">
        <v>16</v>
      </c>
    </row>
    <row r="15" spans="1:13" x14ac:dyDescent="0.15">
      <c r="B15" s="2">
        <f>Data!C16*Data!G16</f>
        <v>1.8599037948100003E-15</v>
      </c>
      <c r="C15" s="11">
        <f t="shared" si="0"/>
        <v>4.3126601939058453E-8</v>
      </c>
      <c r="D15" s="2">
        <f>Data!E16</f>
        <v>1.137642E-11</v>
      </c>
      <c r="E15" s="11">
        <f t="shared" si="1"/>
        <v>1.2016940001151382E-13</v>
      </c>
      <c r="F15" s="3">
        <f t="shared" si="2"/>
        <v>1.0779213405959448E-3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15">
      <c r="A16" t="str">
        <f>Data!A17</f>
        <v>30/0</v>
      </c>
      <c r="B16" s="2">
        <f>Data!C17*Data!G17</f>
        <v>1.3113419237575999E-15</v>
      </c>
      <c r="C16" s="11">
        <f t="shared" si="0"/>
        <v>3.621245536769911E-8</v>
      </c>
      <c r="D16" s="2">
        <f>Data!E17</f>
        <v>1.021252E-11</v>
      </c>
      <c r="E16" s="11">
        <f t="shared" si="1"/>
        <v>1.5671357100978704E-13</v>
      </c>
      <c r="F16" s="3">
        <f t="shared" si="2"/>
        <v>1.405723108680431E-3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15">
      <c r="B17" s="2">
        <f>Data!C18*Data!G18</f>
        <v>1.3109617524327999E-15</v>
      </c>
      <c r="C17" s="11">
        <f t="shared" si="0"/>
        <v>3.6207205808137138E-8</v>
      </c>
      <c r="D17" s="2">
        <f>Data!E18</f>
        <v>1.027509E-11</v>
      </c>
      <c r="E17" s="11">
        <f t="shared" si="1"/>
        <v>2.2019500716628545E-13</v>
      </c>
      <c r="F17" s="3">
        <f t="shared" si="2"/>
        <v>1.9751525537655555E-3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4" thickBot="1" x14ac:dyDescent="0.2">
      <c r="B18" s="2">
        <f>Data!C19*Data!G19</f>
        <v>1.3080608862285E-15</v>
      </c>
      <c r="C18" s="11">
        <f t="shared" si="0"/>
        <v>3.6167124384287177E-8</v>
      </c>
      <c r="D18" s="2">
        <f>Data!E19</f>
        <v>1.0445889999999999E-11</v>
      </c>
      <c r="E18" s="11">
        <f t="shared" si="1"/>
        <v>3.9795400219617243E-13</v>
      </c>
      <c r="F18" s="3">
        <f t="shared" si="2"/>
        <v>3.5696534350818047E-3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4" thickBot="1" x14ac:dyDescent="0.2">
      <c r="A19" t="str">
        <f>Data!A56</f>
        <v>20/0</v>
      </c>
      <c r="B19" s="2">
        <f>Data!C56*Data!G56</f>
        <v>1.675506532375E-15</v>
      </c>
      <c r="C19" s="11">
        <f t="shared" si="0"/>
        <v>4.0932951669467962E-8</v>
      </c>
      <c r="D19" s="2">
        <f>Data!E56</f>
        <v>1.096884E-11</v>
      </c>
      <c r="E19" s="11">
        <f t="shared" si="1"/>
        <v>9.3454146247427441E-14</v>
      </c>
      <c r="F19" s="3">
        <f t="shared" si="2"/>
        <v>8.3828510916776318E-4</v>
      </c>
    </row>
    <row r="20" spans="1:16" x14ac:dyDescent="0.15">
      <c r="B20" s="2">
        <f>Data!C57*Data!G57</f>
        <v>1.6727243847615E-15</v>
      </c>
      <c r="C20" s="11">
        <f t="shared" si="0"/>
        <v>4.0898953345550296E-8</v>
      </c>
      <c r="D20" s="2">
        <f>Data!E57</f>
        <v>1.133998E-11</v>
      </c>
      <c r="E20" s="11">
        <f t="shared" si="1"/>
        <v>4.7049698463094257E-13</v>
      </c>
      <c r="F20" s="3">
        <f t="shared" si="2"/>
        <v>4.2203650877107044E-3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15">
      <c r="B21" s="2">
        <f>Data!C58*Data!G58</f>
        <v>1.6759673760171E-15</v>
      </c>
      <c r="C21" s="11">
        <f t="shared" si="0"/>
        <v>4.0938580532513585E-8</v>
      </c>
      <c r="D21" s="2">
        <f>Data!E58</f>
        <v>1.1204920000000001E-11</v>
      </c>
      <c r="E21" s="11">
        <f t="shared" si="1"/>
        <v>3.2855685486913341E-13</v>
      </c>
      <c r="F21" s="3">
        <f t="shared" si="2"/>
        <v>2.9471599710790808E-3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4" thickBot="1" x14ac:dyDescent="0.2">
      <c r="A22" t="str">
        <f>Data!A59</f>
        <v>30/0</v>
      </c>
      <c r="B22" s="2">
        <f>Data!C59*Data!G59</f>
        <v>1.1974746095615999E-15</v>
      </c>
      <c r="C22" s="11">
        <f t="shared" si="0"/>
        <v>3.4604546082293869E-8</v>
      </c>
      <c r="D22" s="2">
        <f>Data!E59</f>
        <v>1.00296E-11</v>
      </c>
      <c r="E22" s="11">
        <f t="shared" si="1"/>
        <v>2.5296111674193284E-13</v>
      </c>
      <c r="F22" s="3">
        <f t="shared" si="2"/>
        <v>2.2690650535908971E-3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15">
      <c r="B23" s="2">
        <f>Data!C60*Data!G60</f>
        <v>1.1981711063166001E-15</v>
      </c>
      <c r="C23" s="11">
        <f t="shared" si="0"/>
        <v>3.4614608279115339E-8</v>
      </c>
      <c r="D23" s="2">
        <f>Data!E60</f>
        <v>1.006122E-11</v>
      </c>
      <c r="E23" s="11">
        <f t="shared" si="1"/>
        <v>2.8283410351374759E-13</v>
      </c>
      <c r="F23" s="3">
        <f t="shared" si="2"/>
        <v>2.537026197988674E-3</v>
      </c>
    </row>
    <row r="24" spans="1:16" x14ac:dyDescent="0.15">
      <c r="B24" s="2">
        <f>Data!C61*Data!G61</f>
        <v>1.2001427343359999E-15</v>
      </c>
      <c r="C24" s="11">
        <f t="shared" si="0"/>
        <v>3.4643076282801443E-8</v>
      </c>
      <c r="D24" s="2">
        <f>Data!E61</f>
        <v>1.0127060000000001E-11</v>
      </c>
      <c r="E24" s="11">
        <f t="shared" si="1"/>
        <v>3.4373144736201058E-13</v>
      </c>
      <c r="F24" s="3">
        <f t="shared" si="2"/>
        <v>3.0832762958785064E-3</v>
      </c>
    </row>
    <row r="25" spans="1:16" x14ac:dyDescent="0.15">
      <c r="A25" t="str">
        <f>Data!A86</f>
        <v>20/0</v>
      </c>
      <c r="B25" s="2">
        <f>Data!C86*Data!G86</f>
        <v>1.6296126769183999E-15</v>
      </c>
      <c r="C25" s="11">
        <f t="shared" si="0"/>
        <v>4.0368461413811646E-8</v>
      </c>
      <c r="D25" s="2">
        <f>Data!E86</f>
        <v>1.085515E-11</v>
      </c>
      <c r="E25" s="11">
        <f t="shared" si="1"/>
        <v>7.7771764395840397E-14</v>
      </c>
      <c r="F25" s="3">
        <f t="shared" si="2"/>
        <v>6.9761390611956168E-4</v>
      </c>
    </row>
    <row r="26" spans="1:16" x14ac:dyDescent="0.15">
      <c r="B26" s="2">
        <f>Data!C87*Data!G87</f>
        <v>1.6297320544227999E-15</v>
      </c>
      <c r="C26" s="11">
        <f t="shared" si="0"/>
        <v>4.0369939985375259E-8</v>
      </c>
      <c r="D26" s="2">
        <f>Data!E87</f>
        <v>1.0908130000000001E-11</v>
      </c>
      <c r="E26" s="11">
        <f t="shared" si="1"/>
        <v>1.3049505265324025E-13</v>
      </c>
      <c r="F26" s="3">
        <f t="shared" si="2"/>
        <v>1.1705426013913834E-3</v>
      </c>
    </row>
    <row r="27" spans="1:16" x14ac:dyDescent="0.15">
      <c r="B27" s="2">
        <f>Data!C88*Data!G88</f>
        <v>1.6291764420054998E-15</v>
      </c>
      <c r="C27" s="11">
        <f t="shared" si="0"/>
        <v>4.0363057887200517E-8</v>
      </c>
      <c r="D27" s="2">
        <f>Data!E88</f>
        <v>1.070526E-11</v>
      </c>
      <c r="E27" s="11">
        <f t="shared" si="1"/>
        <v>-7.1180067464935281E-14</v>
      </c>
      <c r="F27" s="3">
        <f t="shared" si="2"/>
        <v>-6.3848628467947266E-4</v>
      </c>
    </row>
    <row r="28" spans="1:16" x14ac:dyDescent="0.15">
      <c r="A28" t="str">
        <f>Data!A89</f>
        <v>30/0</v>
      </c>
      <c r="B28" s="2">
        <f>Data!C89*Data!G89</f>
        <v>1.1747177255507999E-15</v>
      </c>
      <c r="C28" s="11">
        <f t="shared" si="0"/>
        <v>3.427415535867806E-8</v>
      </c>
      <c r="D28" s="2">
        <f>Data!E89</f>
        <v>9.7396230000000006E-12</v>
      </c>
      <c r="E28" s="11">
        <f t="shared" si="1"/>
        <v>2.0347034091617549E-14</v>
      </c>
      <c r="F28" s="3">
        <f t="shared" si="2"/>
        <v>1.8251320438552872E-4</v>
      </c>
    </row>
    <row r="29" spans="1:16" x14ac:dyDescent="0.15">
      <c r="B29" s="2">
        <f>Data!C90*Data!G90</f>
        <v>1.1748894863796001E-15</v>
      </c>
      <c r="C29" s="11">
        <f t="shared" si="0"/>
        <v>3.4276660957269455E-8</v>
      </c>
      <c r="D29" s="2">
        <f>Data!E90</f>
        <v>9.8296980000000001E-12</v>
      </c>
      <c r="E29" s="11">
        <f t="shared" si="1"/>
        <v>1.0998700842462361E-13</v>
      </c>
      <c r="F29" s="3">
        <f t="shared" si="2"/>
        <v>9.8658513363508835E-4</v>
      </c>
    </row>
    <row r="30" spans="1:16" x14ac:dyDescent="0.15">
      <c r="B30" s="2">
        <f>Data!C91*Data!G91</f>
        <v>1.1745139708425E-15</v>
      </c>
      <c r="C30" s="11">
        <f t="shared" si="0"/>
        <v>3.4271182804836196E-8</v>
      </c>
      <c r="D30" s="2">
        <f>Data!E91</f>
        <v>9.622466E-12</v>
      </c>
      <c r="E30" s="11">
        <f t="shared" si="1"/>
        <v>-9.6293866792515651E-14</v>
      </c>
      <c r="F30" s="3">
        <f t="shared" si="2"/>
        <v>-8.6375744552449007E-4</v>
      </c>
    </row>
    <row r="31" spans="1:16" x14ac:dyDescent="0.15">
      <c r="A31" t="str">
        <f>Data!A92</f>
        <v>20/0</v>
      </c>
      <c r="B31" s="2">
        <f>Data!C92*Data!G92</f>
        <v>1.6447719414426999E-15</v>
      </c>
      <c r="C31" s="11">
        <f t="shared" ref="C31:C42" si="3">SQRT(B31)</f>
        <v>4.0555788014076365E-8</v>
      </c>
      <c r="D31" s="2">
        <f>Data!E92</f>
        <v>1.054258E-11</v>
      </c>
      <c r="E31" s="11">
        <f t="shared" ref="E31:E42" si="4">D31-(C31*I$22+I$21)</f>
        <v>-2.673221520470375E-13</v>
      </c>
      <c r="F31" s="3">
        <f t="shared" ref="F31:F42" si="5">A$1*E31/A$2</f>
        <v>-2.3978837580775712E-3</v>
      </c>
    </row>
    <row r="32" spans="1:16" x14ac:dyDescent="0.15">
      <c r="B32" s="2">
        <f>Data!C93*Data!G93</f>
        <v>1.6435994132344999E-15</v>
      </c>
      <c r="C32" s="11">
        <f t="shared" si="3"/>
        <v>4.0541329692481722E-8</v>
      </c>
      <c r="D32" s="2">
        <f>Data!E93</f>
        <v>1.0755679999999999E-11</v>
      </c>
      <c r="E32" s="11">
        <f t="shared" si="4"/>
        <v>-5.1711877250058353E-14</v>
      </c>
      <c r="F32" s="3">
        <f t="shared" si="5"/>
        <v>-4.6385632319687943E-4</v>
      </c>
    </row>
    <row r="33" spans="1:6" x14ac:dyDescent="0.15">
      <c r="B33" s="2">
        <f>Data!C94*Data!G94</f>
        <v>1.6431167642722E-15</v>
      </c>
      <c r="C33" s="11">
        <f t="shared" si="3"/>
        <v>4.0535376700756094E-8</v>
      </c>
      <c r="D33" s="2">
        <f>Data!E94</f>
        <v>1.088942E-11</v>
      </c>
      <c r="E33" s="11">
        <f t="shared" si="4"/>
        <v>8.3061689820480741E-14</v>
      </c>
      <c r="F33" s="3">
        <f t="shared" si="5"/>
        <v>7.4506461740575058E-4</v>
      </c>
    </row>
    <row r="34" spans="1:6" x14ac:dyDescent="0.15">
      <c r="A34" t="str">
        <f>Data!A95</f>
        <v>30/0</v>
      </c>
      <c r="B34" s="2">
        <f>Data!C95*Data!G95</f>
        <v>1.1733169453781999E-15</v>
      </c>
      <c r="C34" s="11">
        <f t="shared" si="3"/>
        <v>3.425371432966358E-8</v>
      </c>
      <c r="D34" s="2">
        <f>Data!E95</f>
        <v>9.5711119999999995E-12</v>
      </c>
      <c r="E34" s="11">
        <f t="shared" si="4"/>
        <v>-1.4461496475887209E-13</v>
      </c>
      <c r="F34" s="3">
        <f t="shared" si="5"/>
        <v>-1.2971984271219047E-3</v>
      </c>
    </row>
    <row r="35" spans="1:6" x14ac:dyDescent="0.15">
      <c r="B35" s="2">
        <f>Data!C96*Data!G96</f>
        <v>1.17449754227E-15</v>
      </c>
      <c r="C35" s="11">
        <f t="shared" si="3"/>
        <v>3.4270943119062248E-8</v>
      </c>
      <c r="D35" s="2">
        <f>Data!E96</f>
        <v>9.7326010000000005E-12</v>
      </c>
      <c r="E35" s="11">
        <f t="shared" si="4"/>
        <v>1.3882747799716443E-14</v>
      </c>
      <c r="F35" s="3">
        <f t="shared" si="5"/>
        <v>1.2452845830961918E-4</v>
      </c>
    </row>
    <row r="36" spans="1:6" x14ac:dyDescent="0.15">
      <c r="B36" s="2">
        <f>Data!C97*Data!G97</f>
        <v>1.175886809856E-15</v>
      </c>
      <c r="C36" s="11">
        <f t="shared" si="3"/>
        <v>3.4291206013437323E-8</v>
      </c>
      <c r="D36" s="2">
        <f>Data!E97</f>
        <v>9.6250160000000002E-12</v>
      </c>
      <c r="E36" s="11">
        <f t="shared" si="4"/>
        <v>-9.7220325354948178E-14</v>
      </c>
      <c r="F36" s="3">
        <f t="shared" si="5"/>
        <v>-8.7206779288020769E-4</v>
      </c>
    </row>
    <row r="37" spans="1:6" x14ac:dyDescent="0.15">
      <c r="A37" t="str">
        <f>Data!A152</f>
        <v>20/0</v>
      </c>
      <c r="B37" s="2">
        <f>Data!C152*Data!G152</f>
        <v>1.625639719004E-15</v>
      </c>
      <c r="C37" s="11">
        <f t="shared" si="3"/>
        <v>4.0319222698410247E-8</v>
      </c>
      <c r="D37" s="2">
        <f>Data!E152</f>
        <v>1.052609E-11</v>
      </c>
      <c r="E37" s="11">
        <f t="shared" si="4"/>
        <v>-2.4273933831350856E-13</v>
      </c>
      <c r="F37" s="3">
        <f t="shared" si="5"/>
        <v>-2.177375546064138E-3</v>
      </c>
    </row>
    <row r="38" spans="1:6" x14ac:dyDescent="0.15">
      <c r="B38" s="2">
        <f>Data!C153*Data!G153</f>
        <v>1.6252108277355001E-15</v>
      </c>
      <c r="C38" s="11">
        <f t="shared" si="3"/>
        <v>4.0313903652902431E-8</v>
      </c>
      <c r="D38" s="2">
        <f>Data!E153</f>
        <v>1.0493350000000001E-11</v>
      </c>
      <c r="E38" s="11">
        <f t="shared" si="4"/>
        <v>-2.745558379061566E-13</v>
      </c>
      <c r="F38" s="3">
        <f t="shared" si="5"/>
        <v>-2.4627700299401623E-3</v>
      </c>
    </row>
    <row r="39" spans="1:6" x14ac:dyDescent="0.15">
      <c r="B39" s="2">
        <f>Data!C154*Data!G154</f>
        <v>1.6251482817197999E-15</v>
      </c>
      <c r="C39" s="11">
        <f t="shared" si="3"/>
        <v>4.0313127907913569E-8</v>
      </c>
      <c r="D39" s="2">
        <f>Data!E154</f>
        <v>1.0559760000000001E-11</v>
      </c>
      <c r="E39" s="11">
        <f t="shared" si="4"/>
        <v>-2.0801115193436741E-13</v>
      </c>
      <c r="F39" s="3">
        <f t="shared" si="5"/>
        <v>-1.8658631875545426E-3</v>
      </c>
    </row>
    <row r="40" spans="1:6" x14ac:dyDescent="0.15">
      <c r="A40" t="str">
        <f>Data!A155</f>
        <v>30/0</v>
      </c>
      <c r="B40" s="2">
        <f>Data!C155*Data!G155</f>
        <v>1.1644952591852999E-15</v>
      </c>
      <c r="C40" s="11">
        <f t="shared" si="3"/>
        <v>3.4124701598479947E-8</v>
      </c>
      <c r="D40" s="2">
        <f>Data!E155</f>
        <v>9.7933710000000001E-12</v>
      </c>
      <c r="E40" s="11">
        <f t="shared" si="4"/>
        <v>1.0004341302919728E-13</v>
      </c>
      <c r="F40" s="3">
        <f t="shared" si="5"/>
        <v>8.9739093213325304E-4</v>
      </c>
    </row>
    <row r="41" spans="1:6" x14ac:dyDescent="0.15">
      <c r="B41" s="2">
        <f>Data!C156*Data!G156</f>
        <v>1.1614751193318001E-15</v>
      </c>
      <c r="C41" s="11">
        <f t="shared" si="3"/>
        <v>3.4080421349094263E-8</v>
      </c>
      <c r="D41" s="2">
        <f>Data!E156</f>
        <v>9.5111839999999998E-12</v>
      </c>
      <c r="E41" s="11">
        <f t="shared" si="4"/>
        <v>-1.7445558575231915E-13</v>
      </c>
      <c r="F41" s="3">
        <f t="shared" si="5"/>
        <v>-1.5648692499968633E-3</v>
      </c>
    </row>
    <row r="42" spans="1:6" x14ac:dyDescent="0.15">
      <c r="B42" s="2">
        <f>Data!C157*Data!G157</f>
        <v>1.1642867271522999E-15</v>
      </c>
      <c r="C42" s="11">
        <f t="shared" si="3"/>
        <v>3.4121646020558561E-8</v>
      </c>
      <c r="D42" s="2">
        <f>Data!E157</f>
        <v>9.4503349999999998E-12</v>
      </c>
      <c r="E42" s="11">
        <f t="shared" si="4"/>
        <v>-2.4246207309365337E-13</v>
      </c>
      <c r="F42" s="3">
        <f t="shared" si="5"/>
        <v>-2.1748884728370246E-3</v>
      </c>
    </row>
    <row r="43" spans="1:6" x14ac:dyDescent="0.15">
      <c r="A43" t="str">
        <f>Data!A212</f>
        <v>20/0</v>
      </c>
      <c r="B43" s="2">
        <f>Data!C212*Data!G212</f>
        <v>1.6191963154084E-15</v>
      </c>
      <c r="C43" s="11">
        <f t="shared" ref="C43:C48" si="6">SQRT(B43)</f>
        <v>4.0239238504330574E-8</v>
      </c>
      <c r="D43" s="2">
        <f>Data!E212</f>
        <v>1.0308199999999999E-11</v>
      </c>
      <c r="E43" s="11">
        <f t="shared" ref="E43:E48" si="7">D43-(C43*I$22+I$21)</f>
        <v>-4.4674236635478961E-13</v>
      </c>
      <c r="F43" s="3">
        <f t="shared" ref="F43:F48" si="8">A$1*E43/A$2</f>
        <v>-4.0072858015103713E-3</v>
      </c>
    </row>
    <row r="44" spans="1:6" x14ac:dyDescent="0.15">
      <c r="B44" s="2">
        <f>Data!C213*Data!G213</f>
        <v>1.6177943954255999E-15</v>
      </c>
      <c r="C44" s="11">
        <f t="shared" si="6"/>
        <v>4.0221814919588103E-8</v>
      </c>
      <c r="D44" s="2">
        <f>Data!E213</f>
        <v>1.046136E-11</v>
      </c>
      <c r="E44" s="11">
        <f t="shared" si="7"/>
        <v>-2.9055725826283311E-13</v>
      </c>
      <c r="F44" s="3">
        <f t="shared" si="8"/>
        <v>-2.6063030132175641E-3</v>
      </c>
    </row>
    <row r="45" spans="1:6" x14ac:dyDescent="0.15">
      <c r="B45" s="2">
        <f>Data!C214*Data!G214</f>
        <v>1.6178964563348E-15</v>
      </c>
      <c r="C45" s="11">
        <f t="shared" si="6"/>
        <v>4.0223083625386056E-8</v>
      </c>
      <c r="D45" s="2">
        <f>Data!E214</f>
        <v>1.0363689999999999E-11</v>
      </c>
      <c r="E45" s="11">
        <f t="shared" si="7"/>
        <v>-3.8844753280635811E-13</v>
      </c>
      <c r="F45" s="3">
        <f t="shared" si="8"/>
        <v>-3.4843802604797749E-3</v>
      </c>
    </row>
    <row r="46" spans="1:6" x14ac:dyDescent="0.15">
      <c r="A46" t="str">
        <f>Data!A215</f>
        <v>30/0</v>
      </c>
      <c r="B46" s="2">
        <f>Data!C215*Data!G215</f>
        <v>1.1589192767795E-15</v>
      </c>
      <c r="C46" s="11">
        <f t="shared" si="6"/>
        <v>3.4042903471641486E-8</v>
      </c>
      <c r="D46" s="2">
        <f>Data!E215</f>
        <v>9.4591720000000007E-12</v>
      </c>
      <c r="E46" s="11">
        <f t="shared" si="7"/>
        <v>-2.1995367737163848E-13</v>
      </c>
      <c r="F46" s="3">
        <f t="shared" si="8"/>
        <v>-1.9729878218475573E-3</v>
      </c>
    </row>
    <row r="47" spans="1:6" x14ac:dyDescent="0.15">
      <c r="B47" s="2">
        <f>Data!C216*Data!G216</f>
        <v>1.1594031031795E-15</v>
      </c>
      <c r="C47" s="11">
        <f t="shared" si="6"/>
        <v>3.4050008857260228E-8</v>
      </c>
      <c r="D47" s="2">
        <f>Data!E216</f>
        <v>9.4263529999999998E-12</v>
      </c>
      <c r="E47" s="11">
        <f t="shared" si="7"/>
        <v>-2.5400632474383326E-13</v>
      </c>
      <c r="F47" s="3">
        <f t="shared" si="8"/>
        <v>-2.278440585219599E-3</v>
      </c>
    </row>
    <row r="48" spans="1:6" x14ac:dyDescent="0.15">
      <c r="B48" s="2">
        <f>Data!C217*Data!G217</f>
        <v>1.1598844334958E-15</v>
      </c>
      <c r="C48" s="11">
        <f t="shared" si="6"/>
        <v>3.4057076114895714E-8</v>
      </c>
      <c r="D48" s="2">
        <f>Data!E217</f>
        <v>9.5838709999999994E-12</v>
      </c>
      <c r="E48" s="11">
        <f t="shared" si="7"/>
        <v>-9.7715352280190661E-14</v>
      </c>
      <c r="F48" s="3">
        <f t="shared" si="8"/>
        <v>-8.765081919072257E-4</v>
      </c>
    </row>
    <row r="49" spans="1:7" x14ac:dyDescent="0.15">
      <c r="A49" t="str">
        <f>Data!A218</f>
        <v>20/0</v>
      </c>
      <c r="B49" s="2">
        <f>Data!C218*Data!G218</f>
        <v>1.6188121152584001E-15</v>
      </c>
      <c r="C49" s="11">
        <f t="shared" ref="C49:C54" si="9">SQRT(B49)</f>
        <v>4.0234464272044183E-8</v>
      </c>
      <c r="D49" s="2">
        <f>Data!E218</f>
        <v>1.04533E-11</v>
      </c>
      <c r="E49" s="11">
        <f t="shared" ref="E49:E54" si="10">D49-(C49*I$22+I$21)</f>
        <v>-3.0081345721032275E-13</v>
      </c>
      <c r="F49" s="3">
        <f t="shared" ref="F49:F54" si="11">A$1*E49/A$2</f>
        <v>-2.6983012733223614E-3</v>
      </c>
    </row>
    <row r="50" spans="1:7" x14ac:dyDescent="0.15">
      <c r="B50" s="2">
        <f>Data!C219*Data!G219</f>
        <v>1.6205266318435998E-15</v>
      </c>
      <c r="C50" s="11">
        <f t="shared" si="9"/>
        <v>4.0255765200075377E-8</v>
      </c>
      <c r="D50" s="2">
        <f>Data!E219</f>
        <v>1.0429310000000001E-11</v>
      </c>
      <c r="E50" s="11">
        <f t="shared" si="10"/>
        <v>-3.2850175527617625E-13</v>
      </c>
      <c r="F50" s="3">
        <f t="shared" si="11"/>
        <v>-2.9466657268946129E-3</v>
      </c>
    </row>
    <row r="51" spans="1:7" x14ac:dyDescent="0.15">
      <c r="B51" s="2">
        <f>Data!C220*Data!G220</f>
        <v>1.6188282870903E-15</v>
      </c>
      <c r="C51" s="11">
        <f t="shared" si="9"/>
        <v>4.0234665241434531E-8</v>
      </c>
      <c r="D51" s="2">
        <f>Data!E220</f>
        <v>1.0497679999999999E-11</v>
      </c>
      <c r="E51" s="11">
        <f t="shared" si="10"/>
        <v>-2.5646834980779791E-13</v>
      </c>
      <c r="F51" s="3">
        <f t="shared" si="11"/>
        <v>-2.3005249873825069E-3</v>
      </c>
    </row>
    <row r="52" spans="1:7" x14ac:dyDescent="0.15">
      <c r="A52" t="str">
        <f>Data!A221</f>
        <v>30/0</v>
      </c>
      <c r="B52" s="2">
        <f>Data!C221*Data!G221</f>
        <v>1.1591885491001001E-15</v>
      </c>
      <c r="C52" s="11">
        <f t="shared" si="9"/>
        <v>3.4046858138455306E-8</v>
      </c>
      <c r="D52" s="2">
        <f>Data!E221</f>
        <v>9.5094959999999995E-12</v>
      </c>
      <c r="E52" s="11">
        <f t="shared" si="10"/>
        <v>-1.7031629236828416E-13</v>
      </c>
      <c r="F52" s="3">
        <f t="shared" si="11"/>
        <v>-1.5277397255654237E-3</v>
      </c>
    </row>
    <row r="53" spans="1:7" x14ac:dyDescent="0.15">
      <c r="B53" s="2">
        <f>Data!C222*Data!G222</f>
        <v>1.1585700149016001E-15</v>
      </c>
      <c r="C53" s="11">
        <f t="shared" si="9"/>
        <v>3.403777335404888E-8</v>
      </c>
      <c r="D53" s="2">
        <f>Data!E222</f>
        <v>9.4498520000000005E-12</v>
      </c>
      <c r="E53" s="11">
        <f t="shared" si="10"/>
        <v>-2.2838297890335866E-13</v>
      </c>
      <c r="F53" s="3">
        <f t="shared" si="11"/>
        <v>-2.048598784426123E-3</v>
      </c>
    </row>
    <row r="54" spans="1:7" x14ac:dyDescent="0.15">
      <c r="B54" s="2">
        <f>Data!C223*Data!G223</f>
        <v>1.1598453290895998E-15</v>
      </c>
      <c r="C54" s="11">
        <f t="shared" si="9"/>
        <v>3.4056502009008498E-8</v>
      </c>
      <c r="D54" s="2">
        <f>Data!E223</f>
        <v>9.6025910000000008E-12</v>
      </c>
      <c r="E54" s="11">
        <f t="shared" si="10"/>
        <v>-7.8895675182121426E-14</v>
      </c>
      <c r="F54" s="3">
        <f t="shared" si="11"/>
        <v>-7.0769540291776658E-4</v>
      </c>
    </row>
    <row r="55" spans="1:7" x14ac:dyDescent="0.15">
      <c r="A55" t="str">
        <f>Data!A20</f>
        <v>051221-LS-WM-5m-To</v>
      </c>
      <c r="B55" s="2">
        <f>Data!C20*Data!G20</f>
        <v>3.4280118243865E-15</v>
      </c>
      <c r="C55" s="11">
        <f t="shared" ref="C55:C57" si="12">SQRT(B55)</f>
        <v>5.8549225651467842E-8</v>
      </c>
      <c r="D55" s="2">
        <f>Data!E20</f>
        <v>1.373352E-11</v>
      </c>
      <c r="E55" s="11">
        <f t="shared" ref="E55:E86" si="13">D55-(C55*I$22+I$21)</f>
        <v>-2.0042893137079116E-13</v>
      </c>
      <c r="F55" s="3">
        <f t="shared" ref="F55:F86" si="14">A$1*E55/A$2</f>
        <v>-1.7978505541070831E-3</v>
      </c>
      <c r="G55" s="3">
        <f>AVERAGE(F55:F57)</f>
        <v>-3.6099167198563342E-3</v>
      </c>
    </row>
    <row r="56" spans="1:7" x14ac:dyDescent="0.15">
      <c r="B56" s="2">
        <f>Data!C21*Data!G21</f>
        <v>3.4276056319280002E-15</v>
      </c>
      <c r="C56" s="11">
        <f t="shared" si="12"/>
        <v>5.8545756737170969E-8</v>
      </c>
      <c r="D56" s="2">
        <f>Data!E21</f>
        <v>1.338887E-11</v>
      </c>
      <c r="E56" s="11">
        <f t="shared" si="13"/>
        <v>-5.4447665343172821E-13</v>
      </c>
      <c r="F56" s="3">
        <f t="shared" si="14"/>
        <v>-4.8839638388315908E-3</v>
      </c>
    </row>
    <row r="57" spans="1:7" x14ac:dyDescent="0.15">
      <c r="B57" s="2">
        <f>Data!C22*Data!G22</f>
        <v>3.4302469341404002E-15</v>
      </c>
      <c r="C57" s="11">
        <f t="shared" si="12"/>
        <v>5.8568309981938185E-8</v>
      </c>
      <c r="D57" s="2">
        <f>Data!E22</f>
        <v>1.347484E-11</v>
      </c>
      <c r="E57" s="11">
        <f t="shared" si="13"/>
        <v>-4.624223805483682E-13</v>
      </c>
      <c r="F57" s="3">
        <f t="shared" si="14"/>
        <v>-4.1479357666303288E-3</v>
      </c>
    </row>
    <row r="58" spans="1:7" x14ac:dyDescent="0.15">
      <c r="A58" t="str">
        <f>Data!A23</f>
        <v>051221-LS-WM-5m-To</v>
      </c>
      <c r="B58" s="2">
        <f>Data!C23*Data!G23</f>
        <v>3.7190040755790002E-15</v>
      </c>
      <c r="C58" s="11">
        <f t="shared" ref="C58:C66" si="15">SQRT(B58)</f>
        <v>6.0983637769314808E-8</v>
      </c>
      <c r="D58" s="2">
        <f>Data!E23</f>
        <v>1.407899E-11</v>
      </c>
      <c r="E58" s="11">
        <f t="shared" si="13"/>
        <v>-2.7762509942432783E-13</v>
      </c>
      <c r="F58" s="3">
        <f t="shared" si="14"/>
        <v>-2.490301352306669E-3</v>
      </c>
      <c r="G58" s="3">
        <f>AVERAGE(F58:F60)</f>
        <v>-2.8310612646426925E-3</v>
      </c>
    </row>
    <row r="59" spans="1:7" x14ac:dyDescent="0.15">
      <c r="B59" s="2">
        <f>Data!C24*Data!G24</f>
        <v>3.7223011407095997E-15</v>
      </c>
      <c r="C59" s="11">
        <f t="shared" si="15"/>
        <v>6.1010664155617901E-8</v>
      </c>
      <c r="D59" s="2">
        <f>Data!E24</f>
        <v>1.4061219999999999E-11</v>
      </c>
      <c r="E59" s="11">
        <f t="shared" si="13"/>
        <v>-3.0008745987197766E-13</v>
      </c>
      <c r="F59" s="3">
        <f t="shared" si="14"/>
        <v>-2.6917890661869092E-3</v>
      </c>
    </row>
    <row r="60" spans="1:7" x14ac:dyDescent="0.15">
      <c r="B60" s="2">
        <f>Data!C25*Data!G25</f>
        <v>3.7121116143251997E-15</v>
      </c>
      <c r="C60" s="11">
        <f t="shared" si="15"/>
        <v>6.0927100819956962E-8</v>
      </c>
      <c r="D60" s="2">
        <f>Data!E25</f>
        <v>1.3977670000000001E-11</v>
      </c>
      <c r="E60" s="11">
        <f t="shared" si="13"/>
        <v>-3.6912907215296543E-13</v>
      </c>
      <c r="F60" s="3">
        <f t="shared" si="14"/>
        <v>-3.3110933754344984E-3</v>
      </c>
    </row>
    <row r="61" spans="1:7" x14ac:dyDescent="0.15">
      <c r="A61" t="str">
        <f>Data!A26</f>
        <v>051221-LS-WM-35m-To</v>
      </c>
      <c r="B61" s="2">
        <f>Data!C26*Data!G26</f>
        <v>4.3364788837458003E-15</v>
      </c>
      <c r="C61" s="11">
        <f t="shared" si="15"/>
        <v>6.5851946696705936E-8</v>
      </c>
      <c r="D61" s="2">
        <f>Data!E26</f>
        <v>1.4912129999999999E-11</v>
      </c>
      <c r="E61" s="11">
        <f t="shared" si="13"/>
        <v>-2.897279669553473E-13</v>
      </c>
      <c r="F61" s="3">
        <f t="shared" si="14"/>
        <v>-2.5988642576123596E-3</v>
      </c>
      <c r="G61" s="3">
        <f>AVERAGE(F61:F63)</f>
        <v>-2.9871271672307787E-3</v>
      </c>
    </row>
    <row r="62" spans="1:7" x14ac:dyDescent="0.15">
      <c r="B62" s="2">
        <f>Data!C27*Data!G27</f>
        <v>4.3239124853079997E-15</v>
      </c>
      <c r="C62" s="11">
        <f t="shared" si="15"/>
        <v>6.5756463448911245E-8</v>
      </c>
      <c r="D62" s="2">
        <f>Data!E27</f>
        <v>1.4890120000000001E-11</v>
      </c>
      <c r="E62" s="11">
        <f t="shared" si="13"/>
        <v>-2.9516002677717022E-13</v>
      </c>
      <c r="F62" s="3">
        <f t="shared" si="14"/>
        <v>-2.6475899165968909E-3</v>
      </c>
    </row>
    <row r="63" spans="1:7" x14ac:dyDescent="0.15">
      <c r="B63" s="2">
        <f>Data!C28*Data!G28</f>
        <v>4.3280640169536003E-15</v>
      </c>
      <c r="C63" s="11">
        <f t="shared" si="15"/>
        <v>6.5788023354966372E-8</v>
      </c>
      <c r="D63" s="2">
        <f>Data!E28</f>
        <v>1.4776610000000001E-11</v>
      </c>
      <c r="E63" s="11">
        <f t="shared" si="13"/>
        <v>-4.1414950350941989E-13</v>
      </c>
      <c r="F63" s="3">
        <f t="shared" si="14"/>
        <v>-3.7149273274830852E-3</v>
      </c>
    </row>
    <row r="64" spans="1:7" x14ac:dyDescent="0.15">
      <c r="A64" t="str">
        <f>Data!A29</f>
        <v>051221-LS-WM-35m-To</v>
      </c>
      <c r="B64" s="2">
        <f>Data!C29*Data!G29</f>
        <v>3.3561450481845001E-15</v>
      </c>
      <c r="C64" s="11">
        <f t="shared" si="15"/>
        <v>5.7932245323174728E-8</v>
      </c>
      <c r="D64" s="2">
        <f>Data!E29</f>
        <v>1.379609E-11</v>
      </c>
      <c r="E64" s="11">
        <f t="shared" si="13"/>
        <v>-3.0737910565694213E-14</v>
      </c>
      <c r="F64" s="3">
        <f t="shared" si="14"/>
        <v>-2.7571952394633554E-4</v>
      </c>
      <c r="G64" s="3">
        <f>AVERAGE(F64:F66)</f>
        <v>-1.6597916682791134E-4</v>
      </c>
    </row>
    <row r="65" spans="1:7" x14ac:dyDescent="0.15">
      <c r="B65" s="2">
        <f>Data!C30*Data!G30</f>
        <v>3.3505723135889999E-15</v>
      </c>
      <c r="C65" s="11">
        <f t="shared" si="15"/>
        <v>5.7884128339200199E-8</v>
      </c>
      <c r="D65" s="2">
        <f>Data!E30</f>
        <v>1.3605360000000001E-11</v>
      </c>
      <c r="E65" s="11">
        <f t="shared" si="13"/>
        <v>-2.1311376991477011E-13</v>
      </c>
      <c r="F65" s="3">
        <f t="shared" si="14"/>
        <v>-1.9116337482252097E-3</v>
      </c>
    </row>
    <row r="66" spans="1:7" x14ac:dyDescent="0.15">
      <c r="B66" s="2">
        <f>Data!C31*Data!G31</f>
        <v>3.3514831262307997E-15</v>
      </c>
      <c r="C66" s="11">
        <f t="shared" si="15"/>
        <v>5.7891995355409884E-8</v>
      </c>
      <c r="D66" s="2">
        <f>Data!E31</f>
        <v>1.400818E-11</v>
      </c>
      <c r="E66" s="11">
        <f t="shared" si="13"/>
        <v>1.88340347303517E-13</v>
      </c>
      <c r="F66" s="3">
        <f t="shared" si="14"/>
        <v>1.6894157716878112E-3</v>
      </c>
    </row>
    <row r="67" spans="1:7" x14ac:dyDescent="0.15">
      <c r="A67" t="str">
        <f>Data!A32</f>
        <v>051221-LS-WM-163m-To</v>
      </c>
      <c r="B67" s="2">
        <f>Data!C32*Data!G32</f>
        <v>3.3925764624700003E-15</v>
      </c>
      <c r="C67" s="11">
        <f t="shared" ref="C67:C84" si="16">SQRT(B67)</f>
        <v>5.8245827854619767E-8</v>
      </c>
      <c r="D67" s="2">
        <f>Data!E32</f>
        <v>1.366695E-11</v>
      </c>
      <c r="E67" s="11">
        <f t="shared" si="13"/>
        <v>-2.1432256517562121E-13</v>
      </c>
      <c r="F67" s="3">
        <f t="shared" si="14"/>
        <v>-1.9224766600476687E-3</v>
      </c>
      <c r="G67" s="3">
        <f>AVERAGE(F67:F69)</f>
        <v>-1.1410141101350893E-3</v>
      </c>
    </row>
    <row r="68" spans="1:7" x14ac:dyDescent="0.15">
      <c r="B68" s="2">
        <f>Data!C33*Data!G33</f>
        <v>3.3923441641062003E-15</v>
      </c>
      <c r="C68" s="11">
        <f t="shared" si="16"/>
        <v>5.824383370028282E-8</v>
      </c>
      <c r="D68" s="2">
        <f>Data!E33</f>
        <v>1.3783029999999999E-11</v>
      </c>
      <c r="E68" s="11">
        <f t="shared" si="13"/>
        <v>-9.7896337202994625E-14</v>
      </c>
      <c r="F68" s="3">
        <f t="shared" si="14"/>
        <v>-8.7813162940960005E-4</v>
      </c>
    </row>
    <row r="69" spans="1:7" x14ac:dyDescent="0.15">
      <c r="B69" s="2">
        <f>Data!C34*Data!G34</f>
        <v>3.3877392538358999E-15</v>
      </c>
      <c r="C69" s="11">
        <f t="shared" si="16"/>
        <v>5.8204288964267054E-8</v>
      </c>
      <c r="D69" s="2">
        <f>Data!E34</f>
        <v>1.380467E-11</v>
      </c>
      <c r="E69" s="11">
        <f t="shared" si="13"/>
        <v>-6.939052269445767E-14</v>
      </c>
      <c r="F69" s="3">
        <f t="shared" si="14"/>
        <v>-6.224340409479996E-4</v>
      </c>
    </row>
    <row r="70" spans="1:7" x14ac:dyDescent="0.15">
      <c r="A70" t="str">
        <f>Data!A35</f>
        <v>051221-LS-WM-163m-To</v>
      </c>
      <c r="B70" s="2">
        <f>Data!C35*Data!G35</f>
        <v>3.3524188195464002E-15</v>
      </c>
      <c r="C70" s="11">
        <f t="shared" si="16"/>
        <v>5.7900076161835922E-8</v>
      </c>
      <c r="D70" s="2">
        <f>Data!E35</f>
        <v>1.391308E-11</v>
      </c>
      <c r="E70" s="11">
        <f t="shared" si="13"/>
        <v>9.1837345953895133E-14</v>
      </c>
      <c r="F70" s="3">
        <f t="shared" si="14"/>
        <v>8.2378238601433758E-4</v>
      </c>
      <c r="G70" s="3">
        <f>AVERAGE(F70:F72)</f>
        <v>-4.6013712567471754E-4</v>
      </c>
    </row>
    <row r="71" spans="1:7" x14ac:dyDescent="0.15">
      <c r="B71" s="2">
        <f>Data!C36*Data!G36</f>
        <v>3.3481564850151002E-15</v>
      </c>
      <c r="C71" s="11">
        <f t="shared" si="16"/>
        <v>5.7863256778504093E-8</v>
      </c>
      <c r="D71" s="2">
        <f>Data!E36</f>
        <v>1.362905E-11</v>
      </c>
      <c r="E71" s="11">
        <f t="shared" si="13"/>
        <v>-1.8580001922931934E-13</v>
      </c>
      <c r="F71" s="3">
        <f t="shared" si="14"/>
        <v>-1.6666289903355675E-3</v>
      </c>
    </row>
    <row r="72" spans="1:7" x14ac:dyDescent="0.15">
      <c r="B72" s="2">
        <f>Data!C37*Data!G37</f>
        <v>3.3462431494174999E-15</v>
      </c>
      <c r="C72" s="11">
        <f t="shared" si="16"/>
        <v>5.7846721163930285E-8</v>
      </c>
      <c r="D72" s="2">
        <f>Data!E37</f>
        <v>1.375205E-11</v>
      </c>
      <c r="E72" s="11">
        <f t="shared" si="13"/>
        <v>-5.9929081807881829E-14</v>
      </c>
      <c r="F72" s="3">
        <f t="shared" si="14"/>
        <v>-5.3756477270292273E-4</v>
      </c>
    </row>
    <row r="73" spans="1:7" x14ac:dyDescent="0.15">
      <c r="A73" t="str">
        <f>Data!A38</f>
        <v>051321-LS-WM-5m-Tf</v>
      </c>
      <c r="B73" s="2">
        <f>Data!C38*Data!G38</f>
        <v>3.3053919565914002E-15</v>
      </c>
      <c r="C73" s="11">
        <f t="shared" si="16"/>
        <v>5.7492538268817111E-8</v>
      </c>
      <c r="D73" s="2">
        <f>Data!E38</f>
        <v>1.37583E-11</v>
      </c>
      <c r="E73" s="11">
        <f t="shared" si="13"/>
        <v>7.8146669169603038E-15</v>
      </c>
      <c r="F73" s="3">
        <f t="shared" si="14"/>
        <v>7.0097680762602936E-5</v>
      </c>
      <c r="G73" s="3">
        <f>AVERAGE(F73:F75)</f>
        <v>-1.9588901391095828E-4</v>
      </c>
    </row>
    <row r="74" spans="1:7" x14ac:dyDescent="0.15">
      <c r="B74" s="2">
        <f>Data!C39*Data!G39</f>
        <v>3.301967057746E-15</v>
      </c>
      <c r="C74" s="11">
        <f t="shared" si="16"/>
        <v>5.7462744954848788E-8</v>
      </c>
      <c r="D74" s="2">
        <f>Data!E39</f>
        <v>1.3779819999999999E-11</v>
      </c>
      <c r="E74" s="11">
        <f t="shared" si="13"/>
        <v>3.4507425364998847E-14</v>
      </c>
      <c r="F74" s="3">
        <f t="shared" si="14"/>
        <v>3.0953212886467078E-4</v>
      </c>
    </row>
    <row r="75" spans="1:7" x14ac:dyDescent="0.15">
      <c r="B75" s="2">
        <f>Data!C40*Data!G40</f>
        <v>3.3044061474865005E-15</v>
      </c>
      <c r="C75" s="11">
        <f t="shared" si="16"/>
        <v>5.7483964263840574E-8</v>
      </c>
      <c r="D75" s="2">
        <f>Data!E40</f>
        <v>1.364116E-11</v>
      </c>
      <c r="E75" s="11">
        <f t="shared" si="13"/>
        <v>-1.0783670188467628E-13</v>
      </c>
      <c r="F75" s="3">
        <f t="shared" si="14"/>
        <v>-9.6729685136014848E-4</v>
      </c>
    </row>
    <row r="76" spans="1:7" x14ac:dyDescent="0.15">
      <c r="A76" t="str">
        <f>Data!A41</f>
        <v>051321-LS-WM-5m-Tf</v>
      </c>
      <c r="B76" s="2">
        <f>Data!C41*Data!G41</f>
        <v>3.2583491332184996E-15</v>
      </c>
      <c r="C76" s="11">
        <f t="shared" si="16"/>
        <v>5.7081951028486223E-8</v>
      </c>
      <c r="D76" s="2">
        <f>Data!E41</f>
        <v>1.3689049999999999E-11</v>
      </c>
      <c r="E76" s="11">
        <f t="shared" si="13"/>
        <v>9.8514199897355441E-15</v>
      </c>
      <c r="F76" s="3">
        <f t="shared" si="14"/>
        <v>8.8367386714854044E-5</v>
      </c>
      <c r="G76" s="3">
        <f>AVERAGE(F76:F78)</f>
        <v>-5.1088953516806378E-4</v>
      </c>
    </row>
    <row r="77" spans="1:7" x14ac:dyDescent="0.15">
      <c r="B77" s="2">
        <f>Data!C42*Data!G42</f>
        <v>3.2494485257025002E-15</v>
      </c>
      <c r="C77" s="11">
        <f t="shared" si="16"/>
        <v>5.7003934300208618E-8</v>
      </c>
      <c r="D77" s="2">
        <f>Data!E42</f>
        <v>1.355985E-11</v>
      </c>
      <c r="E77" s="11">
        <f t="shared" si="13"/>
        <v>-1.0580320232198084E-13</v>
      </c>
      <c r="F77" s="3">
        <f t="shared" si="14"/>
        <v>-9.4905632944265609E-4</v>
      </c>
    </row>
    <row r="78" spans="1:7" x14ac:dyDescent="0.15">
      <c r="B78" s="2">
        <f>Data!C43*Data!G43</f>
        <v>3.2581554325991998E-15</v>
      </c>
      <c r="C78" s="11">
        <f t="shared" si="16"/>
        <v>5.7080254314422952E-8</v>
      </c>
      <c r="D78" s="2">
        <f>Data!E43</f>
        <v>1.360399E-11</v>
      </c>
      <c r="E78" s="11">
        <f t="shared" si="13"/>
        <v>-7.4913994050005053E-14</v>
      </c>
      <c r="F78" s="3">
        <f t="shared" si="14"/>
        <v>-6.7197966277638928E-4</v>
      </c>
    </row>
    <row r="79" spans="1:7" x14ac:dyDescent="0.15">
      <c r="A79" t="str">
        <f>Data!A44</f>
        <v>051321-LS-WM-35m-Tf</v>
      </c>
      <c r="B79" s="2">
        <f>Data!C44*Data!G44</f>
        <v>3.3938475969657997E-15</v>
      </c>
      <c r="C79" s="11">
        <f t="shared" si="16"/>
        <v>5.8256738639970224E-8</v>
      </c>
      <c r="D79" s="2">
        <f>Data!E44</f>
        <v>1.3938010000000001E-11</v>
      </c>
      <c r="E79" s="11">
        <f t="shared" si="13"/>
        <v>5.4843088423158163E-14</v>
      </c>
      <c r="F79" s="3">
        <f t="shared" si="14"/>
        <v>4.9194333490762572E-4</v>
      </c>
      <c r="G79" s="3">
        <f>AVERAGE(F79:F81)</f>
        <v>-4.6639890555632554E-4</v>
      </c>
    </row>
    <row r="80" spans="1:7" x14ac:dyDescent="0.15">
      <c r="B80" s="2">
        <f>Data!C45*Data!G45</f>
        <v>3.3949672626310997E-15</v>
      </c>
      <c r="C80" s="11">
        <f t="shared" si="16"/>
        <v>5.8266347599889077E-8</v>
      </c>
      <c r="D80" s="2">
        <f>Data!E45</f>
        <v>1.369811E-11</v>
      </c>
      <c r="E80" s="11">
        <f t="shared" si="13"/>
        <v>-1.8672523315563938E-13</v>
      </c>
      <c r="F80" s="3">
        <f t="shared" si="14"/>
        <v>-1.67492817328648E-3</v>
      </c>
    </row>
    <row r="81" spans="1:7" x14ac:dyDescent="0.15">
      <c r="B81" s="2">
        <f>Data!C46*Data!G46</f>
        <v>3.3947582674742002E-15</v>
      </c>
      <c r="C81" s="11">
        <f t="shared" si="16"/>
        <v>5.8264554125765006E-8</v>
      </c>
      <c r="D81" s="2">
        <f>Data!E46</f>
        <v>1.386042E-11</v>
      </c>
      <c r="E81" s="11">
        <f t="shared" si="13"/>
        <v>-2.4103847573072348E-14</v>
      </c>
      <c r="F81" s="3">
        <f t="shared" si="14"/>
        <v>-2.1621187829012236E-4</v>
      </c>
    </row>
    <row r="82" spans="1:7" x14ac:dyDescent="0.15">
      <c r="A82" t="str">
        <f>Data!A47</f>
        <v>051321-LS-WM-35m-Tf</v>
      </c>
      <c r="B82" s="2">
        <f>Data!C47*Data!G47</f>
        <v>3.2287176919773001E-15</v>
      </c>
      <c r="C82" s="11">
        <f t="shared" si="16"/>
        <v>5.6821806482875042E-8</v>
      </c>
      <c r="D82" s="2">
        <f>Data!E47</f>
        <v>1.3499729999999999E-11</v>
      </c>
      <c r="E82" s="11">
        <f t="shared" si="13"/>
        <v>-1.3430190612320189E-13</v>
      </c>
      <c r="F82" s="3">
        <f t="shared" si="14"/>
        <v>-1.2046901347517913E-3</v>
      </c>
      <c r="G82" s="3">
        <f>AVERAGE(F82:F84)</f>
        <v>-1.4245113027574914E-3</v>
      </c>
    </row>
    <row r="83" spans="1:7" x14ac:dyDescent="0.15">
      <c r="B83" s="2">
        <f>Data!C48*Data!G48</f>
        <v>3.2267507345271999E-15</v>
      </c>
      <c r="C83" s="11">
        <f t="shared" si="16"/>
        <v>5.6804495724609686E-8</v>
      </c>
      <c r="D83" s="2">
        <f>Data!E48</f>
        <v>1.337749E-11</v>
      </c>
      <c r="E83" s="11">
        <f t="shared" si="13"/>
        <v>-2.5353638712809071E-13</v>
      </c>
      <c r="F83" s="3">
        <f t="shared" si="14"/>
        <v>-2.2742252376793011E-3</v>
      </c>
    </row>
    <row r="84" spans="1:7" x14ac:dyDescent="0.15">
      <c r="B84" s="2">
        <f>Data!C49*Data!G49</f>
        <v>3.2268944958918004E-15</v>
      </c>
      <c r="C84" s="11">
        <f t="shared" si="16"/>
        <v>5.6805761115328789E-8</v>
      </c>
      <c r="D84" s="2">
        <f>Data!E49</f>
        <v>1.354266E-11</v>
      </c>
      <c r="E84" s="11">
        <f t="shared" si="13"/>
        <v>-8.8586086102807826E-14</v>
      </c>
      <c r="F84" s="3">
        <f t="shared" si="14"/>
        <v>-7.9461853584138155E-4</v>
      </c>
    </row>
    <row r="85" spans="1:7" x14ac:dyDescent="0.15">
      <c r="A85" t="str">
        <f>Data!A50</f>
        <v>051321-LS-WM-163m-Tf</v>
      </c>
      <c r="B85" s="2">
        <f>Data!C50*Data!G50</f>
        <v>3.2473871333865E-15</v>
      </c>
      <c r="C85" s="11">
        <f t="shared" ref="C85:C102" si="17">SQRT(B85)</f>
        <v>5.6985850290984514E-8</v>
      </c>
      <c r="D85" s="2">
        <f>Data!E50</f>
        <v>1.3363450000000001E-11</v>
      </c>
      <c r="E85" s="11">
        <f t="shared" si="13"/>
        <v>-2.9906343037221143E-13</v>
      </c>
      <c r="F85" s="3">
        <f t="shared" si="14"/>
        <v>-2.6826035060435447E-3</v>
      </c>
      <c r="G85" s="3">
        <f>AVERAGE(F85:F87)</f>
        <v>-2.784137953838129E-3</v>
      </c>
    </row>
    <row r="86" spans="1:7" x14ac:dyDescent="0.15">
      <c r="B86" s="2">
        <f>Data!C51*Data!G51</f>
        <v>3.2486837961989998E-15</v>
      </c>
      <c r="C86" s="11">
        <f t="shared" si="17"/>
        <v>5.6997226214957159E-8</v>
      </c>
      <c r="D86" s="2">
        <f>Data!E51</f>
        <v>1.3376539999999999E-11</v>
      </c>
      <c r="E86" s="11">
        <f t="shared" si="13"/>
        <v>-2.8794853481666342E-13</v>
      </c>
      <c r="F86" s="3">
        <f t="shared" si="14"/>
        <v>-2.5829027243414451E-3</v>
      </c>
    </row>
    <row r="87" spans="1:7" x14ac:dyDescent="0.15">
      <c r="B87" s="2">
        <f>Data!C52*Data!G52</f>
        <v>3.2498511118655996E-15</v>
      </c>
      <c r="C87" s="11">
        <f t="shared" si="17"/>
        <v>5.7007465404678357E-8</v>
      </c>
      <c r="D87" s="2">
        <f>Data!E52</f>
        <v>1.3322130000000001E-11</v>
      </c>
      <c r="E87" s="11">
        <f t="shared" ref="E87:E102" si="18">D87-(C87*I$22+I$21)</f>
        <v>-3.4413627780919225E-13</v>
      </c>
      <c r="F87" s="3">
        <f t="shared" ref="F87:F102" si="19">A$1*E87/A$2</f>
        <v>-3.0869076311293964E-3</v>
      </c>
    </row>
    <row r="88" spans="1:7" x14ac:dyDescent="0.15">
      <c r="A88" t="str">
        <f>Data!A53</f>
        <v>051321-LS-WM-163m-Tf</v>
      </c>
      <c r="B88" s="2">
        <f>Data!C53*Data!G53</f>
        <v>3.8159524601361002E-15</v>
      </c>
      <c r="C88" s="11">
        <f t="shared" si="17"/>
        <v>6.1773396054742694E-8</v>
      </c>
      <c r="D88" s="2">
        <f>Data!E53</f>
        <v>1.442628E-11</v>
      </c>
      <c r="E88" s="11">
        <f t="shared" si="18"/>
        <v>-6.7454080119163135E-14</v>
      </c>
      <c r="F88" s="3">
        <f t="shared" si="19"/>
        <v>-6.0506412167946251E-4</v>
      </c>
      <c r="G88" s="3">
        <f>AVERAGE(F88:F90)</f>
        <v>-1.7678504222100478E-3</v>
      </c>
    </row>
    <row r="89" spans="1:7" x14ac:dyDescent="0.15">
      <c r="B89" s="2">
        <f>Data!C54*Data!G54</f>
        <v>3.8134874024698005E-15</v>
      </c>
      <c r="C89" s="11">
        <f t="shared" si="17"/>
        <v>6.1753440409986874E-8</v>
      </c>
      <c r="D89" s="2">
        <f>Data!E54</f>
        <v>1.4356490000000001E-11</v>
      </c>
      <c r="E89" s="11">
        <f t="shared" si="18"/>
        <v>-1.337793520896952E-13</v>
      </c>
      <c r="F89" s="3">
        <f t="shared" si="19"/>
        <v>-1.2000028171461664E-3</v>
      </c>
    </row>
    <row r="90" spans="1:7" x14ac:dyDescent="0.15">
      <c r="B90" s="2">
        <f>Data!C55*Data!G55</f>
        <v>3.8161700735721001E-15</v>
      </c>
      <c r="C90" s="11">
        <f t="shared" si="17"/>
        <v>6.1775157414385441E-8</v>
      </c>
      <c r="D90" s="2">
        <f>Data!E55</f>
        <v>1.4104020000000001E-11</v>
      </c>
      <c r="E90" s="11">
        <f t="shared" si="18"/>
        <v>-3.9001988993883573E-13</v>
      </c>
      <c r="F90" s="3">
        <f t="shared" si="19"/>
        <v>-3.4984843278045141E-3</v>
      </c>
    </row>
    <row r="91" spans="1:7" x14ac:dyDescent="0.15">
      <c r="A91" t="str">
        <f>Data!A62</f>
        <v>051321-LS-SB-5m-To</v>
      </c>
      <c r="B91" s="2">
        <f>Data!C62*Data!G62</f>
        <v>3.0615057259734002E-15</v>
      </c>
      <c r="C91" s="11">
        <f t="shared" si="17"/>
        <v>5.5330874979286204E-8</v>
      </c>
      <c r="D91" s="2">
        <f>Data!E62</f>
        <v>1.2758879999999999E-11</v>
      </c>
      <c r="E91" s="11">
        <f t="shared" si="18"/>
        <v>-6.1629421278838675E-13</v>
      </c>
      <c r="F91" s="3">
        <f t="shared" si="19"/>
        <v>-5.5281684354480422E-3</v>
      </c>
      <c r="G91" s="3">
        <f>AVERAGE(F91:F93)</f>
        <v>-6.1874964161844738E-3</v>
      </c>
    </row>
    <row r="92" spans="1:7" x14ac:dyDescent="0.15">
      <c r="B92" s="2">
        <f>Data!C63*Data!G63</f>
        <v>3.0606331672011996E-15</v>
      </c>
      <c r="C92" s="11">
        <f t="shared" si="17"/>
        <v>5.5322989499856203E-8</v>
      </c>
      <c r="D92" s="2">
        <f>Data!E63</f>
        <v>1.2613140000000001E-11</v>
      </c>
      <c r="E92" s="11">
        <f t="shared" si="18"/>
        <v>-7.6066512439554044E-13</v>
      </c>
      <c r="F92" s="3">
        <f t="shared" si="19"/>
        <v>-6.8231777020977156E-3</v>
      </c>
    </row>
    <row r="93" spans="1:7" x14ac:dyDescent="0.15">
      <c r="B93" s="2">
        <f>Data!C64*Data!G64</f>
        <v>3.0625318216647002E-15</v>
      </c>
      <c r="C93" s="11">
        <f t="shared" si="17"/>
        <v>5.5340146563455182E-8</v>
      </c>
      <c r="D93" s="2">
        <f>Data!E64</f>
        <v>1.2684350000000001E-11</v>
      </c>
      <c r="E93" s="11">
        <f t="shared" si="18"/>
        <v>-6.9243395869942212E-13</v>
      </c>
      <c r="F93" s="3">
        <f t="shared" si="19"/>
        <v>-6.2111431110076628E-3</v>
      </c>
    </row>
    <row r="94" spans="1:7" x14ac:dyDescent="0.15">
      <c r="A94" t="str">
        <f>Data!A65</f>
        <v>051321-LS-SB-5m-To</v>
      </c>
      <c r="B94" s="2">
        <f>Data!C65*Data!G65</f>
        <v>3.0139617588195003E-15</v>
      </c>
      <c r="C94" s="11">
        <f t="shared" si="17"/>
        <v>5.4899560643228284E-8</v>
      </c>
      <c r="D94" s="2">
        <f>Data!E65</f>
        <v>1.28347E-11</v>
      </c>
      <c r="E94" s="11">
        <f t="shared" si="18"/>
        <v>-4.6558879124793228E-13</v>
      </c>
      <c r="F94" s="3">
        <f t="shared" si="19"/>
        <v>-4.1763385186272964E-3</v>
      </c>
      <c r="G94" s="3">
        <f>AVERAGE(F94:F96)</f>
        <v>-2.3899658434485397E-3</v>
      </c>
    </row>
    <row r="95" spans="1:7" x14ac:dyDescent="0.15">
      <c r="B95" s="2">
        <f>Data!C66*Data!G66</f>
        <v>3.0148026677435998E-15</v>
      </c>
      <c r="C95" s="11">
        <f t="shared" si="17"/>
        <v>5.4907218721618013E-8</v>
      </c>
      <c r="D95" s="2">
        <f>Data!E66</f>
        <v>1.3227450000000001E-11</v>
      </c>
      <c r="E95" s="11">
        <f t="shared" si="18"/>
        <v>-7.4168397941847167E-14</v>
      </c>
      <c r="F95" s="3">
        <f t="shared" si="19"/>
        <v>-6.6529165437848037E-4</v>
      </c>
    </row>
    <row r="96" spans="1:7" x14ac:dyDescent="0.15">
      <c r="B96" s="2">
        <f>Data!C67*Data!G67</f>
        <v>3.0120410379207998E-15</v>
      </c>
      <c r="C96" s="11">
        <f t="shared" si="17"/>
        <v>5.488206481101818E-8</v>
      </c>
      <c r="D96" s="2">
        <f>Data!E67</f>
        <v>1.303769E-11</v>
      </c>
      <c r="E96" s="11">
        <f t="shared" si="18"/>
        <v>-2.5956113944570168E-13</v>
      </c>
      <c r="F96" s="3">
        <f t="shared" si="19"/>
        <v>-2.3282673573398424E-3</v>
      </c>
    </row>
    <row r="97" spans="1:7" x14ac:dyDescent="0.15">
      <c r="A97" t="str">
        <f>Data!A68</f>
        <v>051321-LS-SB-33m-To</v>
      </c>
      <c r="B97" s="2">
        <f>Data!C68*Data!G68</f>
        <v>3.1115103442127999E-15</v>
      </c>
      <c r="C97" s="11">
        <f t="shared" si="17"/>
        <v>5.5780913798653387E-8</v>
      </c>
      <c r="D97" s="2">
        <f>Data!E68</f>
        <v>1.3349649999999999E-11</v>
      </c>
      <c r="E97" s="11">
        <f t="shared" si="18"/>
        <v>-1.0366060631960649E-13</v>
      </c>
      <c r="F97" s="3">
        <f t="shared" si="19"/>
        <v>-9.2983721080668394E-4</v>
      </c>
      <c r="G97" s="3">
        <f>AVERAGE(F97:F99)</f>
        <v>-1.8929021668943325E-3</v>
      </c>
    </row>
    <row r="98" spans="1:7" x14ac:dyDescent="0.15">
      <c r="B98" s="2">
        <f>Data!C69*Data!G69</f>
        <v>3.1129612545875995E-15</v>
      </c>
      <c r="C98" s="11">
        <f t="shared" si="17"/>
        <v>5.5793917720371631E-8</v>
      </c>
      <c r="D98" s="2">
        <f>Data!E69</f>
        <v>1.3273589999999999E-11</v>
      </c>
      <c r="E98" s="11">
        <f t="shared" si="18"/>
        <v>-1.8197836609743015E-13</v>
      </c>
      <c r="F98" s="3">
        <f t="shared" si="19"/>
        <v>-1.6323487037832175E-3</v>
      </c>
    </row>
    <row r="99" spans="1:7" x14ac:dyDescent="0.15">
      <c r="B99" s="2">
        <f>Data!C70*Data!G70</f>
        <v>3.1135713675810002E-15</v>
      </c>
      <c r="C99" s="11">
        <f t="shared" si="17"/>
        <v>5.5799385010777676E-8</v>
      </c>
      <c r="D99" s="2">
        <f>Data!E70</f>
        <v>1.3109079999999999E-11</v>
      </c>
      <c r="E99" s="11">
        <f t="shared" si="18"/>
        <v>-3.4743760499934534E-13</v>
      </c>
      <c r="F99" s="3">
        <f t="shared" si="19"/>
        <v>-3.1165205860930953E-3</v>
      </c>
    </row>
    <row r="100" spans="1:7" x14ac:dyDescent="0.15">
      <c r="A100" t="str">
        <f>Data!A71</f>
        <v>051321-LS-SB-33m-To</v>
      </c>
      <c r="B100" s="2">
        <f>Data!C71*Data!G71</f>
        <v>3.0898094132265E-15</v>
      </c>
      <c r="C100" s="11">
        <f t="shared" si="17"/>
        <v>5.5586054125351443E-8</v>
      </c>
      <c r="D100" s="2">
        <f>Data!E71</f>
        <v>1.3324259999999999E-11</v>
      </c>
      <c r="E100" s="11">
        <f t="shared" si="18"/>
        <v>-9.5218786793694162E-14</v>
      </c>
      <c r="F100" s="3">
        <f t="shared" si="19"/>
        <v>-8.5411396163036625E-4</v>
      </c>
      <c r="G100" s="3">
        <f>AVERAGE(F100:F102)</f>
        <v>2.6805976003133579E-4</v>
      </c>
    </row>
    <row r="101" spans="1:7" x14ac:dyDescent="0.15">
      <c r="B101" s="2">
        <f>Data!C72*Data!G72</f>
        <v>3.0945448481129997E-15</v>
      </c>
      <c r="C101" s="11">
        <f t="shared" si="17"/>
        <v>5.5628633347521664E-8</v>
      </c>
      <c r="D101" s="2">
        <f>Data!E72</f>
        <v>1.3536560000000001E-11</v>
      </c>
      <c r="E101" s="11">
        <f t="shared" si="18"/>
        <v>1.0968854680383195E-13</v>
      </c>
      <c r="F101" s="3">
        <f t="shared" si="19"/>
        <v>9.8390792837010953E-4</v>
      </c>
    </row>
    <row r="102" spans="1:7" x14ac:dyDescent="0.15">
      <c r="B102" s="2">
        <f>Data!C73*Data!G73</f>
        <v>3.0921784056096001E-15</v>
      </c>
      <c r="C102" s="11">
        <f t="shared" si="17"/>
        <v>5.5607359275635455E-8</v>
      </c>
      <c r="D102" s="2">
        <f>Data!E73</f>
        <v>1.349836E-11</v>
      </c>
      <c r="E102" s="11">
        <f t="shared" si="18"/>
        <v>7.5182182066786264E-14</v>
      </c>
      <c r="F102" s="3">
        <f t="shared" si="19"/>
        <v>6.7438531335426409E-4</v>
      </c>
    </row>
    <row r="103" spans="1:7" x14ac:dyDescent="0.15">
      <c r="A103" t="str">
        <f>Data!A74</f>
        <v>051421-LS-SB-5m-Tf</v>
      </c>
      <c r="B103" s="2">
        <f>Data!C74*Data!G74</f>
        <v>2.9703836712584001E-15</v>
      </c>
      <c r="C103" s="11">
        <f t="shared" ref="C103:C108" si="20">SQRT(B103)</f>
        <v>5.4501226328023116E-8</v>
      </c>
      <c r="D103" s="2">
        <f>Data!E74</f>
        <v>1.320385E-11</v>
      </c>
      <c r="E103" s="11">
        <f t="shared" ref="E103:E108" si="21">D103-(C103*I$22+I$21)</f>
        <v>-2.7279408833709267E-14</v>
      </c>
      <c r="F103" s="3">
        <f t="shared" ref="F103:F108" si="22">A$1*E103/A$2</f>
        <v>-2.4469671095869131E-4</v>
      </c>
      <c r="G103" s="3">
        <f>AVERAGE(F103:F105)</f>
        <v>-1.7819192618559448E-3</v>
      </c>
    </row>
    <row r="104" spans="1:7" x14ac:dyDescent="0.15">
      <c r="B104" s="2">
        <f>Data!C75*Data!G75</f>
        <v>2.9740587307331999E-15</v>
      </c>
      <c r="C104" s="11">
        <f t="shared" si="20"/>
        <v>5.4534931289341511E-8</v>
      </c>
      <c r="D104" s="2">
        <f>Data!E75</f>
        <v>1.308225E-11</v>
      </c>
      <c r="E104" s="11">
        <f t="shared" si="21"/>
        <v>-1.5473131317660914E-13</v>
      </c>
      <c r="F104" s="3">
        <f t="shared" si="22"/>
        <v>-1.3879422258538446E-3</v>
      </c>
    </row>
    <row r="105" spans="1:7" x14ac:dyDescent="0.15">
      <c r="B105" s="2">
        <f>Data!C76*Data!G76</f>
        <v>2.9649420409840003E-15</v>
      </c>
      <c r="C105" s="11">
        <f t="shared" si="20"/>
        <v>5.4451281353003994E-8</v>
      </c>
      <c r="D105" s="2">
        <f>Data!E76</f>
        <v>1.280851E-11</v>
      </c>
      <c r="E105" s="11">
        <f t="shared" si="21"/>
        <v>-4.1394788972234013E-13</v>
      </c>
      <c r="F105" s="3">
        <f t="shared" si="22"/>
        <v>-3.7131188487552987E-3</v>
      </c>
    </row>
    <row r="106" spans="1:7" x14ac:dyDescent="0.15">
      <c r="A106" t="str">
        <f>Data!A77</f>
        <v>051421-LS-SB-5m-Tf</v>
      </c>
      <c r="B106" s="2">
        <f>Data!C77*Data!G77</f>
        <v>2.9565224853930004E-15</v>
      </c>
      <c r="C106" s="11">
        <f t="shared" si="20"/>
        <v>5.4373913647934157E-8</v>
      </c>
      <c r="D106" s="2">
        <f>Data!E77</f>
        <v>1.327991E-11</v>
      </c>
      <c r="E106" s="11">
        <f t="shared" si="21"/>
        <v>7.0884803613859746E-14</v>
      </c>
      <c r="F106" s="3">
        <f t="shared" si="22"/>
        <v>6.3583776345734486E-4</v>
      </c>
      <c r="G106" s="3">
        <f>AVERAGE(F106:F108)</f>
        <v>-9.7057630465295815E-4</v>
      </c>
    </row>
    <row r="107" spans="1:7" x14ac:dyDescent="0.15">
      <c r="B107" s="2">
        <f>Data!C78*Data!G78</f>
        <v>2.9522901435749998E-15</v>
      </c>
      <c r="C107" s="11">
        <f t="shared" si="20"/>
        <v>5.4334980846366362E-8</v>
      </c>
      <c r="D107" s="2">
        <f>Data!E78</f>
        <v>1.289748E-11</v>
      </c>
      <c r="E107" s="11">
        <f t="shared" si="21"/>
        <v>-3.0478562682533786E-13</v>
      </c>
      <c r="F107" s="3">
        <f t="shared" si="22"/>
        <v>-2.7339316950110888E-3</v>
      </c>
    </row>
    <row r="108" spans="1:7" x14ac:dyDescent="0.15">
      <c r="B108" s="2">
        <f>Data!C79*Data!G79</f>
        <v>2.9502253176052E-15</v>
      </c>
      <c r="C108" s="11">
        <f t="shared" si="20"/>
        <v>5.4315976633079149E-8</v>
      </c>
      <c r="D108" s="2">
        <f>Data!E79</f>
        <v>1.3108259999999999E-11</v>
      </c>
      <c r="E108" s="11">
        <f t="shared" si="21"/>
        <v>-9.0706087709468028E-14</v>
      </c>
      <c r="F108" s="3">
        <f t="shared" si="22"/>
        <v>-8.1363498240513037E-4</v>
      </c>
    </row>
    <row r="109" spans="1:7" x14ac:dyDescent="0.15">
      <c r="A109" t="str">
        <f>Data!A80</f>
        <v>051421-LS-SB-33m-Tf</v>
      </c>
      <c r="B109" s="2">
        <f>Data!C80*Data!G80</f>
        <v>3.0644468111679998E-15</v>
      </c>
      <c r="C109" s="11">
        <f t="shared" ref="C109:C114" si="23">SQRT(B109)</f>
        <v>5.5357445851195118E-8</v>
      </c>
      <c r="D109" s="2">
        <f>Data!E80</f>
        <v>1.3256069999999999E-11</v>
      </c>
      <c r="E109" s="11">
        <f t="shared" ref="E109:E114" si="24">D109-(C109*I$22+I$21)</f>
        <v>-1.2371748616524994E-13</v>
      </c>
      <c r="F109" s="3">
        <f t="shared" ref="F109:F114" si="25">A$1*E109/A$2</f>
        <v>-1.1097477272053371E-3</v>
      </c>
      <c r="G109" s="3">
        <f>AVERAGE(F109:F111)</f>
        <v>-1.8053926316163539E-3</v>
      </c>
    </row>
    <row r="110" spans="1:7" x14ac:dyDescent="0.15">
      <c r="B110" s="2">
        <f>Data!C81*Data!G81</f>
        <v>3.0628426587824999E-15</v>
      </c>
      <c r="C110" s="11">
        <f t="shared" si="23"/>
        <v>5.5342954915531026E-8</v>
      </c>
      <c r="D110" s="2">
        <f>Data!E81</f>
        <v>1.3025149999999999E-11</v>
      </c>
      <c r="E110" s="11">
        <f t="shared" si="24"/>
        <v>-3.5212154886615914E-13</v>
      </c>
      <c r="F110" s="3">
        <f t="shared" si="25"/>
        <v>-3.1585356336152463E-3</v>
      </c>
    </row>
    <row r="111" spans="1:7" x14ac:dyDescent="0.15">
      <c r="B111" s="2">
        <f>Data!C82*Data!G82</f>
        <v>3.0608594478271997E-15</v>
      </c>
      <c r="C111" s="11">
        <f t="shared" si="23"/>
        <v>5.5325034548811624E-8</v>
      </c>
      <c r="D111" s="2">
        <f>Data!E82</f>
        <v>1.3246190000000001E-11</v>
      </c>
      <c r="E111" s="11">
        <f t="shared" si="24"/>
        <v>-1.2797018876575478E-13</v>
      </c>
      <c r="F111" s="3">
        <f t="shared" si="25"/>
        <v>-1.1478945340284788E-3</v>
      </c>
    </row>
    <row r="112" spans="1:7" x14ac:dyDescent="0.15">
      <c r="A112" t="str">
        <f>Data!A83</f>
        <v>051421-LS-SB-33m-Tf</v>
      </c>
      <c r="B112" s="2">
        <f>Data!C83*Data!G83</f>
        <v>3.0516983531735998E-15</v>
      </c>
      <c r="C112" s="11">
        <f t="shared" si="23"/>
        <v>5.5242179113188503E-8</v>
      </c>
      <c r="D112" s="2">
        <f>Data!E83</f>
        <v>1.329468E-11</v>
      </c>
      <c r="E112" s="11">
        <f t="shared" si="24"/>
        <v>-6.5094707679585162E-14</v>
      </c>
      <c r="F112" s="3">
        <f t="shared" si="25"/>
        <v>-5.8390051511413607E-4</v>
      </c>
      <c r="G112" s="3">
        <f>AVERAGE(F112:F114)</f>
        <v>-4.6591745212855366E-4</v>
      </c>
    </row>
    <row r="113" spans="1:7" x14ac:dyDescent="0.15">
      <c r="B113" s="2">
        <f>Data!C84*Data!G84</f>
        <v>3.0509315660520002E-15</v>
      </c>
      <c r="C113" s="11">
        <f t="shared" si="23"/>
        <v>5.5235238444782693E-8</v>
      </c>
      <c r="D113" s="2">
        <f>Data!E84</f>
        <v>1.3455650000000001E-11</v>
      </c>
      <c r="E113" s="11">
        <f t="shared" si="24"/>
        <v>9.7080341250834351E-14</v>
      </c>
      <c r="F113" s="3">
        <f t="shared" si="25"/>
        <v>8.7081213334330363E-4</v>
      </c>
    </row>
    <row r="114" spans="1:7" x14ac:dyDescent="0.15">
      <c r="B114" s="2">
        <f>Data!C85*Data!G85</f>
        <v>3.0444519999159004E-15</v>
      </c>
      <c r="C114" s="11">
        <f t="shared" si="23"/>
        <v>5.5176552990522163E-8</v>
      </c>
      <c r="D114" s="2">
        <f>Data!E85</f>
        <v>1.3160570000000001E-11</v>
      </c>
      <c r="E114" s="11">
        <f t="shared" si="24"/>
        <v>-1.8781060493574726E-13</v>
      </c>
      <c r="F114" s="3">
        <f t="shared" si="25"/>
        <v>-1.6846639746148284E-3</v>
      </c>
    </row>
    <row r="115" spans="1:7" x14ac:dyDescent="0.15">
      <c r="A115" t="str">
        <f>Data!A98</f>
        <v>051421-LS-WM-C-IN-To</v>
      </c>
      <c r="B115" s="2">
        <f>Data!C98*Data!G98</f>
        <v>1.5077834533934999E-15</v>
      </c>
      <c r="C115" s="11">
        <f t="shared" ref="C115:C132" si="26">SQRT(B115)</f>
        <v>3.8830187398382459E-8</v>
      </c>
      <c r="D115" s="2">
        <f>Data!E98</f>
        <v>1.006855E-11</v>
      </c>
      <c r="E115" s="11">
        <f t="shared" ref="E115:E132" si="27">D115-(C115*I$22+I$21)</f>
        <v>-4.4175086659532871E-13</v>
      </c>
      <c r="F115" s="3">
        <f t="shared" ref="F115:F132" si="28">A$1*E115/A$2</f>
        <v>-3.9625119729667741E-3</v>
      </c>
      <c r="G115" s="3">
        <f>AVERAGE(F115:F117)</f>
        <v>-2.8064220791964925E-3</v>
      </c>
    </row>
    <row r="116" spans="1:7" x14ac:dyDescent="0.15">
      <c r="B116" s="2">
        <f>Data!C99*Data!G99</f>
        <v>1.5077046022325998E-15</v>
      </c>
      <c r="C116" s="11">
        <f t="shared" si="26"/>
        <v>3.8829172051855547E-8</v>
      </c>
      <c r="D116" s="2">
        <f>Data!E99</f>
        <v>1.027069E-11</v>
      </c>
      <c r="E116" s="11">
        <f t="shared" si="27"/>
        <v>-2.3943458065646433E-13</v>
      </c>
      <c r="F116" s="3">
        <f t="shared" si="28"/>
        <v>-2.1477318197603993E-3</v>
      </c>
    </row>
    <row r="117" spans="1:7" x14ac:dyDescent="0.15">
      <c r="B117" s="2">
        <f>Data!C100*Data!G100</f>
        <v>1.5085818955340001E-15</v>
      </c>
      <c r="C117" s="11">
        <f t="shared" si="26"/>
        <v>3.8840467241448061E-8</v>
      </c>
      <c r="D117" s="2">
        <f>Data!E100</f>
        <v>1.025467E-11</v>
      </c>
      <c r="E117" s="11">
        <f t="shared" si="27"/>
        <v>-2.5741566788056739E-13</v>
      </c>
      <c r="F117" s="3">
        <f t="shared" si="28"/>
        <v>-2.3090224448623032E-3</v>
      </c>
    </row>
    <row r="118" spans="1:7" x14ac:dyDescent="0.15">
      <c r="A118" t="str">
        <f>Data!A101</f>
        <v>051421-LS-WM-C-IN-To</v>
      </c>
      <c r="B118" s="2">
        <f>Data!C101*Data!G101</f>
        <v>1.50521919454E-15</v>
      </c>
      <c r="C118" s="11">
        <f t="shared" si="26"/>
        <v>3.8797154464470718E-8</v>
      </c>
      <c r="D118" s="2">
        <f>Data!E101</f>
        <v>1.0212859999999999E-11</v>
      </c>
      <c r="E118" s="11">
        <f t="shared" si="27"/>
        <v>-2.9170564062693909E-13</v>
      </c>
      <c r="F118" s="3">
        <f t="shared" si="28"/>
        <v>-2.6166040204399954E-3</v>
      </c>
      <c r="G118" s="3">
        <f>AVERAGE(F118:F120)</f>
        <v>-2.1631922939065913E-3</v>
      </c>
    </row>
    <row r="119" spans="1:7" x14ac:dyDescent="0.15">
      <c r="B119" s="2">
        <f>Data!C102*Data!G102</f>
        <v>1.5031862115939999E-15</v>
      </c>
      <c r="C119" s="11">
        <f t="shared" si="26"/>
        <v>3.8770945456540001E-8</v>
      </c>
      <c r="D119" s="2">
        <f>Data!E102</f>
        <v>1.0271959999999999E-11</v>
      </c>
      <c r="E119" s="11">
        <f t="shared" si="27"/>
        <v>-2.2805519459960011E-13</v>
      </c>
      <c r="F119" s="3">
        <f t="shared" si="28"/>
        <v>-2.0456585542502227E-3</v>
      </c>
    </row>
    <row r="120" spans="1:7" x14ac:dyDescent="0.15">
      <c r="B120" s="2">
        <f>Data!C103*Data!G103</f>
        <v>1.5038019019522002E-15</v>
      </c>
      <c r="C120" s="11">
        <f t="shared" si="26"/>
        <v>3.8778884743532789E-8</v>
      </c>
      <c r="D120" s="2">
        <f>Data!E103</f>
        <v>1.0297679999999999E-11</v>
      </c>
      <c r="E120" s="11">
        <f t="shared" si="27"/>
        <v>-2.0371362513965521E-13</v>
      </c>
      <c r="F120" s="3">
        <f t="shared" si="28"/>
        <v>-1.8273143070295561E-3</v>
      </c>
    </row>
    <row r="121" spans="1:7" x14ac:dyDescent="0.15">
      <c r="A121" t="str">
        <f>Data!A104</f>
        <v>051521-LS-WM-C-IN-T1</v>
      </c>
      <c r="B121" s="2">
        <f>Data!C104*Data!G104</f>
        <v>1.496180780578E-15</v>
      </c>
      <c r="C121" s="11">
        <f t="shared" si="26"/>
        <v>3.8680496126316686E-8</v>
      </c>
      <c r="D121" s="2">
        <f>Data!E104</f>
        <v>1.028507E-11</v>
      </c>
      <c r="E121" s="11">
        <f t="shared" si="27"/>
        <v>-1.992412505022842E-13</v>
      </c>
      <c r="F121" s="3">
        <f t="shared" si="28"/>
        <v>-1.7871970387041726E-3</v>
      </c>
      <c r="G121" s="3">
        <f>AVERAGE(F121:F123)</f>
        <v>-1.919210176186067E-3</v>
      </c>
    </row>
    <row r="122" spans="1:7" x14ac:dyDescent="0.15">
      <c r="B122" s="2">
        <f>Data!C105*Data!G105</f>
        <v>1.4971231661424999E-15</v>
      </c>
      <c r="C122" s="11">
        <f t="shared" si="26"/>
        <v>3.8692675872088506E-8</v>
      </c>
      <c r="D122" s="2">
        <f>Data!E105</f>
        <v>1.0056219999999999E-11</v>
      </c>
      <c r="E122" s="11">
        <f t="shared" si="27"/>
        <v>-4.3020591565511657E-13</v>
      </c>
      <c r="F122" s="3">
        <f t="shared" si="28"/>
        <v>-3.8589535879420046E-3</v>
      </c>
    </row>
    <row r="123" spans="1:7" x14ac:dyDescent="0.15">
      <c r="B123" s="2">
        <f>Data!C106*Data!G106</f>
        <v>1.4984660200068E-15</v>
      </c>
      <c r="C123" s="11">
        <f t="shared" si="26"/>
        <v>3.8710024799873225E-8</v>
      </c>
      <c r="D123" s="2">
        <f>Data!E106</f>
        <v>1.047701E-11</v>
      </c>
      <c r="E123" s="11">
        <f t="shared" si="27"/>
        <v>-1.2428061697622559E-14</v>
      </c>
      <c r="F123" s="3">
        <f t="shared" si="28"/>
        <v>-1.1147990191202471E-4</v>
      </c>
    </row>
    <row r="124" spans="1:7" x14ac:dyDescent="0.15">
      <c r="A124" t="str">
        <f>Data!A107</f>
        <v>051521-LS-WM-C-IN-T1</v>
      </c>
      <c r="B124" s="2">
        <f>Data!C107*Data!G107</f>
        <v>1.4993640149406E-15</v>
      </c>
      <c r="C124" s="11">
        <f t="shared" si="26"/>
        <v>3.872162205978205E-8</v>
      </c>
      <c r="D124" s="2">
        <f>Data!E107</f>
        <v>1.032655E-11</v>
      </c>
      <c r="E124" s="11">
        <f t="shared" si="27"/>
        <v>-1.649015948088196E-13</v>
      </c>
      <c r="F124" s="3">
        <f t="shared" si="28"/>
        <v>-1.4791698063375638E-3</v>
      </c>
      <c r="G124" s="3">
        <f>AVERAGE(F124:F126)</f>
        <v>-1.9273311674701792E-3</v>
      </c>
    </row>
    <row r="125" spans="1:7" x14ac:dyDescent="0.15">
      <c r="B125" s="2">
        <f>Data!C108*Data!G108</f>
        <v>1.4984133319268999E-15</v>
      </c>
      <c r="C125" s="11">
        <f t="shared" si="26"/>
        <v>3.8709344245632729E-8</v>
      </c>
      <c r="D125" s="2">
        <f>Data!E108</f>
        <v>1.019657E-11</v>
      </c>
      <c r="E125" s="11">
        <f t="shared" si="27"/>
        <v>-2.9274990288183494E-13</v>
      </c>
      <c r="F125" s="3">
        <f t="shared" si="28"/>
        <v>-2.6259710687037236E-3</v>
      </c>
    </row>
    <row r="126" spans="1:7" x14ac:dyDescent="0.15">
      <c r="B126" s="2">
        <f>Data!C109*Data!G109</f>
        <v>1.4965588843980001E-15</v>
      </c>
      <c r="C126" s="11">
        <f t="shared" si="26"/>
        <v>3.868538334304056E-8</v>
      </c>
      <c r="D126" s="2">
        <f>Data!E109</f>
        <v>1.0298219999999999E-11</v>
      </c>
      <c r="E126" s="11">
        <f t="shared" si="27"/>
        <v>-1.8693977616890625E-13</v>
      </c>
      <c r="F126" s="3">
        <f t="shared" si="28"/>
        <v>-1.6768526273692496E-3</v>
      </c>
    </row>
    <row r="127" spans="1:7" x14ac:dyDescent="0.15">
      <c r="A127" t="str">
        <f>Data!A110</f>
        <v>051621-LS-WM-C-IN-T2</v>
      </c>
      <c r="B127" s="2">
        <f>Data!C110*Data!G110</f>
        <v>1.5051973514841E-15</v>
      </c>
      <c r="C127" s="11">
        <f t="shared" si="26"/>
        <v>3.8796872960125278E-8</v>
      </c>
      <c r="D127" s="2">
        <f>Data!E110</f>
        <v>1.060594E-11</v>
      </c>
      <c r="E127" s="11">
        <f t="shared" si="27"/>
        <v>1.0142323456642136E-13</v>
      </c>
      <c r="F127" s="3">
        <f t="shared" si="28"/>
        <v>9.0976795224856724E-4</v>
      </c>
      <c r="G127" s="3">
        <f>AVERAGE(F127:F129)</f>
        <v>-9.4413100358406909E-4</v>
      </c>
    </row>
    <row r="128" spans="1:7" x14ac:dyDescent="0.15">
      <c r="B128" s="2">
        <f>Data!C111*Data!G111</f>
        <v>1.5042799904200001E-15</v>
      </c>
      <c r="C128" s="11">
        <f t="shared" si="26"/>
        <v>3.8785048542189556E-8</v>
      </c>
      <c r="D128" s="2">
        <f>Data!E111</f>
        <v>1.023548E-11</v>
      </c>
      <c r="E128" s="11">
        <f t="shared" si="27"/>
        <v>-2.6698379281578766E-13</v>
      </c>
      <c r="F128" s="3">
        <f t="shared" si="28"/>
        <v>-2.3948486706416939E-3</v>
      </c>
    </row>
    <row r="129" spans="1:7" x14ac:dyDescent="0.15">
      <c r="B129" s="2">
        <f>Data!C112*Data!G112</f>
        <v>1.5028676094185E-15</v>
      </c>
      <c r="C129" s="11">
        <f t="shared" si="26"/>
        <v>3.8766836463896559E-8</v>
      </c>
      <c r="D129" s="2">
        <f>Data!E112</f>
        <v>1.0349100000000001E-11</v>
      </c>
      <c r="E129" s="11">
        <f t="shared" si="27"/>
        <v>-1.5020178532824672E-13</v>
      </c>
      <c r="F129" s="3">
        <f t="shared" si="28"/>
        <v>-1.3473122923590806E-3</v>
      </c>
    </row>
    <row r="130" spans="1:7" x14ac:dyDescent="0.15">
      <c r="A130" t="str">
        <f>Data!A113</f>
        <v>051621-LS-WM-C-IN-T2</v>
      </c>
      <c r="B130" s="2">
        <f>Data!C113*Data!G113</f>
        <v>1.4941214507275E-15</v>
      </c>
      <c r="C130" s="11">
        <f t="shared" si="26"/>
        <v>3.8653867215681022E-8</v>
      </c>
      <c r="D130" s="2">
        <f>Data!E113</f>
        <v>1.0424250000000001E-11</v>
      </c>
      <c r="E130" s="11">
        <f t="shared" si="27"/>
        <v>-5.5437900357373542E-14</v>
      </c>
      <c r="F130" s="3">
        <f t="shared" si="28"/>
        <v>-4.9727880697847306E-4</v>
      </c>
      <c r="G130" s="3">
        <f>AVERAGE(F130:F132)</f>
        <v>-1.7582686100519598E-3</v>
      </c>
    </row>
    <row r="131" spans="1:7" x14ac:dyDescent="0.15">
      <c r="B131" s="2">
        <f>Data!C114*Data!G114</f>
        <v>1.4962300959264E-15</v>
      </c>
      <c r="C131" s="11">
        <f t="shared" si="26"/>
        <v>3.868113359153788E-8</v>
      </c>
      <c r="D131" s="2">
        <f>Data!E114</f>
        <v>1.002039E-11</v>
      </c>
      <c r="E131" s="11">
        <f t="shared" si="27"/>
        <v>-4.6403192813994963E-13</v>
      </c>
      <c r="F131" s="3">
        <f t="shared" si="28"/>
        <v>-4.1623734329372603E-3</v>
      </c>
    </row>
    <row r="132" spans="1:7" x14ac:dyDescent="0.15">
      <c r="B132" s="2">
        <f>Data!C115*Data!G115</f>
        <v>1.497953628675E-15</v>
      </c>
      <c r="C132" s="11">
        <f t="shared" si="26"/>
        <v>3.8703405905359285E-8</v>
      </c>
      <c r="D132" s="2">
        <f>Data!E115</f>
        <v>1.041971E-11</v>
      </c>
      <c r="E132" s="11">
        <f t="shared" si="27"/>
        <v>-6.8578879617707349E-14</v>
      </c>
      <c r="F132" s="3">
        <f t="shared" si="28"/>
        <v>-6.1515359024014637E-4</v>
      </c>
    </row>
    <row r="133" spans="1:7" x14ac:dyDescent="0.15">
      <c r="A133" t="str">
        <f>Data!A116</f>
        <v>051421-LS-SB-C-IN-To</v>
      </c>
      <c r="B133" s="2">
        <f>Data!C116*Data!G116</f>
        <v>1.476129571126E-15</v>
      </c>
      <c r="C133" s="11">
        <f t="shared" ref="C133:C174" si="29">SQRT(B133)</f>
        <v>3.8420431688438903E-8</v>
      </c>
      <c r="D133" s="2">
        <f>Data!E116</f>
        <v>1.039833E-11</v>
      </c>
      <c r="E133" s="11">
        <f t="shared" ref="E133:E174" si="30">D133-(C133*I$22+I$21)</f>
        <v>-4.0828485036256555E-14</v>
      </c>
      <c r="F133" s="3">
        <f t="shared" ref="F133:F174" si="31">A$1*E133/A$2</f>
        <v>-3.6623212998122985E-4</v>
      </c>
      <c r="G133" s="3">
        <f>AVERAGE(F133:F135)</f>
        <v>-2.0553084999705268E-3</v>
      </c>
    </row>
    <row r="134" spans="1:7" x14ac:dyDescent="0.15">
      <c r="B134" s="2">
        <f>Data!C117*Data!G117</f>
        <v>1.4756905569979999E-15</v>
      </c>
      <c r="C134" s="11">
        <f t="shared" si="29"/>
        <v>3.8414717973688159E-8</v>
      </c>
      <c r="D134" s="2">
        <f>Data!E117</f>
        <v>9.9702100000000006E-12</v>
      </c>
      <c r="E134" s="11">
        <f t="shared" si="30"/>
        <v>-4.6795646158166345E-13</v>
      </c>
      <c r="F134" s="3">
        <f t="shared" si="31"/>
        <v>-4.1975765574290237E-3</v>
      </c>
    </row>
    <row r="135" spans="1:7" x14ac:dyDescent="0.15">
      <c r="B135" s="2">
        <f>Data!C118*Data!G118</f>
        <v>1.4762001865855999E-15</v>
      </c>
      <c r="C135" s="11">
        <f t="shared" si="29"/>
        <v>3.8421350660610567E-8</v>
      </c>
      <c r="D135" s="2">
        <f>Data!E118</f>
        <v>1.026071E-11</v>
      </c>
      <c r="E135" s="11">
        <f t="shared" si="30"/>
        <v>-1.7860803831957065E-13</v>
      </c>
      <c r="F135" s="3">
        <f t="shared" si="31"/>
        <v>-1.6021168125013271E-3</v>
      </c>
    </row>
    <row r="136" spans="1:7" x14ac:dyDescent="0.15">
      <c r="A136" t="str">
        <f>Data!A119</f>
        <v>051421-LS-SB-C-IN-To</v>
      </c>
      <c r="B136" s="2">
        <f>Data!C119*Data!G119</f>
        <v>1.4754033130157999E-15</v>
      </c>
      <c r="C136" s="11">
        <f t="shared" si="29"/>
        <v>3.8410979068695969E-8</v>
      </c>
      <c r="D136" s="2">
        <f>Data!E119</f>
        <v>1.031015E-11</v>
      </c>
      <c r="E136" s="11">
        <f t="shared" si="30"/>
        <v>-1.2736730746589891E-13</v>
      </c>
      <c r="F136" s="3">
        <f t="shared" si="31"/>
        <v>-1.1424866796254558E-3</v>
      </c>
      <c r="G136" s="3">
        <f>AVERAGE(F136:F138)</f>
        <v>-1.2581536506000711E-3</v>
      </c>
    </row>
    <row r="137" spans="1:7" x14ac:dyDescent="0.15">
      <c r="B137" s="2">
        <f>Data!C120*Data!G120</f>
        <v>1.4717589035563E-15</v>
      </c>
      <c r="C137" s="11">
        <f t="shared" si="29"/>
        <v>3.8363510052604678E-8</v>
      </c>
      <c r="D137" s="2">
        <f>Data!E120</f>
        <v>1.036144E-11</v>
      </c>
      <c r="E137" s="11">
        <f t="shared" si="30"/>
        <v>-6.7835667940082709E-14</v>
      </c>
      <c r="F137" s="3">
        <f t="shared" si="31"/>
        <v>-6.0848697022028323E-4</v>
      </c>
    </row>
    <row r="138" spans="1:7" x14ac:dyDescent="0.15">
      <c r="B138" s="2">
        <f>Data!C121*Data!G121</f>
        <v>1.4758529744385E-15</v>
      </c>
      <c r="C138" s="11">
        <f t="shared" si="29"/>
        <v>3.8416831915691593E-8</v>
      </c>
      <c r="D138" s="2">
        <f>Data!E121</f>
        <v>1.021295E-11</v>
      </c>
      <c r="E138" s="11">
        <f t="shared" si="30"/>
        <v>-2.2558348726294887E-13</v>
      </c>
      <c r="F138" s="3">
        <f t="shared" si="31"/>
        <v>-2.0234873019544745E-3</v>
      </c>
    </row>
    <row r="139" spans="1:7" x14ac:dyDescent="0.15">
      <c r="A139" t="str">
        <f>Data!A122</f>
        <v>051521-LS-SB-C-IN-T1</v>
      </c>
      <c r="B139" s="2">
        <f>Data!C122*Data!G122</f>
        <v>1.3859955066969E-15</v>
      </c>
      <c r="C139" s="11">
        <f t="shared" si="29"/>
        <v>3.7228960591143291E-8</v>
      </c>
      <c r="D139" s="2">
        <f>Data!E122</f>
        <v>1.0090489999999999E-11</v>
      </c>
      <c r="E139" s="11">
        <f t="shared" si="30"/>
        <v>-1.4180354242914189E-13</v>
      </c>
      <c r="F139" s="3">
        <f t="shared" si="31"/>
        <v>-1.2719799261861108E-3</v>
      </c>
      <c r="G139" s="3">
        <f>AVERAGE(F139:F141)</f>
        <v>-1.5195632389942719E-3</v>
      </c>
    </row>
    <row r="140" spans="1:7" x14ac:dyDescent="0.15">
      <c r="B140" s="2">
        <f>Data!C123*Data!G123</f>
        <v>1.3842661378425E-15</v>
      </c>
      <c r="C140" s="11">
        <f t="shared" si="29"/>
        <v>3.7205727218299334E-8</v>
      </c>
      <c r="D140" s="2">
        <f>Data!E123</f>
        <v>1.0073949999999999E-11</v>
      </c>
      <c r="E140" s="11">
        <f t="shared" si="30"/>
        <v>-1.5430973048788435E-13</v>
      </c>
      <c r="F140" s="3">
        <f t="shared" si="31"/>
        <v>-1.3841606227422477E-3</v>
      </c>
    </row>
    <row r="141" spans="1:7" x14ac:dyDescent="0.15">
      <c r="B141" s="2">
        <f>Data!C124*Data!G124</f>
        <v>1.387375662592E-15</v>
      </c>
      <c r="C141" s="11">
        <f t="shared" si="29"/>
        <v>3.724749203090055E-8</v>
      </c>
      <c r="D141" s="2">
        <f>Data!E124</f>
        <v>1.002341E-11</v>
      </c>
      <c r="E141" s="11">
        <f t="shared" si="30"/>
        <v>-2.1210099791800058E-13</v>
      </c>
      <c r="F141" s="3">
        <f t="shared" si="31"/>
        <v>-1.902549168054457E-3</v>
      </c>
    </row>
    <row r="142" spans="1:7" x14ac:dyDescent="0.15">
      <c r="A142" t="str">
        <f>Data!A125</f>
        <v>051521-LS-SB-C-IN-T1</v>
      </c>
      <c r="B142" s="2">
        <f>Data!C125*Data!G125</f>
        <v>1.4528083549728E-15</v>
      </c>
      <c r="C142" s="11">
        <f t="shared" si="29"/>
        <v>3.8115723198868992E-8</v>
      </c>
      <c r="D142" s="2">
        <f>Data!E125</f>
        <v>1.007177E-11</v>
      </c>
      <c r="E142" s="11">
        <f t="shared" si="30"/>
        <v>-3.1448455446685032E-13</v>
      </c>
      <c r="F142" s="3">
        <f t="shared" si="31"/>
        <v>-2.8209312230496782E-3</v>
      </c>
      <c r="G142" s="3">
        <f>AVERAGE(F142:F144)</f>
        <v>-2.0255709880742287E-3</v>
      </c>
    </row>
    <row r="143" spans="1:7" x14ac:dyDescent="0.15">
      <c r="B143" s="2">
        <f>Data!C126*Data!G126</f>
        <v>1.4531226477062999E-15</v>
      </c>
      <c r="C143" s="11">
        <f t="shared" si="29"/>
        <v>3.8119845851030142E-8</v>
      </c>
      <c r="D143" s="2">
        <f>Data!E126</f>
        <v>1.0214600000000001E-11</v>
      </c>
      <c r="E143" s="11">
        <f t="shared" si="30"/>
        <v>-1.7237033532350827E-13</v>
      </c>
      <c r="F143" s="3">
        <f t="shared" si="31"/>
        <v>-1.54616452202546E-3</v>
      </c>
    </row>
    <row r="144" spans="1:7" x14ac:dyDescent="0.15">
      <c r="B144" s="2">
        <f>Data!C127*Data!G127</f>
        <v>1.4523420599475E-15</v>
      </c>
      <c r="C144" s="11">
        <f t="shared" si="29"/>
        <v>3.8109605874995614E-8</v>
      </c>
      <c r="D144" s="2">
        <f>Data!E127</f>
        <v>1.01946E-11</v>
      </c>
      <c r="E144" s="11">
        <f t="shared" si="30"/>
        <v>-1.9059245581011592E-13</v>
      </c>
      <c r="F144" s="3">
        <f t="shared" si="31"/>
        <v>-1.7096172191475474E-3</v>
      </c>
    </row>
    <row r="145" spans="1:7" x14ac:dyDescent="0.15">
      <c r="A145" t="str">
        <f>Data!A128</f>
        <v>051621-LS-SB-C-IN-T2</v>
      </c>
      <c r="B145" s="2">
        <f>Data!C128*Data!G128</f>
        <v>1.4606371942631999E-15</v>
      </c>
      <c r="C145" s="11">
        <f t="shared" si="29"/>
        <v>3.8218283507546489E-8</v>
      </c>
      <c r="D145" s="2">
        <f>Data!E128</f>
        <v>1.002278E-11</v>
      </c>
      <c r="E145" s="11">
        <f t="shared" si="30"/>
        <v>-3.8128122423542023E-13</v>
      </c>
      <c r="F145" s="3">
        <f t="shared" si="31"/>
        <v>-3.4200983639140147E-3</v>
      </c>
      <c r="G145" s="3">
        <f>AVERAGE(F145:F147)</f>
        <v>-1.7392845254610139E-3</v>
      </c>
    </row>
    <row r="146" spans="1:7" x14ac:dyDescent="0.15">
      <c r="B146" s="2">
        <f>Data!C129*Data!G129</f>
        <v>1.4591450064645001E-15</v>
      </c>
      <c r="C146" s="11">
        <f t="shared" si="29"/>
        <v>3.8198756608880613E-8</v>
      </c>
      <c r="D146" s="2">
        <f>Data!E129</f>
        <v>1.0475449999999999E-11</v>
      </c>
      <c r="E146" s="11">
        <f t="shared" si="30"/>
        <v>7.4779064275126439E-14</v>
      </c>
      <c r="F146" s="3">
        <f t="shared" si="31"/>
        <v>6.7076934064937914E-4</v>
      </c>
    </row>
    <row r="147" spans="1:7" x14ac:dyDescent="0.15">
      <c r="B147" s="2">
        <f>Data!C130*Data!G130</f>
        <v>1.4626349063424E-15</v>
      </c>
      <c r="C147" s="11">
        <f t="shared" si="29"/>
        <v>3.8244410131970923E-8</v>
      </c>
      <c r="D147" s="2">
        <f>Data!E130</f>
        <v>1.01334E-11</v>
      </c>
      <c r="E147" s="11">
        <f t="shared" si="30"/>
        <v>-2.7519736671873176E-13</v>
      </c>
      <c r="F147" s="3">
        <f t="shared" si="31"/>
        <v>-2.4685245531184063E-3</v>
      </c>
    </row>
    <row r="148" spans="1:7" x14ac:dyDescent="0.15">
      <c r="A148" t="str">
        <f>Data!A131</f>
        <v>051621-LS-SB-C-IN-T2</v>
      </c>
      <c r="B148" s="2">
        <f>Data!C131*Data!G131</f>
        <v>1.4619342550500001E-15</v>
      </c>
      <c r="C148" s="11">
        <f t="shared" si="29"/>
        <v>3.8235248855604435E-8</v>
      </c>
      <c r="D148" s="2">
        <f>Data!E131</f>
        <v>1.012501E-11</v>
      </c>
      <c r="E148" s="11">
        <f t="shared" si="30"/>
        <v>-2.8199677260858971E-13</v>
      </c>
      <c r="F148" s="3">
        <f t="shared" si="31"/>
        <v>-2.5295153270704224E-3</v>
      </c>
      <c r="G148" s="3">
        <f>AVERAGE(F148:F150)</f>
        <v>-1.3675985335794725E-3</v>
      </c>
    </row>
    <row r="149" spans="1:7" x14ac:dyDescent="0.15">
      <c r="B149" s="2">
        <f>Data!C132*Data!G132</f>
        <v>1.4607462456709E-15</v>
      </c>
      <c r="C149" s="11">
        <f t="shared" si="29"/>
        <v>3.8219710172513084E-8</v>
      </c>
      <c r="D149" s="2">
        <f>Data!E132</f>
        <v>1.0378100000000001E-11</v>
      </c>
      <c r="E149" s="11">
        <f t="shared" si="30"/>
        <v>-2.6208923879249769E-14</v>
      </c>
      <c r="F149" s="3">
        <f t="shared" si="31"/>
        <v>-2.350944446821832E-4</v>
      </c>
    </row>
    <row r="150" spans="1:7" x14ac:dyDescent="0.15">
      <c r="B150" s="2">
        <f>Data!C133*Data!G133</f>
        <v>1.4612065436823999E-15</v>
      </c>
      <c r="C150" s="11">
        <f t="shared" si="29"/>
        <v>3.8225731434236805E-8</v>
      </c>
      <c r="D150" s="2">
        <f>Data!E133</f>
        <v>1.025617E-11</v>
      </c>
      <c r="E150" s="11">
        <f t="shared" si="30"/>
        <v>-1.4918434408602542E-13</v>
      </c>
      <c r="F150" s="3">
        <f t="shared" si="31"/>
        <v>-1.3381858289858116E-3</v>
      </c>
    </row>
    <row r="151" spans="1:7" x14ac:dyDescent="0.15">
      <c r="A151" t="str">
        <f>Data!A134</f>
        <v>051421-LS-WM-C-1-To</v>
      </c>
      <c r="B151" s="2">
        <f>Data!C134*Data!G134</f>
        <v>1.4469322915079999E-15</v>
      </c>
      <c r="C151" s="11">
        <f t="shared" si="29"/>
        <v>3.8038563215610546E-8</v>
      </c>
      <c r="D151" s="2">
        <f>Data!E134</f>
        <v>1.0259309999999999E-11</v>
      </c>
      <c r="E151" s="11">
        <f t="shared" si="30"/>
        <v>-1.1354792609327798E-13</v>
      </c>
      <c r="F151" s="3">
        <f t="shared" si="31"/>
        <v>-1.0185266191279007E-3</v>
      </c>
      <c r="G151" s="3">
        <f>AVERAGE(F151:F153)</f>
        <v>-8.0476920178246866E-4</v>
      </c>
    </row>
    <row r="152" spans="1:7" x14ac:dyDescent="0.15">
      <c r="B152" s="2">
        <f>Data!C135*Data!G135</f>
        <v>1.4476677971380001E-15</v>
      </c>
      <c r="C152" s="11">
        <f t="shared" si="29"/>
        <v>3.8048229881796081E-8</v>
      </c>
      <c r="D152" s="2">
        <f>Data!E135</f>
        <v>1.0429260000000001E-11</v>
      </c>
      <c r="E152" s="11">
        <f t="shared" si="30"/>
        <v>5.4723733282087442E-14</v>
      </c>
      <c r="F152" s="3">
        <f t="shared" si="31"/>
        <v>4.9087271748207782E-4</v>
      </c>
    </row>
    <row r="153" spans="1:7" x14ac:dyDescent="0.15">
      <c r="B153" s="2">
        <f>Data!C136*Data!G136</f>
        <v>1.4478793516892E-15</v>
      </c>
      <c r="C153" s="11">
        <f t="shared" si="29"/>
        <v>3.8051009864249329E-8</v>
      </c>
      <c r="D153" s="2">
        <f>Data!E136</f>
        <v>1.016469E-11</v>
      </c>
      <c r="E153" s="11">
        <f t="shared" si="30"/>
        <v>-2.1032893130956585E-13</v>
      </c>
      <c r="F153" s="3">
        <f t="shared" si="31"/>
        <v>-1.8866537037015832E-3</v>
      </c>
    </row>
    <row r="154" spans="1:7" x14ac:dyDescent="0.15">
      <c r="A154" t="str">
        <f>Data!A137</f>
        <v>051421-LS-WM-C-1-To</v>
      </c>
      <c r="B154" s="2">
        <f>Data!C137*Data!G137</f>
        <v>1.4580281383626E-15</v>
      </c>
      <c r="C154" s="11">
        <f t="shared" si="29"/>
        <v>3.8184134642055199E-8</v>
      </c>
      <c r="D154" s="2">
        <f>Data!E137</f>
        <v>1.040758E-11</v>
      </c>
      <c r="E154" s="11">
        <f t="shared" si="30"/>
        <v>9.4477513947796288E-15</v>
      </c>
      <c r="F154" s="3">
        <f t="shared" si="31"/>
        <v>8.4746473296049655E-5</v>
      </c>
      <c r="G154" s="3">
        <f>AVERAGE(F154:F156)</f>
        <v>-5.4752283904332532E-4</v>
      </c>
    </row>
    <row r="155" spans="1:7" x14ac:dyDescent="0.15">
      <c r="B155" s="2">
        <f>Data!C138*Data!G138</f>
        <v>1.4568391912410001E-15</v>
      </c>
      <c r="C155" s="11">
        <f t="shared" si="29"/>
        <v>3.8168562865806204E-8</v>
      </c>
      <c r="D155" s="2">
        <f>Data!E138</f>
        <v>1.0201620000000001E-11</v>
      </c>
      <c r="E155" s="11">
        <f t="shared" si="30"/>
        <v>-1.9380865419378106E-13</v>
      </c>
      <c r="F155" s="3">
        <f t="shared" si="31"/>
        <v>-1.7384665674259833E-3</v>
      </c>
    </row>
    <row r="156" spans="1:7" x14ac:dyDescent="0.15">
      <c r="B156" s="2">
        <f>Data!C139*Data!G139</f>
        <v>1.4570494252411999E-15</v>
      </c>
      <c r="C156" s="11">
        <f t="shared" si="29"/>
        <v>3.8171316786838775E-8</v>
      </c>
      <c r="D156" s="2">
        <f>Data!E139</f>
        <v>1.039715E-11</v>
      </c>
      <c r="E156" s="11">
        <f t="shared" si="30"/>
        <v>1.2432060362830009E-15</v>
      </c>
      <c r="F156" s="3">
        <f t="shared" si="31"/>
        <v>1.1151576999957942E-5</v>
      </c>
    </row>
    <row r="157" spans="1:7" x14ac:dyDescent="0.15">
      <c r="A157" t="str">
        <f>Data!A140</f>
        <v>051521-LS-WM-C-1-T1</v>
      </c>
      <c r="B157" s="2">
        <f>Data!C140*Data!G140</f>
        <v>1.4163269178597001E-15</v>
      </c>
      <c r="C157" s="11">
        <f t="shared" ref="C157:C162" si="32">SQRT(B157)</f>
        <v>3.7634119065811813E-8</v>
      </c>
      <c r="D157" s="2">
        <f>Data!E140</f>
        <v>1.003876E-11</v>
      </c>
      <c r="E157" s="11">
        <f t="shared" ref="E157:E162" si="33">D157-(C157*I$22+I$21)</f>
        <v>-2.6387774532195941E-13</v>
      </c>
      <c r="F157" s="3">
        <f t="shared" ref="F157:F162" si="34">A$1*E157/A$2</f>
        <v>-2.3669873775156464E-3</v>
      </c>
      <c r="G157" s="3">
        <f>AVERAGE(F157:F159)</f>
        <v>-2.3342600344586771E-3</v>
      </c>
    </row>
    <row r="158" spans="1:7" x14ac:dyDescent="0.15">
      <c r="B158" s="2">
        <f>Data!C141*Data!G141</f>
        <v>1.4172985431700999E-15</v>
      </c>
      <c r="C158" s="11">
        <f t="shared" si="32"/>
        <v>3.7647025688228012E-8</v>
      </c>
      <c r="D158" s="2">
        <f>Data!E141</f>
        <v>1.002084E-11</v>
      </c>
      <c r="E158" s="11">
        <f t="shared" si="33"/>
        <v>-2.8403861185362548E-13</v>
      </c>
      <c r="F158" s="3">
        <f t="shared" si="34"/>
        <v>-2.547830656064988E-3</v>
      </c>
    </row>
    <row r="159" spans="1:7" x14ac:dyDescent="0.15">
      <c r="B159" s="2">
        <f>Data!C142*Data!G142</f>
        <v>1.4180327017032E-15</v>
      </c>
      <c r="C159" s="11">
        <f t="shared" si="32"/>
        <v>3.7656774977461891E-8</v>
      </c>
      <c r="D159" s="2">
        <f>Data!E142</f>
        <v>1.00738E-11</v>
      </c>
      <c r="E159" s="11">
        <f t="shared" si="33"/>
        <v>-2.3277129761193196E-13</v>
      </c>
      <c r="F159" s="3">
        <f t="shared" si="34"/>
        <v>-2.0879620697953965E-3</v>
      </c>
    </row>
    <row r="160" spans="1:7" x14ac:dyDescent="0.15">
      <c r="A160" t="str">
        <f>Data!A143</f>
        <v>051521-LS-WM-C-1-T1</v>
      </c>
      <c r="B160" s="2">
        <f>Data!C143*Data!G143</f>
        <v>1.4249009169000001E-15</v>
      </c>
      <c r="C160" s="11">
        <f t="shared" si="32"/>
        <v>3.7747859765819838E-8</v>
      </c>
      <c r="D160" s="2">
        <f>Data!E143</f>
        <v>1.011161E-11</v>
      </c>
      <c r="E160" s="11">
        <f t="shared" si="33"/>
        <v>-2.1077557087363002E-13</v>
      </c>
      <c r="F160" s="3">
        <f t="shared" si="34"/>
        <v>-1.8906600673649877E-3</v>
      </c>
      <c r="G160" s="3">
        <f>AVERAGE(F160:F162)</f>
        <v>-1.2511532062534803E-3</v>
      </c>
    </row>
    <row r="161" spans="1:7" x14ac:dyDescent="0.15">
      <c r="B161" s="2">
        <f>Data!C144*Data!G144</f>
        <v>1.4251620140407001E-15</v>
      </c>
      <c r="C161" s="11">
        <f t="shared" si="32"/>
        <v>3.7751318043754447E-8</v>
      </c>
      <c r="D161" s="2">
        <f>Data!E144</f>
        <v>1.0087349999999999E-11</v>
      </c>
      <c r="E161" s="11">
        <f t="shared" si="33"/>
        <v>-2.3563600211202647E-13</v>
      </c>
      <c r="F161" s="3">
        <f t="shared" si="34"/>
        <v>-2.1136585126074374E-3</v>
      </c>
    </row>
    <row r="162" spans="1:7" x14ac:dyDescent="0.15">
      <c r="B162" s="2">
        <f>Data!C145*Data!G145</f>
        <v>1.4267486871232E-15</v>
      </c>
      <c r="C162" s="11">
        <f t="shared" si="32"/>
        <v>3.7772327001697948E-8</v>
      </c>
      <c r="D162" s="2">
        <f>Data!E145</f>
        <v>1.03546E-11</v>
      </c>
      <c r="E162" s="11">
        <f t="shared" si="33"/>
        <v>2.796639209284913E-14</v>
      </c>
      <c r="F162" s="3">
        <f t="shared" si="34"/>
        <v>2.5085896121198426E-4</v>
      </c>
    </row>
    <row r="163" spans="1:7" x14ac:dyDescent="0.15">
      <c r="A163" t="str">
        <f>Data!A146</f>
        <v>051621-LS-WM-C-1-T2</v>
      </c>
      <c r="B163" s="2">
        <f>Data!C146*Data!G146</f>
        <v>1.4273293467449999E-15</v>
      </c>
      <c r="C163" s="11">
        <f t="shared" si="29"/>
        <v>3.7780012529709406E-8</v>
      </c>
      <c r="D163" s="2">
        <f>Data!E146</f>
        <v>1.027762E-11</v>
      </c>
      <c r="E163" s="11">
        <f t="shared" si="30"/>
        <v>-5.0347980444262599E-14</v>
      </c>
      <c r="F163" s="3">
        <f t="shared" si="31"/>
        <v>-4.5162214816399235E-4</v>
      </c>
      <c r="G163" s="3">
        <f>AVERAGE(F163:F165)</f>
        <v>-1.1725776188330188E-4</v>
      </c>
    </row>
    <row r="164" spans="1:7" x14ac:dyDescent="0.15">
      <c r="B164" s="2">
        <f>Data!C147*Data!G147</f>
        <v>1.4270013883375E-15</v>
      </c>
      <c r="C164" s="11">
        <f t="shared" si="29"/>
        <v>3.777567191113217E-8</v>
      </c>
      <c r="D164" s="2">
        <f>Data!E147</f>
        <v>1.0355030000000001E-11</v>
      </c>
      <c r="E164" s="11">
        <f t="shared" si="30"/>
        <v>2.7815644058167476E-14</v>
      </c>
      <c r="F164" s="3">
        <f t="shared" si="31"/>
        <v>2.4950674905464067E-4</v>
      </c>
    </row>
    <row r="165" spans="1:7" x14ac:dyDescent="0.15">
      <c r="B165" s="2">
        <f>Data!C148*Data!G148</f>
        <v>1.4281721309624999E-15</v>
      </c>
      <c r="C165" s="11">
        <f t="shared" si="29"/>
        <v>3.7791164720904014E-8</v>
      </c>
      <c r="D165" s="2">
        <f>Data!E148</f>
        <v>1.031322E-11</v>
      </c>
      <c r="E165" s="11">
        <f t="shared" si="30"/>
        <v>-1.6684240078804533E-14</v>
      </c>
      <c r="F165" s="3">
        <f t="shared" si="31"/>
        <v>-1.4965788654055392E-4</v>
      </c>
    </row>
    <row r="166" spans="1:7" x14ac:dyDescent="0.15">
      <c r="A166" t="str">
        <f>Data!A149</f>
        <v>051621-LS-WM-C-1-T2</v>
      </c>
      <c r="B166" s="2">
        <f>Data!C149*Data!G149</f>
        <v>1.4320320317951999E-15</v>
      </c>
      <c r="C166" s="11">
        <f t="shared" si="29"/>
        <v>3.7842199087727443E-8</v>
      </c>
      <c r="D166" s="2">
        <f>Data!E149</f>
        <v>1.0124130000000001E-11</v>
      </c>
      <c r="E166" s="11">
        <f t="shared" si="30"/>
        <v>-2.1463490097765667E-13</v>
      </c>
      <c r="F166" s="3">
        <f t="shared" si="31"/>
        <v>-1.925278316928821E-3</v>
      </c>
      <c r="G166" s="3">
        <f>AVERAGE(F166:F168)</f>
        <v>-7.340194799895051E-4</v>
      </c>
    </row>
    <row r="167" spans="1:7" x14ac:dyDescent="0.15">
      <c r="B167" s="2">
        <f>Data!C150*Data!G150</f>
        <v>1.4321787681058E-15</v>
      </c>
      <c r="C167" s="11">
        <f t="shared" si="29"/>
        <v>3.7844137830128987E-8</v>
      </c>
      <c r="D167" s="2">
        <f>Data!E150</f>
        <v>1.051343E-11</v>
      </c>
      <c r="E167" s="11">
        <f t="shared" si="30"/>
        <v>1.7432849175042967E-13</v>
      </c>
      <c r="F167" s="3">
        <f t="shared" si="31"/>
        <v>1.5637292148724031E-3</v>
      </c>
    </row>
    <row r="168" spans="1:7" x14ac:dyDescent="0.15">
      <c r="B168" s="2">
        <f>Data!C151*Data!G151</f>
        <v>1.4314260589334001E-15</v>
      </c>
      <c r="C168" s="11">
        <f t="shared" si="29"/>
        <v>3.7834191664860504E-8</v>
      </c>
      <c r="D168" s="2">
        <f>Data!E151</f>
        <v>1.0132190000000001E-11</v>
      </c>
      <c r="E168" s="11">
        <f t="shared" si="30"/>
        <v>-2.0518464058815885E-13</v>
      </c>
      <c r="F168" s="3">
        <f t="shared" si="31"/>
        <v>-1.8405093379120975E-3</v>
      </c>
    </row>
    <row r="169" spans="1:7" x14ac:dyDescent="0.15">
      <c r="A169" t="str">
        <f>Data!A158</f>
        <v>051421-LS-SB-C-1-To</v>
      </c>
      <c r="B169" s="2">
        <f>Data!C158*Data!G158</f>
        <v>1.3792490814189999E-15</v>
      </c>
      <c r="C169" s="11">
        <f t="shared" si="29"/>
        <v>3.7138242842372065E-8</v>
      </c>
      <c r="D169" s="2">
        <f>Data!E158</f>
        <v>1.0205040000000001E-11</v>
      </c>
      <c r="E169" s="11">
        <f t="shared" si="30"/>
        <v>-1.1502995113639161E-14</v>
      </c>
      <c r="F169" s="3">
        <f t="shared" si="31"/>
        <v>-1.0318204062410653E-4</v>
      </c>
      <c r="G169" s="3">
        <f>AVERAGE(F169:F171)</f>
        <v>-7.4576227390371847E-4</v>
      </c>
    </row>
    <row r="170" spans="1:7" x14ac:dyDescent="0.15">
      <c r="B170" s="2">
        <f>Data!C159*Data!G159</f>
        <v>1.3796094492338E-15</v>
      </c>
      <c r="C170" s="11">
        <f t="shared" si="29"/>
        <v>3.7143094233434565E-8</v>
      </c>
      <c r="D170" s="2">
        <f>Data!E159</f>
        <v>1.014066E-11</v>
      </c>
      <c r="E170" s="11">
        <f t="shared" si="30"/>
        <v>-7.6725300676894992E-14</v>
      </c>
      <c r="F170" s="3">
        <f t="shared" si="31"/>
        <v>-6.8822711068992177E-4</v>
      </c>
    </row>
    <row r="171" spans="1:7" x14ac:dyDescent="0.15">
      <c r="B171" s="2">
        <f>Data!C160*Data!G160</f>
        <v>1.381058060928E-15</v>
      </c>
      <c r="C171" s="11">
        <f t="shared" si="29"/>
        <v>3.7162589534745827E-8</v>
      </c>
      <c r="D171" s="2">
        <f>Data!E160</f>
        <v>1.005958E-11</v>
      </c>
      <c r="E171" s="11">
        <f t="shared" si="30"/>
        <v>-1.6119010320883686E-13</v>
      </c>
      <c r="F171" s="3">
        <f t="shared" si="31"/>
        <v>-1.4458776703971273E-3</v>
      </c>
    </row>
    <row r="172" spans="1:7" x14ac:dyDescent="0.15">
      <c r="A172" t="str">
        <f>Data!A161</f>
        <v>051421-LS-SB-C-1-To</v>
      </c>
      <c r="B172" s="2">
        <f>Data!C161*Data!G161</f>
        <v>1.3825546846902E-15</v>
      </c>
      <c r="C172" s="11">
        <f t="shared" si="29"/>
        <v>3.7182720243282361E-8</v>
      </c>
      <c r="D172" s="2">
        <f>Data!E161</f>
        <v>1.004379E-11</v>
      </c>
      <c r="E172" s="11">
        <f t="shared" si="30"/>
        <v>-1.8047522606620362E-13</v>
      </c>
      <c r="F172" s="3">
        <f t="shared" si="31"/>
        <v>-1.6188655149064494E-3</v>
      </c>
      <c r="G172" s="3">
        <f>AVERAGE(F172:F174)</f>
        <v>-1.3876369727630806E-3</v>
      </c>
    </row>
    <row r="173" spans="1:7" x14ac:dyDescent="0.15">
      <c r="B173" s="2">
        <f>Data!C162*Data!G162</f>
        <v>1.3839618690562001E-15</v>
      </c>
      <c r="C173" s="11">
        <f t="shared" si="29"/>
        <v>3.7201637988886996E-8</v>
      </c>
      <c r="D173" s="2">
        <f>Data!E162</f>
        <v>9.9550710000000001E-12</v>
      </c>
      <c r="E173" s="11">
        <f t="shared" si="30"/>
        <v>-2.7247875253742232E-13</v>
      </c>
      <c r="F173" s="3">
        <f t="shared" si="31"/>
        <v>-2.4441385426814777E-3</v>
      </c>
    </row>
    <row r="174" spans="1:7" x14ac:dyDescent="0.15">
      <c r="B174" s="2">
        <f>Data!C163*Data!G163</f>
        <v>1.3807317775680001E-15</v>
      </c>
      <c r="C174" s="11">
        <f t="shared" si="29"/>
        <v>3.7158199331614552E-8</v>
      </c>
      <c r="D174" s="2">
        <f>Data!E163</f>
        <v>1.020887E-11</v>
      </c>
      <c r="E174" s="11">
        <f t="shared" si="30"/>
        <v>-1.113786976410856E-14</v>
      </c>
      <c r="F174" s="3">
        <f t="shared" si="31"/>
        <v>-9.9906860701315221E-5</v>
      </c>
    </row>
    <row r="175" spans="1:7" x14ac:dyDescent="0.15">
      <c r="A175" t="str">
        <f>Data!A164</f>
        <v>051521-LS-SB-C-1-T1</v>
      </c>
      <c r="B175" s="2">
        <f>Data!C164*Data!G164</f>
        <v>1.3382491977599998E-15</v>
      </c>
      <c r="C175" s="11">
        <f t="shared" ref="C175:C192" si="35">SQRT(B175)</f>
        <v>3.658208848275341E-8</v>
      </c>
      <c r="D175" s="2">
        <f>Data!E164</f>
        <v>1.0279180000000001E-11</v>
      </c>
      <c r="E175" s="11">
        <f t="shared" ref="E175:E192" si="36">D175-(C175*I$22+I$21)</f>
        <v>1.5919733265624687E-13</v>
      </c>
      <c r="F175" s="3">
        <f t="shared" ref="F175:F192" si="37">A$1*E175/A$2</f>
        <v>1.4280024883179781E-3</v>
      </c>
      <c r="G175" s="3">
        <f>AVERAGE(F175:F177)</f>
        <v>1.0158665829382932E-3</v>
      </c>
    </row>
    <row r="176" spans="1:7" x14ac:dyDescent="0.15">
      <c r="B176" s="2">
        <f>Data!C165*Data!G165</f>
        <v>1.3351091919786001E-15</v>
      </c>
      <c r="C176" s="11">
        <f t="shared" si="35"/>
        <v>3.6539146021474013E-8</v>
      </c>
      <c r="D176" s="2">
        <f>Data!E165</f>
        <v>1.0304290000000001E-11</v>
      </c>
      <c r="E176" s="11">
        <f t="shared" si="36"/>
        <v>1.9176306516048844E-13</v>
      </c>
      <c r="F176" s="3">
        <f t="shared" si="37"/>
        <v>1.720117602773885E-3</v>
      </c>
    </row>
    <row r="177" spans="1:7" x14ac:dyDescent="0.15">
      <c r="B177" s="2">
        <f>Data!C166*Data!G166</f>
        <v>1.3360266412766001E-15</v>
      </c>
      <c r="C177" s="11">
        <f t="shared" si="35"/>
        <v>3.6551698199626784E-8</v>
      </c>
      <c r="D177" s="2">
        <f>Data!E166</f>
        <v>1.01035E-11</v>
      </c>
      <c r="E177" s="11">
        <f t="shared" si="36"/>
        <v>-1.1206262243308825E-14</v>
      </c>
      <c r="F177" s="3">
        <f t="shared" si="37"/>
        <v>-1.0052034227698394E-4</v>
      </c>
    </row>
    <row r="178" spans="1:7" x14ac:dyDescent="0.15">
      <c r="A178" t="str">
        <f>Data!A167</f>
        <v>051521-LS-SB-C-1-T1</v>
      </c>
      <c r="B178" s="2">
        <f>Data!C167*Data!G167</f>
        <v>1.3103023639616001E-15</v>
      </c>
      <c r="C178" s="11">
        <f t="shared" si="35"/>
        <v>3.6198098899826217E-8</v>
      </c>
      <c r="D178" s="2">
        <f>Data!E167</f>
        <v>1.011995E-11</v>
      </c>
      <c r="E178" s="11">
        <f t="shared" si="36"/>
        <v>6.6636161815646189E-14</v>
      </c>
      <c r="F178" s="3">
        <f t="shared" si="37"/>
        <v>5.977273820923424E-4</v>
      </c>
      <c r="G178" s="3">
        <f>AVERAGE(F178:F180)</f>
        <v>2.5088291521683354E-4</v>
      </c>
    </row>
    <row r="179" spans="1:7" x14ac:dyDescent="0.15">
      <c r="B179" s="2">
        <f>Data!C168*Data!G168</f>
        <v>1.3113309076085999E-15</v>
      </c>
      <c r="C179" s="11">
        <f t="shared" si="35"/>
        <v>3.6212303262960228E-8</v>
      </c>
      <c r="D179" s="2">
        <f>Data!E168</f>
        <v>1.004731E-11</v>
      </c>
      <c r="E179" s="11">
        <f t="shared" si="36"/>
        <v>-8.4700203445062199E-15</v>
      </c>
      <c r="F179" s="3">
        <f t="shared" si="37"/>
        <v>-7.5976210946799232E-5</v>
      </c>
    </row>
    <row r="180" spans="1:7" x14ac:dyDescent="0.15">
      <c r="B180" s="2">
        <f>Data!C169*Data!G169</f>
        <v>1.3130496459841E-15</v>
      </c>
      <c r="C180" s="11">
        <f t="shared" si="35"/>
        <v>3.6236026906713985E-8</v>
      </c>
      <c r="D180" s="2">
        <f>Data!E169</f>
        <v>1.0085639999999999E-11</v>
      </c>
      <c r="E180" s="11">
        <f t="shared" si="36"/>
        <v>2.5741046166721499E-14</v>
      </c>
      <c r="F180" s="3">
        <f t="shared" si="37"/>
        <v>2.3089757450495745E-4</v>
      </c>
    </row>
    <row r="181" spans="1:7" x14ac:dyDescent="0.15">
      <c r="A181" t="str">
        <f>Data!A170</f>
        <v>051621-LS-SB-C-1-T2</v>
      </c>
      <c r="B181" s="2">
        <f>Data!C170*Data!G170</f>
        <v>1.3328377765817998E-15</v>
      </c>
      <c r="C181" s="11">
        <f t="shared" si="35"/>
        <v>3.6508050846105163E-8</v>
      </c>
      <c r="D181" s="2">
        <f>Data!E170</f>
        <v>1.001913E-11</v>
      </c>
      <c r="E181" s="11">
        <f t="shared" si="36"/>
        <v>-8.7998145324066916E-14</v>
      </c>
      <c r="F181" s="3">
        <f t="shared" si="37"/>
        <v>-7.893446981393484E-4</v>
      </c>
      <c r="G181" s="3">
        <f>AVERAGE(F181:F183)</f>
        <v>4.2271989180791739E-4</v>
      </c>
    </row>
    <row r="182" spans="1:7" x14ac:dyDescent="0.15">
      <c r="B182" s="2">
        <f>Data!C171*Data!G171</f>
        <v>1.3345570786254001E-15</v>
      </c>
      <c r="C182" s="11">
        <f t="shared" si="35"/>
        <v>3.6531590146411638E-8</v>
      </c>
      <c r="D182" s="2">
        <f>Data!E171</f>
        <v>1.0250860000000001E-11</v>
      </c>
      <c r="E182" s="11">
        <f t="shared" si="36"/>
        <v>1.3964492716425185E-13</v>
      </c>
      <c r="F182" s="3">
        <f t="shared" si="37"/>
        <v>1.2526171145224242E-3</v>
      </c>
    </row>
    <row r="183" spans="1:7" x14ac:dyDescent="0.15">
      <c r="B183" s="2">
        <f>Data!C172*Data!G172</f>
        <v>1.3358299625275001E-15</v>
      </c>
      <c r="C183" s="11">
        <f t="shared" si="35"/>
        <v>3.6549007681844116E-8</v>
      </c>
      <c r="D183" s="2">
        <f>Data!E172</f>
        <v>1.020397E-11</v>
      </c>
      <c r="E183" s="11">
        <f t="shared" si="36"/>
        <v>8.9730869362281431E-14</v>
      </c>
      <c r="F183" s="3">
        <f t="shared" si="37"/>
        <v>8.0488725904067639E-4</v>
      </c>
    </row>
    <row r="184" spans="1:7" x14ac:dyDescent="0.15">
      <c r="A184" t="str">
        <f>Data!A173</f>
        <v>051621-LS-SB-C-1-T2</v>
      </c>
      <c r="B184" s="2">
        <f>Data!C173*Data!G173</f>
        <v>1.3433365077603001E-15</v>
      </c>
      <c r="C184" s="11">
        <f t="shared" si="35"/>
        <v>3.6651555325255983E-8</v>
      </c>
      <c r="D184" s="2">
        <f>Data!E173</f>
        <v>9.9780639999999995E-12</v>
      </c>
      <c r="E184" s="11">
        <f t="shared" si="36"/>
        <v>-1.5397960144447292E-13</v>
      </c>
      <c r="F184" s="3">
        <f t="shared" si="37"/>
        <v>-1.3811993602161003E-3</v>
      </c>
      <c r="G184" s="3">
        <f>AVERAGE(F184:F186)</f>
        <v>-4.2053585287169285E-4</v>
      </c>
    </row>
    <row r="185" spans="1:7" x14ac:dyDescent="0.15">
      <c r="B185" s="2">
        <f>Data!C174*Data!G174</f>
        <v>1.3424386447476E-15</v>
      </c>
      <c r="C185" s="11">
        <f t="shared" si="35"/>
        <v>3.6639304643341692E-8</v>
      </c>
      <c r="D185" s="2">
        <f>Data!E174</f>
        <v>1.0104080000000001E-11</v>
      </c>
      <c r="E185" s="11">
        <f t="shared" si="36"/>
        <v>-2.583662025554433E-14</v>
      </c>
      <c r="F185" s="3">
        <f t="shared" si="37"/>
        <v>-2.317548755311777E-4</v>
      </c>
    </row>
    <row r="186" spans="1:7" x14ac:dyDescent="0.15">
      <c r="B186" s="2">
        <f>Data!C175*Data!G175</f>
        <v>1.3443868873829998E-15</v>
      </c>
      <c r="C186" s="11">
        <f t="shared" si="35"/>
        <v>3.6665881789246524E-8</v>
      </c>
      <c r="D186" s="2">
        <f>Data!E175</f>
        <v>1.0173700000000001E-11</v>
      </c>
      <c r="E186" s="11">
        <f t="shared" si="36"/>
        <v>3.916901706730558E-14</v>
      </c>
      <c r="F186" s="3">
        <f t="shared" si="37"/>
        <v>3.5134667713219948E-4</v>
      </c>
    </row>
    <row r="187" spans="1:7" x14ac:dyDescent="0.15">
      <c r="A187" t="str">
        <f>Data!A176</f>
        <v>051421-LS-WM-C-2-To</v>
      </c>
      <c r="B187" s="2">
        <f>Data!C176*Data!G176</f>
        <v>1.4432838142048002E-15</v>
      </c>
      <c r="C187" s="11">
        <f t="shared" si="35"/>
        <v>3.7990575333953552E-8</v>
      </c>
      <c r="D187" s="2">
        <f>Data!E176</f>
        <v>1.0146150000000001E-11</v>
      </c>
      <c r="E187" s="11">
        <f t="shared" si="36"/>
        <v>-2.1837620037425233E-13</v>
      </c>
      <c r="F187" s="3">
        <f t="shared" si="37"/>
        <v>-1.9588378292569411E-3</v>
      </c>
      <c r="G187" s="3">
        <f>AVERAGE(F187:F189)</f>
        <v>-2.5735989961069433E-3</v>
      </c>
    </row>
    <row r="188" spans="1:7" x14ac:dyDescent="0.15">
      <c r="B188" s="2">
        <f>Data!C177*Data!G177</f>
        <v>1.4461833600720001E-15</v>
      </c>
      <c r="C188" s="11">
        <f t="shared" si="35"/>
        <v>3.8028717570699124E-8</v>
      </c>
      <c r="D188" s="2">
        <f>Data!E177</f>
        <v>1.0030029999999999E-11</v>
      </c>
      <c r="E188" s="11">
        <f t="shared" si="36"/>
        <v>-3.4111851092227053E-13</v>
      </c>
      <c r="F188" s="3">
        <f t="shared" si="37"/>
        <v>-3.0598382163861669E-3</v>
      </c>
    </row>
    <row r="189" spans="1:7" x14ac:dyDescent="0.15">
      <c r="B189" s="2">
        <f>Data!C178*Data!G178</f>
        <v>1.4465648400345999E-15</v>
      </c>
      <c r="C189" s="11">
        <f t="shared" si="35"/>
        <v>3.8033732922691143E-8</v>
      </c>
      <c r="D189" s="2">
        <f>Data!E178</f>
        <v>1.007078E-11</v>
      </c>
      <c r="E189" s="11">
        <f t="shared" si="36"/>
        <v>-3.0123928362027416E-13</v>
      </c>
      <c r="F189" s="3">
        <f t="shared" si="37"/>
        <v>-2.702120942677722E-3</v>
      </c>
    </row>
    <row r="190" spans="1:7" x14ac:dyDescent="0.15">
      <c r="A190" t="str">
        <f>Data!A179</f>
        <v>051421-LS-WM-C-2-To</v>
      </c>
      <c r="B190" s="2">
        <f>Data!C179*Data!G179</f>
        <v>1.4417933893626999E-15</v>
      </c>
      <c r="C190" s="11">
        <f t="shared" si="35"/>
        <v>3.7970954549006266E-8</v>
      </c>
      <c r="D190" s="2">
        <f>Data!E179</f>
        <v>1.017752E-11</v>
      </c>
      <c r="E190" s="11">
        <f t="shared" si="36"/>
        <v>-1.8359961119114937E-13</v>
      </c>
      <c r="F190" s="3">
        <f t="shared" si="37"/>
        <v>-1.6468912968617298E-3</v>
      </c>
      <c r="G190" s="3">
        <f>AVERAGE(F190:F192)</f>
        <v>-1.0823488646903355E-3</v>
      </c>
    </row>
    <row r="191" spans="1:7" x14ac:dyDescent="0.15">
      <c r="B191" s="2">
        <f>Data!C180*Data!G180</f>
        <v>1.4433501316476001E-15</v>
      </c>
      <c r="C191" s="11">
        <f t="shared" si="35"/>
        <v>3.7991448138332395E-8</v>
      </c>
      <c r="D191" s="2">
        <f>Data!E180</f>
        <v>1.0175989999999999E-11</v>
      </c>
      <c r="E191" s="11">
        <f t="shared" si="36"/>
        <v>-1.8868773793831725E-13</v>
      </c>
      <c r="F191" s="3">
        <f t="shared" si="37"/>
        <v>-1.6925318709505061E-3</v>
      </c>
    </row>
    <row r="192" spans="1:7" x14ac:dyDescent="0.15">
      <c r="B192" s="2">
        <f>Data!C181*Data!G181</f>
        <v>1.4430586320576002E-15</v>
      </c>
      <c r="C192" s="11">
        <f t="shared" si="35"/>
        <v>3.7987611560317927E-8</v>
      </c>
      <c r="D192" s="2">
        <f>Data!E181</f>
        <v>1.037431E-11</v>
      </c>
      <c r="E192" s="11">
        <f t="shared" si="36"/>
        <v>1.0298374309451548E-14</v>
      </c>
      <c r="F192" s="3">
        <f t="shared" si="37"/>
        <v>9.237657374122899E-5</v>
      </c>
    </row>
    <row r="193" spans="1:7" x14ac:dyDescent="0.15">
      <c r="A193" t="str">
        <f>Data!A182</f>
        <v>051521-LS-WM-C-2-T1</v>
      </c>
      <c r="B193" s="2">
        <f>Data!C182*Data!G182</f>
        <v>1.3853236876991999E-15</v>
      </c>
      <c r="C193" s="11">
        <f t="shared" ref="C193:C222" si="38">SQRT(B193)</f>
        <v>3.7219936696603877E-8</v>
      </c>
      <c r="D193" s="2">
        <f>Data!E182</f>
        <v>9.9816870000000003E-12</v>
      </c>
      <c r="E193" s="11">
        <f t="shared" ref="E193:E222" si="39">D193-(C193*I$22+I$21)</f>
        <v>-2.4903980075137303E-13</v>
      </c>
      <c r="F193" s="3">
        <f t="shared" ref="F193:F222" si="40">A$1*E193/A$2</f>
        <v>-2.2338907896847812E-3</v>
      </c>
      <c r="G193" s="3">
        <f>AVERAGE(F193:F195)</f>
        <v>-2.1430087328812922E-3</v>
      </c>
    </row>
    <row r="194" spans="1:7" x14ac:dyDescent="0.15">
      <c r="B194" s="2">
        <f>Data!C183*Data!G183</f>
        <v>1.3845826537653E-15</v>
      </c>
      <c r="C194" s="11">
        <f t="shared" si="38"/>
        <v>3.7209980566580518E-8</v>
      </c>
      <c r="D194" s="2">
        <f>Data!E183</f>
        <v>9.8509940000000005E-12</v>
      </c>
      <c r="E194" s="11">
        <f t="shared" si="39"/>
        <v>-3.7800420299474542E-13</v>
      </c>
      <c r="F194" s="3">
        <f t="shared" si="40"/>
        <v>-3.390703433685761E-3</v>
      </c>
    </row>
    <row r="195" spans="1:7" x14ac:dyDescent="0.15">
      <c r="B195" s="2">
        <f>Data!C184*Data!G184</f>
        <v>1.3861441382670001E-15</v>
      </c>
      <c r="C195" s="11">
        <f t="shared" si="38"/>
        <v>3.7230956719737948E-8</v>
      </c>
      <c r="D195" s="2">
        <f>Data!E184</f>
        <v>1.0142959999999999E-11</v>
      </c>
      <c r="E195" s="11">
        <f t="shared" si="39"/>
        <v>-8.9680113175261039E-14</v>
      </c>
      <c r="F195" s="3">
        <f t="shared" si="40"/>
        <v>-8.0443197527333375E-4</v>
      </c>
    </row>
    <row r="196" spans="1:7" x14ac:dyDescent="0.15">
      <c r="A196" t="str">
        <f>Data!A185</f>
        <v>051521-LS-WM-C-2-T1</v>
      </c>
      <c r="B196" s="2">
        <f>Data!C185*Data!G185</f>
        <v>1.3903138796269999E-15</v>
      </c>
      <c r="C196" s="11">
        <f t="shared" si="38"/>
        <v>3.7286912980655829E-8</v>
      </c>
      <c r="D196" s="2">
        <f>Data!E185</f>
        <v>1.010835E-11</v>
      </c>
      <c r="E196" s="11">
        <f t="shared" si="39"/>
        <v>-1.3400532047618465E-13</v>
      </c>
      <c r="F196" s="3">
        <f t="shared" si="40"/>
        <v>-1.20202975700002E-3</v>
      </c>
      <c r="G196" s="3">
        <f>AVERAGE(F196:F198)</f>
        <v>-3.4825347547363228E-4</v>
      </c>
    </row>
    <row r="197" spans="1:7" x14ac:dyDescent="0.15">
      <c r="B197" s="2">
        <f>Data!C186*Data!G186</f>
        <v>1.3887624600234E-15</v>
      </c>
      <c r="C197" s="11">
        <f t="shared" si="38"/>
        <v>3.7266103365168193E-8</v>
      </c>
      <c r="D197" s="2">
        <f>Data!E186</f>
        <v>1.024356E-11</v>
      </c>
      <c r="E197" s="11">
        <f t="shared" si="39"/>
        <v>4.817675192191704E-15</v>
      </c>
      <c r="F197" s="3">
        <f t="shared" si="40"/>
        <v>4.3214619538963679E-5</v>
      </c>
    </row>
    <row r="198" spans="1:7" x14ac:dyDescent="0.15">
      <c r="B198" s="2">
        <f>Data!C187*Data!G187</f>
        <v>1.3879180090208E-15</v>
      </c>
      <c r="C198" s="11">
        <f t="shared" si="38"/>
        <v>3.72547716275486E-8</v>
      </c>
      <c r="D198" s="2">
        <f>Data!E187</f>
        <v>1.024949E-11</v>
      </c>
      <c r="E198" s="11">
        <f t="shared" si="39"/>
        <v>1.2715107937843635E-14</v>
      </c>
      <c r="F198" s="3">
        <f t="shared" si="40"/>
        <v>1.1405471104015952E-4</v>
      </c>
    </row>
    <row r="199" spans="1:7" x14ac:dyDescent="0.15">
      <c r="A199" t="str">
        <f>Data!A188</f>
        <v>051621-LS-WM-C-2-T2</v>
      </c>
      <c r="B199" s="2">
        <f>Data!C188*Data!G188</f>
        <v>1.4253173861310001E-15</v>
      </c>
      <c r="C199" s="11">
        <f t="shared" si="38"/>
        <v>3.7753375824302121E-8</v>
      </c>
      <c r="D199" s="2">
        <f>Data!E188</f>
        <v>1.0204029999999999E-11</v>
      </c>
      <c r="E199" s="11">
        <f t="shared" si="39"/>
        <v>-1.1931327695978363E-13</v>
      </c>
      <c r="F199" s="3">
        <f t="shared" si="40"/>
        <v>-1.0702419038379376E-3</v>
      </c>
      <c r="G199" s="3">
        <f>AVERAGE(F199:F201)</f>
        <v>-1.1866403463967991E-3</v>
      </c>
    </row>
    <row r="200" spans="1:7" x14ac:dyDescent="0.15">
      <c r="B200" s="2">
        <f>Data!C189*Data!G189</f>
        <v>1.4253317236825E-15</v>
      </c>
      <c r="C200" s="11">
        <f t="shared" si="38"/>
        <v>3.775356570818841E-8</v>
      </c>
      <c r="D200" s="2">
        <f>Data!E189</f>
        <v>1.003443E-11</v>
      </c>
      <c r="E200" s="11">
        <f t="shared" si="39"/>
        <v>-2.889462448759414E-13</v>
      </c>
      <c r="F200" s="3">
        <f t="shared" si="40"/>
        <v>-2.5918521987044686E-3</v>
      </c>
    </row>
    <row r="201" spans="1:7" x14ac:dyDescent="0.15">
      <c r="B201" s="2">
        <f>Data!C190*Data!G190</f>
        <v>1.4238157533589E-15</v>
      </c>
      <c r="C201" s="11">
        <f t="shared" si="38"/>
        <v>3.7733483186142514E-8</v>
      </c>
      <c r="D201" s="2">
        <f>Data!E190</f>
        <v>1.033128E-11</v>
      </c>
      <c r="E201" s="11">
        <f t="shared" si="39"/>
        <v>1.1390511772928747E-14</v>
      </c>
      <c r="F201" s="3">
        <f t="shared" si="40"/>
        <v>1.0217306335200847E-4</v>
      </c>
    </row>
    <row r="202" spans="1:7" x14ac:dyDescent="0.15">
      <c r="A202" t="str">
        <f>Data!A191</f>
        <v>051621-LS-WM-C-2-T2</v>
      </c>
      <c r="B202" s="2">
        <f>Data!C191*Data!G191</f>
        <v>1.4179212802439999E-15</v>
      </c>
      <c r="C202" s="11">
        <f t="shared" si="38"/>
        <v>3.7655295513964564E-8</v>
      </c>
      <c r="D202" s="2">
        <f>Data!E191</f>
        <v>1.0196789999999999E-11</v>
      </c>
      <c r="E202" s="11">
        <f t="shared" si="39"/>
        <v>-1.095244310105038E-13</v>
      </c>
      <c r="F202" s="3">
        <f t="shared" si="40"/>
        <v>-9.8243580721497112E-4</v>
      </c>
      <c r="G202" s="3">
        <f>AVERAGE(F202:F204)</f>
        <v>-6.8851883030306203E-4</v>
      </c>
    </row>
    <row r="203" spans="1:7" x14ac:dyDescent="0.15">
      <c r="B203" s="2">
        <f>Data!C192*Data!G192</f>
        <v>1.4189593434367999E-15</v>
      </c>
      <c r="C203" s="11">
        <f t="shared" si="38"/>
        <v>3.7669076753177795E-8</v>
      </c>
      <c r="D203" s="2">
        <f>Data!E192</f>
        <v>1.027574E-11</v>
      </c>
      <c r="E203" s="11">
        <f t="shared" si="39"/>
        <v>-3.2967149780912633E-14</v>
      </c>
      <c r="F203" s="3">
        <f t="shared" si="40"/>
        <v>-2.9571583351555247E-4</v>
      </c>
    </row>
    <row r="204" spans="1:7" x14ac:dyDescent="0.15">
      <c r="B204" s="2">
        <f>Data!C193*Data!G193</f>
        <v>1.4190221484197999E-15</v>
      </c>
      <c r="C204" s="11">
        <f t="shared" si="38"/>
        <v>3.7669910385077904E-8</v>
      </c>
      <c r="D204" s="2">
        <f>Data!E193</f>
        <v>1.022107E-11</v>
      </c>
      <c r="E204" s="11">
        <f t="shared" si="39"/>
        <v>-8.7781886162317415E-14</v>
      </c>
      <c r="F204" s="3">
        <f t="shared" si="40"/>
        <v>-7.8740485017866251E-4</v>
      </c>
    </row>
    <row r="205" spans="1:7" x14ac:dyDescent="0.15">
      <c r="A205" t="str">
        <f>Data!A194</f>
        <v>051421-LS-SB-C-2-To</v>
      </c>
      <c r="B205" s="2">
        <f>Data!C194*Data!G194</f>
        <v>1.3691961985022E-15</v>
      </c>
      <c r="C205" s="11">
        <f t="shared" si="38"/>
        <v>3.7002651236123611E-8</v>
      </c>
      <c r="D205" s="2">
        <f>Data!E194</f>
        <v>1.014223E-11</v>
      </c>
      <c r="E205" s="11">
        <f t="shared" si="39"/>
        <v>-5.0771383480544205E-14</v>
      </c>
      <c r="F205" s="3">
        <f t="shared" si="40"/>
        <v>-4.5542007982078128E-4</v>
      </c>
      <c r="G205" s="3">
        <f>AVERAGE(F205:F207)</f>
        <v>3.1036449122900022E-5</v>
      </c>
    </row>
    <row r="206" spans="1:7" x14ac:dyDescent="0.15">
      <c r="B206" s="2">
        <f>Data!C195*Data!G195</f>
        <v>1.36841616072E-15</v>
      </c>
      <c r="C206" s="11">
        <f t="shared" si="38"/>
        <v>3.6992109438635697E-8</v>
      </c>
      <c r="D206" s="2">
        <f>Data!E195</f>
        <v>1.032724E-11</v>
      </c>
      <c r="E206" s="11">
        <f t="shared" si="39"/>
        <v>1.3606889871200185E-13</v>
      </c>
      <c r="F206" s="3">
        <f t="shared" si="40"/>
        <v>1.2205400850715887E-3</v>
      </c>
    </row>
    <row r="207" spans="1:7" x14ac:dyDescent="0.15">
      <c r="B207" s="2">
        <f>Data!C196*Data!G196</f>
        <v>1.3675582304300002E-15</v>
      </c>
      <c r="C207" s="11">
        <f t="shared" si="38"/>
        <v>3.6980511494975301E-8</v>
      </c>
      <c r="D207" s="2">
        <f>Data!E196</f>
        <v>1.011424E-11</v>
      </c>
      <c r="E207" s="11">
        <f t="shared" si="39"/>
        <v>-7.4917449462860485E-14</v>
      </c>
      <c r="F207" s="3">
        <f t="shared" si="40"/>
        <v>-6.7201065788210731E-4</v>
      </c>
    </row>
    <row r="208" spans="1:7" x14ac:dyDescent="0.15">
      <c r="A208" t="str">
        <f>Data!A197</f>
        <v>051421-LS-SB-C-2-To</v>
      </c>
      <c r="B208" s="2">
        <f>Data!C197*Data!G197</f>
        <v>1.3618776617641998E-15</v>
      </c>
      <c r="C208" s="11">
        <f t="shared" si="38"/>
        <v>3.690362667495161E-8</v>
      </c>
      <c r="D208" s="2">
        <f>Data!E197</f>
        <v>1.026813E-11</v>
      </c>
      <c r="E208" s="11">
        <f t="shared" si="39"/>
        <v>9.2321404670202522E-14</v>
      </c>
      <c r="F208" s="3">
        <f t="shared" si="40"/>
        <v>8.2812440004086346E-4</v>
      </c>
      <c r="G208" s="3">
        <f>AVERAGE(F208:F210)</f>
        <v>1.0152965225302827E-3</v>
      </c>
    </row>
    <row r="209" spans="1:7" x14ac:dyDescent="0.15">
      <c r="B209" s="2">
        <f>Data!C198*Data!G198</f>
        <v>1.3618429081968E-15</v>
      </c>
      <c r="C209" s="11">
        <f t="shared" si="38"/>
        <v>3.690315580267899E-8</v>
      </c>
      <c r="D209" s="2">
        <f>Data!E198</f>
        <v>1.022409E-11</v>
      </c>
      <c r="E209" s="11">
        <f t="shared" si="39"/>
        <v>4.8363158198150911E-14</v>
      </c>
      <c r="F209" s="3">
        <f t="shared" si="40"/>
        <v>4.3381826251449776E-4</v>
      </c>
    </row>
    <row r="210" spans="1:7" x14ac:dyDescent="0.15">
      <c r="B210" s="2">
        <f>Data!C199*Data!G199</f>
        <v>1.3638093778725E-15</v>
      </c>
      <c r="C210" s="11">
        <f t="shared" si="38"/>
        <v>3.6929789843329735E-8</v>
      </c>
      <c r="D210" s="2">
        <f>Data!E199</f>
        <v>1.037923E-11</v>
      </c>
      <c r="E210" s="11">
        <f t="shared" si="39"/>
        <v>1.9887891737257064E-13</v>
      </c>
      <c r="F210" s="3">
        <f t="shared" si="40"/>
        <v>1.7839469050354869E-3</v>
      </c>
    </row>
    <row r="211" spans="1:7" x14ac:dyDescent="0.15">
      <c r="A211" t="str">
        <f>Data!A200</f>
        <v>051521-LS-SB-C-2-T1</v>
      </c>
      <c r="B211" s="2">
        <f>Data!C200*Data!G200</f>
        <v>1.31191627101E-15</v>
      </c>
      <c r="C211" s="11">
        <f t="shared" si="38"/>
        <v>3.6220384744091272E-8</v>
      </c>
      <c r="D211" s="2">
        <f>Data!E200</f>
        <v>9.9866619999999997E-12</v>
      </c>
      <c r="E211" s="11">
        <f t="shared" si="39"/>
        <v>-7.0521138837391346E-14</v>
      </c>
      <c r="F211" s="3">
        <f t="shared" si="40"/>
        <v>-6.3257568489707245E-4</v>
      </c>
      <c r="G211" s="3">
        <f>AVERAGE(F211:F213)</f>
        <v>-5.9370793608445806E-4</v>
      </c>
    </row>
    <row r="212" spans="1:7" x14ac:dyDescent="0.15">
      <c r="B212" s="2">
        <f>Data!C201*Data!G201</f>
        <v>1.3110935677664E-15</v>
      </c>
      <c r="C212" s="11">
        <f t="shared" si="38"/>
        <v>3.620902605382255E-8</v>
      </c>
      <c r="D212" s="2">
        <f>Data!E201</f>
        <v>1.010292E-11</v>
      </c>
      <c r="E212" s="11">
        <f t="shared" si="39"/>
        <v>4.7708973466351224E-14</v>
      </c>
      <c r="F212" s="3">
        <f t="shared" si="40"/>
        <v>4.2795021554886963E-4</v>
      </c>
    </row>
    <row r="213" spans="1:7" x14ac:dyDescent="0.15">
      <c r="B213" s="2">
        <f>Data!C202*Data!G202</f>
        <v>1.3098583991167001E-15</v>
      </c>
      <c r="C213" s="11">
        <f t="shared" si="38"/>
        <v>3.6191965947109039E-8</v>
      </c>
      <c r="D213" s="2">
        <f>Data!E202</f>
        <v>9.8764969999999997E-12</v>
      </c>
      <c r="E213" s="11">
        <f t="shared" si="39"/>
        <v>-1.7575202602505681E-13</v>
      </c>
      <c r="F213" s="3">
        <f t="shared" si="40"/>
        <v>-1.5764983389051712E-3</v>
      </c>
    </row>
    <row r="214" spans="1:7" x14ac:dyDescent="0.15">
      <c r="A214" t="str">
        <f>Data!A203</f>
        <v>051521-LS-SB-C-2-T1</v>
      </c>
      <c r="B214" s="2">
        <f>Data!C203*Data!G203</f>
        <v>1.3339001321851E-15</v>
      </c>
      <c r="C214" s="11">
        <f t="shared" si="38"/>
        <v>3.6522597555282126E-8</v>
      </c>
      <c r="D214" s="2">
        <f>Data!E203</f>
        <v>9.93398E-12</v>
      </c>
      <c r="E214" s="11">
        <f t="shared" si="39"/>
        <v>-1.7567376610147931E-13</v>
      </c>
      <c r="F214" s="3">
        <f t="shared" si="40"/>
        <v>-1.5757963462037889E-3</v>
      </c>
      <c r="G214" s="3">
        <f>AVERAGE(F214:F216)</f>
        <v>-4.1744998415627955E-4</v>
      </c>
    </row>
    <row r="215" spans="1:7" x14ac:dyDescent="0.15">
      <c r="B215" s="2">
        <f>Data!C204*Data!G204</f>
        <v>1.3339569170315999E-15</v>
      </c>
      <c r="C215" s="11">
        <f t="shared" si="38"/>
        <v>3.6523374940325542E-8</v>
      </c>
      <c r="D215" s="2">
        <f>Data!E204</f>
        <v>1.009196E-11</v>
      </c>
      <c r="E215" s="11">
        <f t="shared" si="39"/>
        <v>-1.7828736821922948E-14</v>
      </c>
      <c r="F215" s="3">
        <f t="shared" si="40"/>
        <v>-1.5992403968379749E-4</v>
      </c>
    </row>
    <row r="216" spans="1:7" x14ac:dyDescent="0.15">
      <c r="B216" s="2">
        <f>Data!C205*Data!G205</f>
        <v>1.3363872440160001E-15</v>
      </c>
      <c r="C216" s="11">
        <f t="shared" si="38"/>
        <v>3.6556630643646581E-8</v>
      </c>
      <c r="D216" s="2">
        <f>Data!E205</f>
        <v>1.016945E-11</v>
      </c>
      <c r="E216" s="11">
        <f t="shared" si="39"/>
        <v>5.388735966125546E-14</v>
      </c>
      <c r="F216" s="3">
        <f t="shared" si="40"/>
        <v>4.8337043341874789E-4</v>
      </c>
    </row>
    <row r="217" spans="1:7" x14ac:dyDescent="0.15">
      <c r="A217" t="str">
        <f>Data!A206</f>
        <v>051621-LS-SB-C-2-T2</v>
      </c>
      <c r="B217" s="2">
        <f>Data!C206*Data!G206</f>
        <v>1.325613153937E-15</v>
      </c>
      <c r="C217" s="11">
        <f t="shared" si="38"/>
        <v>3.6408970789312353E-8</v>
      </c>
      <c r="D217" s="2">
        <f>Data!E206</f>
        <v>1.004087E-11</v>
      </c>
      <c r="E217" s="11">
        <f t="shared" si="39"/>
        <v>-4.905572194302576E-14</v>
      </c>
      <c r="F217" s="3">
        <f t="shared" si="40"/>
        <v>-4.400305698094673E-4</v>
      </c>
      <c r="G217" s="3">
        <f>AVERAGE(F217:F219)</f>
        <v>7.8685344296373515E-4</v>
      </c>
    </row>
    <row r="218" spans="1:7" x14ac:dyDescent="0.15">
      <c r="B218" s="2">
        <f>Data!C207*Data!G207</f>
        <v>1.3259448242441E-15</v>
      </c>
      <c r="C218" s="11">
        <f t="shared" si="38"/>
        <v>3.6413525292727428E-8</v>
      </c>
      <c r="D218" s="2">
        <f>Data!E207</f>
        <v>1.008854E-11</v>
      </c>
      <c r="E218" s="11">
        <f t="shared" si="39"/>
        <v>-2.1764814416838449E-15</v>
      </c>
      <c r="F218" s="3">
        <f t="shared" si="40"/>
        <v>-1.9523071540485845E-5</v>
      </c>
    </row>
    <row r="219" spans="1:7" x14ac:dyDescent="0.15">
      <c r="B219" s="2">
        <f>Data!C208*Data!G208</f>
        <v>1.3263307852780002E-15</v>
      </c>
      <c r="C219" s="11">
        <f t="shared" si="38"/>
        <v>3.6418824600445305E-8</v>
      </c>
      <c r="D219" s="2">
        <f>Data!E208</f>
        <v>1.040603E-11</v>
      </c>
      <c r="E219" s="11">
        <f t="shared" si="39"/>
        <v>3.1439344505472636E-13</v>
      </c>
      <c r="F219" s="3">
        <f t="shared" si="40"/>
        <v>2.8201139702411586E-3</v>
      </c>
    </row>
    <row r="220" spans="1:7" x14ac:dyDescent="0.15">
      <c r="A220" t="str">
        <f>Data!A209</f>
        <v>051621-LS-SB-C-2-T2</v>
      </c>
      <c r="B220" s="2">
        <f>Data!C209*Data!G209</f>
        <v>1.32458654065E-15</v>
      </c>
      <c r="C220" s="11">
        <f t="shared" si="38"/>
        <v>3.6394869702335795E-8</v>
      </c>
      <c r="D220" s="2">
        <f>Data!E209</f>
        <v>1.001639E-11</v>
      </c>
      <c r="E220" s="11">
        <f t="shared" si="39"/>
        <v>-7.1087470739345751E-14</v>
      </c>
      <c r="F220" s="3">
        <f t="shared" si="40"/>
        <v>-6.3765569064660988E-4</v>
      </c>
      <c r="G220" s="3">
        <f>AVERAGE(F220:F222)</f>
        <v>-9.7994078496350706E-4</v>
      </c>
    </row>
    <row r="221" spans="1:7" x14ac:dyDescent="0.15">
      <c r="B221" s="2">
        <f>Data!C210*Data!G210</f>
        <v>1.3228629134655001E-15</v>
      </c>
      <c r="C221" s="11">
        <f t="shared" si="38"/>
        <v>3.6371182458994925E-8</v>
      </c>
      <c r="D221" s="2">
        <f>Data!E210</f>
        <v>9.9212520000000003E-12</v>
      </c>
      <c r="E221" s="11">
        <f t="shared" si="39"/>
        <v>-1.6211285714313518E-13</v>
      </c>
      <c r="F221" s="3">
        <f t="shared" si="40"/>
        <v>-1.4541547871822966E-3</v>
      </c>
    </row>
    <row r="222" spans="1:7" x14ac:dyDescent="0.15">
      <c r="B222" s="2">
        <f>Data!C211*Data!G211</f>
        <v>1.3268812339929999E-15</v>
      </c>
      <c r="C222" s="11">
        <f t="shared" si="38"/>
        <v>3.6426381016963513E-8</v>
      </c>
      <c r="D222" s="2">
        <f>Data!E211</f>
        <v>9.9984099999999992E-12</v>
      </c>
      <c r="E222" s="11">
        <f t="shared" si="39"/>
        <v>-9.4538510957387795E-14</v>
      </c>
      <c r="F222" s="3">
        <f t="shared" si="40"/>
        <v>-8.4801187706161482E-4</v>
      </c>
    </row>
    <row r="223" spans="1:7" x14ac:dyDescent="0.15">
      <c r="B223" s="2"/>
      <c r="C223" s="11"/>
      <c r="D223" s="2"/>
      <c r="E223" s="11"/>
      <c r="F223" s="3"/>
      <c r="G223" s="3"/>
    </row>
    <row r="224" spans="1:7" x14ac:dyDescent="0.15">
      <c r="B224" s="2"/>
      <c r="C224" s="11"/>
      <c r="D224" s="2"/>
      <c r="E224" s="11"/>
      <c r="F224" s="3"/>
    </row>
    <row r="225" spans="2:7" x14ac:dyDescent="0.15">
      <c r="B225" s="2"/>
      <c r="C225" s="11"/>
      <c r="D225" s="2"/>
      <c r="E225" s="11"/>
      <c r="F225" s="3"/>
    </row>
    <row r="226" spans="2:7" x14ac:dyDescent="0.15">
      <c r="B226" s="2"/>
      <c r="C226" s="11"/>
      <c r="D226" s="2"/>
      <c r="E226" s="11"/>
      <c r="F226" s="3"/>
      <c r="G226" s="3"/>
    </row>
    <row r="227" spans="2:7" x14ac:dyDescent="0.15">
      <c r="B227" s="2"/>
      <c r="C227" s="11"/>
      <c r="D227" s="2"/>
      <c r="E227" s="11"/>
      <c r="F227" s="3"/>
    </row>
    <row r="228" spans="2:7" x14ac:dyDescent="0.15">
      <c r="B228" s="2"/>
      <c r="C228" s="11"/>
      <c r="D228" s="2"/>
      <c r="E228" s="11"/>
      <c r="F228" s="3"/>
    </row>
    <row r="229" spans="2:7" x14ac:dyDescent="0.15">
      <c r="B229" s="2"/>
      <c r="C229" s="11"/>
      <c r="D229" s="2"/>
      <c r="E229" s="11"/>
      <c r="F229" s="3"/>
      <c r="G229" s="3"/>
    </row>
    <row r="230" spans="2:7" x14ac:dyDescent="0.15">
      <c r="B230" s="2"/>
      <c r="C230" s="11"/>
      <c r="D230" s="2"/>
      <c r="E230" s="11"/>
      <c r="F230" s="3"/>
    </row>
    <row r="231" spans="2:7" x14ac:dyDescent="0.15">
      <c r="B231" s="2"/>
      <c r="C231" s="11"/>
      <c r="D231" s="2"/>
      <c r="E231" s="11"/>
      <c r="F231" s="3"/>
    </row>
    <row r="232" spans="2:7" x14ac:dyDescent="0.15">
      <c r="B232" s="2"/>
      <c r="C232" s="11"/>
      <c r="D232" s="2"/>
      <c r="E232" s="11"/>
      <c r="F232" s="3"/>
      <c r="G232" s="3"/>
    </row>
    <row r="233" spans="2:7" x14ac:dyDescent="0.15">
      <c r="B233" s="2"/>
      <c r="C233" s="11"/>
      <c r="D233" s="2"/>
      <c r="E233" s="11"/>
      <c r="F233" s="3"/>
    </row>
    <row r="234" spans="2:7" x14ac:dyDescent="0.15">
      <c r="B234" s="2"/>
      <c r="C234" s="11"/>
      <c r="D234" s="2"/>
      <c r="E234" s="11"/>
      <c r="F234" s="3"/>
    </row>
    <row r="235" spans="2:7" x14ac:dyDescent="0.15">
      <c r="B235" s="2"/>
      <c r="C235" s="11"/>
      <c r="D235" s="2"/>
      <c r="E235" s="11"/>
      <c r="F235" s="3"/>
      <c r="G235" s="3"/>
    </row>
    <row r="236" spans="2:7" x14ac:dyDescent="0.15">
      <c r="B236" s="2"/>
      <c r="C236" s="11"/>
      <c r="D236" s="2"/>
      <c r="E236" s="11"/>
      <c r="F236" s="3"/>
    </row>
    <row r="237" spans="2:7" x14ac:dyDescent="0.15">
      <c r="B237" s="2"/>
      <c r="C237" s="11"/>
      <c r="D237" s="2"/>
      <c r="E237" s="11"/>
      <c r="F237" s="3"/>
    </row>
    <row r="238" spans="2:7" x14ac:dyDescent="0.15">
      <c r="B238" s="2"/>
      <c r="C238" s="11"/>
      <c r="D238" s="2"/>
      <c r="E238" s="11"/>
      <c r="F238" s="3"/>
      <c r="G238" s="3"/>
    </row>
    <row r="239" spans="2:7" x14ac:dyDescent="0.15">
      <c r="B239" s="2"/>
      <c r="C239" s="11"/>
      <c r="D239" s="2"/>
      <c r="E239" s="11"/>
      <c r="F239" s="3"/>
    </row>
    <row r="240" spans="2:7" x14ac:dyDescent="0.15">
      <c r="B240" s="2"/>
      <c r="C240" s="11"/>
      <c r="D240" s="2"/>
      <c r="E240" s="11"/>
      <c r="F240" s="3"/>
    </row>
    <row r="241" spans="2:7" x14ac:dyDescent="0.15">
      <c r="B241" s="2"/>
      <c r="C241" s="11"/>
      <c r="D241" s="2"/>
      <c r="E241" s="11"/>
      <c r="F241" s="3"/>
      <c r="G241" s="3"/>
    </row>
    <row r="242" spans="2:7" x14ac:dyDescent="0.15">
      <c r="B242" s="2"/>
      <c r="C242" s="11"/>
      <c r="D242" s="2"/>
      <c r="E242" s="11"/>
      <c r="F242" s="3"/>
    </row>
    <row r="243" spans="2:7" x14ac:dyDescent="0.15">
      <c r="B243" s="2"/>
      <c r="C243" s="11"/>
      <c r="D243" s="2"/>
      <c r="E243" s="11"/>
      <c r="F243" s="3"/>
    </row>
    <row r="244" spans="2:7" x14ac:dyDescent="0.15">
      <c r="B244" s="2"/>
      <c r="C244" s="11"/>
      <c r="D244" s="2"/>
      <c r="E244" s="11"/>
      <c r="F244" s="3"/>
      <c r="G244" s="3"/>
    </row>
    <row r="245" spans="2:7" x14ac:dyDescent="0.15">
      <c r="B245" s="2"/>
      <c r="C245" s="11"/>
      <c r="D245" s="2"/>
      <c r="E245" s="11"/>
      <c r="F245" s="3"/>
    </row>
    <row r="246" spans="2:7" x14ac:dyDescent="0.15">
      <c r="B246" s="2"/>
      <c r="C246" s="11"/>
      <c r="D246" s="2"/>
      <c r="E246" s="11"/>
      <c r="F246" s="3"/>
    </row>
    <row r="247" spans="2:7" x14ac:dyDescent="0.15">
      <c r="B247" s="2"/>
      <c r="C247" s="11"/>
      <c r="D247" s="2"/>
      <c r="E247" s="11"/>
      <c r="F247" s="3"/>
      <c r="G247" s="3"/>
    </row>
    <row r="248" spans="2:7" x14ac:dyDescent="0.15">
      <c r="B248" s="2"/>
      <c r="C248" s="11"/>
      <c r="D248" s="2"/>
      <c r="E248" s="11"/>
      <c r="F248" s="3"/>
    </row>
    <row r="249" spans="2:7" x14ac:dyDescent="0.15">
      <c r="B249" s="2"/>
      <c r="C249" s="11"/>
      <c r="D249" s="2"/>
      <c r="E249" s="11"/>
      <c r="F249" s="3"/>
    </row>
    <row r="250" spans="2:7" x14ac:dyDescent="0.15">
      <c r="B250" s="2"/>
      <c r="C250" s="11"/>
      <c r="D250" s="2"/>
      <c r="E250" s="11"/>
      <c r="F250" s="3"/>
      <c r="G250" s="3"/>
    </row>
    <row r="251" spans="2:7" x14ac:dyDescent="0.15">
      <c r="B251" s="2"/>
      <c r="C251" s="11"/>
      <c r="D251" s="2"/>
      <c r="E251" s="11"/>
      <c r="F251" s="3"/>
    </row>
    <row r="252" spans="2:7" x14ac:dyDescent="0.15">
      <c r="B252" s="2"/>
      <c r="C252" s="11"/>
      <c r="D252" s="2"/>
      <c r="E252" s="11"/>
      <c r="F252" s="3"/>
    </row>
    <row r="253" spans="2:7" x14ac:dyDescent="0.15">
      <c r="B253" s="2"/>
      <c r="C253" s="11"/>
      <c r="D253" s="2"/>
      <c r="E253" s="11"/>
      <c r="F253" s="3"/>
      <c r="G253" s="3"/>
    </row>
    <row r="254" spans="2:7" x14ac:dyDescent="0.15">
      <c r="B254" s="2"/>
      <c r="C254" s="11"/>
      <c r="D254" s="2"/>
      <c r="E254" s="11"/>
      <c r="F254" s="3"/>
    </row>
    <row r="255" spans="2:7" x14ac:dyDescent="0.15">
      <c r="B255" s="2"/>
      <c r="C255" s="11"/>
      <c r="D255" s="2"/>
      <c r="E255" s="11"/>
      <c r="F255" s="3"/>
    </row>
    <row r="256" spans="2:7" x14ac:dyDescent="0.15">
      <c r="B256" s="2"/>
      <c r="C256" s="11"/>
      <c r="D256" s="2"/>
      <c r="E256" s="11"/>
      <c r="F256" s="3"/>
      <c r="G256" s="3"/>
    </row>
    <row r="257" spans="2:7" x14ac:dyDescent="0.15">
      <c r="B257" s="2"/>
      <c r="C257" s="11"/>
      <c r="D257" s="2"/>
      <c r="E257" s="11"/>
      <c r="F257" s="3"/>
    </row>
    <row r="258" spans="2:7" x14ac:dyDescent="0.15">
      <c r="B258" s="2"/>
      <c r="C258" s="11"/>
      <c r="D258" s="2"/>
      <c r="E258" s="11"/>
      <c r="F258" s="3"/>
    </row>
    <row r="259" spans="2:7" x14ac:dyDescent="0.15">
      <c r="B259" s="2"/>
      <c r="C259" s="11"/>
      <c r="D259" s="2"/>
      <c r="E259" s="11"/>
      <c r="F259" s="3"/>
      <c r="G259" s="3"/>
    </row>
    <row r="260" spans="2:7" x14ac:dyDescent="0.15">
      <c r="B260" s="2"/>
      <c r="C260" s="11"/>
      <c r="D260" s="2"/>
      <c r="E260" s="11"/>
      <c r="F260" s="3"/>
    </row>
    <row r="261" spans="2:7" x14ac:dyDescent="0.15">
      <c r="B261" s="2"/>
      <c r="C261" s="11"/>
      <c r="D261" s="2"/>
      <c r="E261" s="11"/>
      <c r="F261" s="3"/>
    </row>
    <row r="262" spans="2:7" x14ac:dyDescent="0.15">
      <c r="B262" s="2"/>
      <c r="C262" s="11"/>
      <c r="D262" s="2"/>
      <c r="E262" s="11"/>
      <c r="F262" s="3"/>
      <c r="G262" s="3"/>
    </row>
    <row r="263" spans="2:7" x14ac:dyDescent="0.15">
      <c r="B263" s="2"/>
      <c r="C263" s="11"/>
      <c r="D263" s="2"/>
      <c r="E263" s="11"/>
      <c r="F263" s="3"/>
    </row>
    <row r="264" spans="2:7" x14ac:dyDescent="0.15">
      <c r="B264" s="2"/>
      <c r="C264" s="11"/>
      <c r="D264" s="2"/>
      <c r="E264" s="11"/>
      <c r="F264" s="3"/>
    </row>
    <row r="265" spans="2:7" x14ac:dyDescent="0.15">
      <c r="B265" s="2"/>
      <c r="C265" s="11"/>
      <c r="D265" s="2"/>
      <c r="E265" s="11"/>
      <c r="F265" s="3"/>
      <c r="G265" s="3"/>
    </row>
    <row r="266" spans="2:7" x14ac:dyDescent="0.15">
      <c r="B266" s="2"/>
      <c r="C266" s="11"/>
      <c r="D266" s="2"/>
      <c r="E266" s="11"/>
      <c r="F266" s="3"/>
    </row>
    <row r="267" spans="2:7" x14ac:dyDescent="0.15">
      <c r="B267" s="2"/>
      <c r="C267" s="11"/>
      <c r="D267" s="2"/>
      <c r="E267" s="11"/>
      <c r="F267" s="3"/>
    </row>
    <row r="268" spans="2:7" x14ac:dyDescent="0.15">
      <c r="B268" s="2"/>
      <c r="C268" s="11"/>
      <c r="D268" s="2"/>
      <c r="E268" s="11"/>
      <c r="F268" s="3"/>
      <c r="G268" s="3"/>
    </row>
    <row r="269" spans="2:7" x14ac:dyDescent="0.15">
      <c r="B269" s="2"/>
      <c r="C269" s="11"/>
      <c r="D269" s="2"/>
      <c r="E269" s="11"/>
      <c r="F269" s="3"/>
    </row>
    <row r="270" spans="2:7" x14ac:dyDescent="0.15">
      <c r="B270" s="2"/>
      <c r="C270" s="11"/>
      <c r="D270" s="2"/>
      <c r="E270" s="11"/>
      <c r="F270" s="3"/>
    </row>
    <row r="271" spans="2:7" x14ac:dyDescent="0.15">
      <c r="B271" s="2"/>
      <c r="C271" s="11"/>
      <c r="D271" s="2"/>
      <c r="E271" s="11"/>
      <c r="F271" s="3"/>
      <c r="G271" s="3"/>
    </row>
    <row r="272" spans="2:7" x14ac:dyDescent="0.15">
      <c r="B272" s="2"/>
      <c r="C272" s="11"/>
      <c r="D272" s="2"/>
      <c r="E272" s="11"/>
      <c r="F272" s="3"/>
    </row>
    <row r="273" spans="2:7" x14ac:dyDescent="0.15">
      <c r="B273" s="2"/>
      <c r="C273" s="11"/>
      <c r="D273" s="2"/>
      <c r="E273" s="11"/>
      <c r="F273" s="3"/>
    </row>
    <row r="274" spans="2:7" x14ac:dyDescent="0.15">
      <c r="B274" s="2"/>
      <c r="C274" s="11"/>
      <c r="D274" s="2"/>
      <c r="E274" s="11"/>
      <c r="F274" s="3"/>
      <c r="G274" s="3"/>
    </row>
    <row r="275" spans="2:7" x14ac:dyDescent="0.15">
      <c r="B275" s="2"/>
      <c r="C275" s="11"/>
      <c r="D275" s="2"/>
      <c r="E275" s="11"/>
      <c r="F275" s="3"/>
    </row>
    <row r="276" spans="2:7" x14ac:dyDescent="0.15">
      <c r="B276" s="2"/>
      <c r="C276" s="11"/>
      <c r="D276" s="2"/>
      <c r="E276" s="11"/>
      <c r="F276" s="3"/>
    </row>
    <row r="277" spans="2:7" x14ac:dyDescent="0.15">
      <c r="B277" s="2"/>
      <c r="C277" s="11"/>
      <c r="D277" s="2"/>
      <c r="E277" s="11"/>
      <c r="F277" s="3"/>
      <c r="G277" s="3"/>
    </row>
    <row r="278" spans="2:7" x14ac:dyDescent="0.15">
      <c r="B278" s="2"/>
      <c r="C278" s="11"/>
      <c r="D278" s="2"/>
      <c r="E278" s="11"/>
      <c r="F278" s="3"/>
    </row>
    <row r="279" spans="2:7" x14ac:dyDescent="0.15">
      <c r="B279" s="2"/>
      <c r="C279" s="11"/>
      <c r="D279" s="2"/>
      <c r="E279" s="11"/>
      <c r="F279" s="3"/>
    </row>
    <row r="280" spans="2:7" x14ac:dyDescent="0.15">
      <c r="B280" s="2"/>
      <c r="C280" s="11"/>
      <c r="D280" s="2"/>
      <c r="E280" s="11"/>
      <c r="F280" s="3"/>
      <c r="G280" s="3"/>
    </row>
    <row r="281" spans="2:7" x14ac:dyDescent="0.15">
      <c r="B281" s="2"/>
      <c r="C281" s="11"/>
      <c r="D281" s="2"/>
      <c r="E281" s="11"/>
      <c r="F281" s="3"/>
    </row>
    <row r="282" spans="2:7" x14ac:dyDescent="0.15">
      <c r="B282" s="2"/>
      <c r="C282" s="11"/>
      <c r="D282" s="2"/>
      <c r="E282" s="11"/>
      <c r="F282" s="3"/>
    </row>
    <row r="283" spans="2:7" x14ac:dyDescent="0.15">
      <c r="B283" s="2"/>
      <c r="C283" s="11"/>
      <c r="D283" s="2"/>
      <c r="E283" s="11"/>
      <c r="F283" s="3"/>
      <c r="G283" s="3"/>
    </row>
    <row r="284" spans="2:7" x14ac:dyDescent="0.15">
      <c r="B284" s="2"/>
      <c r="C284" s="11"/>
      <c r="D284" s="2"/>
      <c r="E284" s="11"/>
      <c r="F284" s="3"/>
    </row>
    <row r="285" spans="2:7" x14ac:dyDescent="0.15">
      <c r="B285" s="2"/>
      <c r="C285" s="11"/>
      <c r="D285" s="2"/>
      <c r="E285" s="11"/>
      <c r="F285" s="3"/>
    </row>
    <row r="286" spans="2:7" x14ac:dyDescent="0.15">
      <c r="B286" s="2"/>
      <c r="C286" s="11"/>
      <c r="D286" s="2"/>
      <c r="E286" s="11"/>
      <c r="F286" s="3"/>
      <c r="G286" s="3"/>
    </row>
    <row r="287" spans="2:7" x14ac:dyDescent="0.15">
      <c r="B287" s="2"/>
      <c r="C287" s="11"/>
      <c r="D287" s="2"/>
      <c r="E287" s="11"/>
      <c r="F287" s="3"/>
    </row>
    <row r="288" spans="2:7" x14ac:dyDescent="0.15">
      <c r="B288" s="2"/>
      <c r="C288" s="11"/>
      <c r="D288" s="2"/>
      <c r="E288" s="11"/>
      <c r="F288" s="3"/>
    </row>
    <row r="289" spans="2:7" x14ac:dyDescent="0.15">
      <c r="B289" s="2"/>
      <c r="C289" s="11"/>
      <c r="D289" s="2"/>
      <c r="E289" s="11"/>
      <c r="F289" s="3"/>
      <c r="G289" s="3"/>
    </row>
    <row r="290" spans="2:7" x14ac:dyDescent="0.15">
      <c r="B290" s="2"/>
      <c r="C290" s="11"/>
      <c r="D290" s="2"/>
      <c r="E290" s="11"/>
      <c r="F290" s="3"/>
    </row>
    <row r="291" spans="2:7" x14ac:dyDescent="0.15">
      <c r="B291" s="2"/>
      <c r="C291" s="11"/>
      <c r="D291" s="2"/>
      <c r="E291" s="11"/>
      <c r="F291" s="3"/>
    </row>
    <row r="292" spans="2:7" x14ac:dyDescent="0.15">
      <c r="B292" s="2"/>
      <c r="C292" s="11"/>
      <c r="D292" s="2"/>
      <c r="E292" s="11"/>
      <c r="F292" s="3"/>
      <c r="G292" s="3"/>
    </row>
    <row r="293" spans="2:7" x14ac:dyDescent="0.15">
      <c r="B293" s="2"/>
      <c r="C293" s="11"/>
      <c r="D293" s="2"/>
      <c r="E293" s="11"/>
      <c r="F293" s="3"/>
    </row>
    <row r="294" spans="2:7" x14ac:dyDescent="0.15">
      <c r="B294" s="2"/>
      <c r="C294" s="11"/>
      <c r="D294" s="2"/>
      <c r="E294" s="11"/>
      <c r="F294" s="3"/>
    </row>
    <row r="295" spans="2:7" x14ac:dyDescent="0.15">
      <c r="B295" s="2"/>
      <c r="C295" s="11"/>
      <c r="D295" s="2"/>
      <c r="E295" s="11"/>
      <c r="F295" s="3"/>
      <c r="G295" s="3"/>
    </row>
    <row r="296" spans="2:7" x14ac:dyDescent="0.15">
      <c r="B296" s="2"/>
      <c r="C296" s="11"/>
      <c r="D296" s="2"/>
      <c r="E296" s="11"/>
      <c r="F296" s="3"/>
    </row>
    <row r="297" spans="2:7" x14ac:dyDescent="0.15">
      <c r="B297" s="2"/>
      <c r="C297" s="11"/>
      <c r="D297" s="2"/>
      <c r="E297" s="11"/>
      <c r="F297" s="3"/>
    </row>
    <row r="298" spans="2:7" x14ac:dyDescent="0.15">
      <c r="B298" s="2"/>
      <c r="C298" s="11"/>
      <c r="D298" s="2"/>
      <c r="E298" s="11"/>
      <c r="F298" s="3"/>
      <c r="G298" s="3"/>
    </row>
    <row r="299" spans="2:7" x14ac:dyDescent="0.15">
      <c r="B299" s="2"/>
      <c r="C299" s="11"/>
      <c r="D299" s="2"/>
      <c r="E299" s="11"/>
      <c r="F299" s="3"/>
    </row>
    <row r="300" spans="2:7" x14ac:dyDescent="0.15">
      <c r="B300" s="2"/>
      <c r="C300" s="11"/>
      <c r="D300" s="2"/>
      <c r="E300" s="11"/>
      <c r="F300" s="3"/>
    </row>
    <row r="301" spans="2:7" x14ac:dyDescent="0.15">
      <c r="B301" s="2"/>
      <c r="C301" s="11"/>
      <c r="D301" s="2"/>
      <c r="E301" s="11"/>
      <c r="F301" s="3"/>
      <c r="G301" s="3"/>
    </row>
    <row r="302" spans="2:7" x14ac:dyDescent="0.15">
      <c r="B302" s="2"/>
      <c r="C302" s="11"/>
      <c r="D302" s="2"/>
      <c r="E302" s="11"/>
      <c r="F302" s="3"/>
    </row>
    <row r="303" spans="2:7" x14ac:dyDescent="0.15">
      <c r="B303" s="2"/>
      <c r="C303" s="11"/>
      <c r="D303" s="2"/>
      <c r="E303" s="11"/>
      <c r="F303" s="3"/>
    </row>
    <row r="304" spans="2:7" x14ac:dyDescent="0.15">
      <c r="B304" s="2"/>
      <c r="C304" s="11"/>
      <c r="D304" s="2"/>
      <c r="E304" s="11"/>
      <c r="F304" s="3"/>
      <c r="G304" s="3"/>
    </row>
    <row r="305" spans="2:7" x14ac:dyDescent="0.15">
      <c r="B305" s="2"/>
      <c r="C305" s="11"/>
      <c r="D305" s="2"/>
      <c r="E305" s="11"/>
      <c r="F305" s="3"/>
    </row>
    <row r="306" spans="2:7" x14ac:dyDescent="0.15">
      <c r="B306" s="2"/>
      <c r="C306" s="11"/>
      <c r="D306" s="2"/>
      <c r="E306" s="11"/>
      <c r="F306" s="3"/>
    </row>
    <row r="307" spans="2:7" x14ac:dyDescent="0.15">
      <c r="B307" s="2"/>
      <c r="C307" s="11"/>
      <c r="D307" s="2"/>
      <c r="E307" s="11"/>
      <c r="F307" s="3"/>
      <c r="G307" s="3"/>
    </row>
    <row r="308" spans="2:7" x14ac:dyDescent="0.15">
      <c r="B308" s="2"/>
      <c r="C308" s="11"/>
      <c r="D308" s="2"/>
      <c r="E308" s="11"/>
      <c r="F308" s="3"/>
    </row>
    <row r="309" spans="2:7" x14ac:dyDescent="0.15">
      <c r="B309" s="2"/>
      <c r="C309" s="11"/>
      <c r="D309" s="2"/>
      <c r="E309" s="11"/>
      <c r="F309" s="3"/>
    </row>
    <row r="310" spans="2:7" x14ac:dyDescent="0.15">
      <c r="B310" s="2"/>
      <c r="C310" s="11"/>
      <c r="D310" s="2"/>
      <c r="E310" s="11"/>
      <c r="F310" s="3"/>
      <c r="G310" s="3"/>
    </row>
    <row r="311" spans="2:7" x14ac:dyDescent="0.15">
      <c r="B311" s="2"/>
      <c r="C311" s="11"/>
      <c r="D311" s="2"/>
      <c r="E311" s="11"/>
      <c r="F311" s="3"/>
    </row>
    <row r="312" spans="2:7" x14ac:dyDescent="0.15">
      <c r="B312" s="2"/>
      <c r="C312" s="11"/>
      <c r="D312" s="2"/>
      <c r="E312" s="11"/>
      <c r="F312" s="3"/>
    </row>
    <row r="313" spans="2:7" x14ac:dyDescent="0.15">
      <c r="B313" s="2"/>
      <c r="C313" s="11"/>
      <c r="D313" s="2"/>
      <c r="E313" s="11"/>
      <c r="F313" s="3"/>
      <c r="G313" s="3"/>
    </row>
    <row r="314" spans="2:7" x14ac:dyDescent="0.15">
      <c r="B314" s="2"/>
      <c r="C314" s="11"/>
      <c r="D314" s="2"/>
      <c r="E314" s="11"/>
      <c r="F314" s="3"/>
    </row>
    <row r="315" spans="2:7" x14ac:dyDescent="0.15">
      <c r="B315" s="2"/>
      <c r="C315" s="11"/>
      <c r="D315" s="2"/>
      <c r="E315" s="11"/>
      <c r="F315" s="3"/>
    </row>
    <row r="316" spans="2:7" x14ac:dyDescent="0.15">
      <c r="B316" s="2"/>
      <c r="C316" s="11"/>
      <c r="D316" s="2"/>
      <c r="E316" s="11"/>
      <c r="F316" s="3"/>
      <c r="G316" s="3"/>
    </row>
    <row r="317" spans="2:7" x14ac:dyDescent="0.15">
      <c r="B317" s="2"/>
      <c r="C317" s="11"/>
      <c r="D317" s="2"/>
      <c r="E317" s="11"/>
      <c r="F317" s="3"/>
    </row>
    <row r="318" spans="2:7" x14ac:dyDescent="0.15">
      <c r="B318" s="2"/>
      <c r="C318" s="11"/>
      <c r="D318" s="2"/>
      <c r="E318" s="11"/>
      <c r="F318" s="3"/>
    </row>
    <row r="319" spans="2:7" x14ac:dyDescent="0.15">
      <c r="B319" s="2"/>
      <c r="C319" s="11"/>
      <c r="D319" s="2"/>
      <c r="E319" s="11"/>
      <c r="F319" s="3"/>
      <c r="G319" s="3"/>
    </row>
    <row r="320" spans="2:7" x14ac:dyDescent="0.15">
      <c r="B320" s="2"/>
      <c r="C320" s="11"/>
      <c r="D320" s="2"/>
      <c r="E320" s="11"/>
      <c r="F320" s="3"/>
    </row>
    <row r="321" spans="2:7" x14ac:dyDescent="0.15">
      <c r="B321" s="2"/>
      <c r="C321" s="11"/>
      <c r="D321" s="2"/>
      <c r="E321" s="11"/>
      <c r="F321" s="3"/>
    </row>
    <row r="322" spans="2:7" x14ac:dyDescent="0.15">
      <c r="B322" s="2"/>
      <c r="C322" s="11"/>
      <c r="D322" s="2"/>
      <c r="E322" s="11"/>
      <c r="F322" s="3"/>
      <c r="G322" s="3"/>
    </row>
    <row r="323" spans="2:7" x14ac:dyDescent="0.15">
      <c r="B323" s="2"/>
      <c r="C323" s="11"/>
      <c r="D323" s="2"/>
      <c r="E323" s="11"/>
      <c r="F323" s="3"/>
    </row>
    <row r="324" spans="2:7" x14ac:dyDescent="0.15">
      <c r="B324" s="2"/>
      <c r="C324" s="11"/>
      <c r="D324" s="2"/>
      <c r="E324" s="11"/>
      <c r="F324" s="3"/>
    </row>
    <row r="325" spans="2:7" x14ac:dyDescent="0.15">
      <c r="B325" s="2"/>
      <c r="C325" s="11"/>
      <c r="D325" s="2"/>
      <c r="E325" s="11"/>
      <c r="F325" s="3"/>
      <c r="G325" s="3"/>
    </row>
    <row r="326" spans="2:7" x14ac:dyDescent="0.15">
      <c r="B326" s="2"/>
      <c r="C326" s="11"/>
      <c r="D326" s="2"/>
      <c r="E326" s="11"/>
      <c r="F326" s="3"/>
    </row>
    <row r="327" spans="2:7" x14ac:dyDescent="0.15">
      <c r="B327" s="2"/>
      <c r="C327" s="11"/>
      <c r="D327" s="2"/>
      <c r="E327" s="11"/>
      <c r="F327" s="3"/>
    </row>
    <row r="328" spans="2:7" x14ac:dyDescent="0.15">
      <c r="B328" s="2"/>
      <c r="C328" s="11"/>
      <c r="D328" s="2"/>
      <c r="E328" s="11"/>
      <c r="F328" s="3"/>
      <c r="G328" s="3"/>
    </row>
    <row r="329" spans="2:7" x14ac:dyDescent="0.15">
      <c r="B329" s="2"/>
      <c r="C329" s="11"/>
      <c r="D329" s="2"/>
      <c r="E329" s="11"/>
      <c r="F329" s="3"/>
    </row>
    <row r="330" spans="2:7" x14ac:dyDescent="0.15">
      <c r="B330" s="2"/>
      <c r="C330" s="11"/>
      <c r="D330" s="2"/>
      <c r="E330" s="11"/>
      <c r="F330" s="3"/>
    </row>
    <row r="331" spans="2:7" x14ac:dyDescent="0.15">
      <c r="B331" s="2"/>
      <c r="C331" s="11"/>
      <c r="D331" s="2"/>
      <c r="E331" s="11"/>
      <c r="F331" s="3"/>
      <c r="G331" s="3"/>
    </row>
    <row r="332" spans="2:7" x14ac:dyDescent="0.15">
      <c r="B332" s="2"/>
      <c r="C332" s="11"/>
      <c r="D332" s="2"/>
      <c r="E332" s="11"/>
      <c r="F332" s="3"/>
    </row>
    <row r="333" spans="2:7" x14ac:dyDescent="0.15">
      <c r="B333" s="2"/>
      <c r="C333" s="11"/>
      <c r="D333" s="2"/>
      <c r="E333" s="11"/>
      <c r="F333" s="3"/>
    </row>
    <row r="334" spans="2:7" x14ac:dyDescent="0.15">
      <c r="B334" s="2"/>
      <c r="C334" s="11"/>
      <c r="D334" s="2"/>
      <c r="E334" s="11"/>
      <c r="F334" s="3"/>
      <c r="G334" s="3"/>
    </row>
    <row r="335" spans="2:7" x14ac:dyDescent="0.15">
      <c r="B335" s="2"/>
      <c r="C335" s="11"/>
      <c r="D335" s="2"/>
      <c r="E335" s="11"/>
      <c r="F335" s="3"/>
    </row>
    <row r="336" spans="2:7" x14ac:dyDescent="0.15">
      <c r="B336" s="2"/>
      <c r="C336" s="11"/>
      <c r="D336" s="2"/>
      <c r="E336" s="11"/>
      <c r="F336" s="3"/>
    </row>
    <row r="337" spans="2:7" x14ac:dyDescent="0.15">
      <c r="B337" s="2"/>
      <c r="C337" s="11"/>
      <c r="D337" s="2"/>
      <c r="E337" s="11"/>
      <c r="F337" s="3"/>
      <c r="G337" s="3"/>
    </row>
    <row r="338" spans="2:7" x14ac:dyDescent="0.15">
      <c r="B338" s="2"/>
      <c r="C338" s="11"/>
      <c r="D338" s="2"/>
      <c r="E338" s="11"/>
      <c r="F338" s="3"/>
    </row>
    <row r="339" spans="2:7" x14ac:dyDescent="0.15">
      <c r="B339" s="2"/>
      <c r="C339" s="11"/>
      <c r="D339" s="2"/>
      <c r="E339" s="11"/>
      <c r="F339" s="3"/>
    </row>
    <row r="340" spans="2:7" x14ac:dyDescent="0.15">
      <c r="B340" s="2"/>
      <c r="C340" s="11"/>
      <c r="D340" s="2"/>
      <c r="E340" s="11"/>
      <c r="F340" s="3"/>
      <c r="G340" s="3"/>
    </row>
    <row r="341" spans="2:7" x14ac:dyDescent="0.15">
      <c r="B341" s="2"/>
      <c r="C341" s="11"/>
      <c r="D341" s="2"/>
      <c r="E341" s="11"/>
      <c r="F341" s="3"/>
    </row>
    <row r="342" spans="2:7" x14ac:dyDescent="0.15">
      <c r="B342" s="2"/>
      <c r="C342" s="11"/>
      <c r="D342" s="2"/>
      <c r="E342" s="11"/>
      <c r="F342" s="3"/>
    </row>
    <row r="343" spans="2:7" x14ac:dyDescent="0.15">
      <c r="B343" s="2"/>
      <c r="C343" s="11"/>
      <c r="D343" s="2"/>
      <c r="E343" s="11"/>
      <c r="F343" s="3"/>
      <c r="G343" s="3"/>
    </row>
    <row r="344" spans="2:7" x14ac:dyDescent="0.15">
      <c r="B344" s="2"/>
      <c r="C344" s="11"/>
      <c r="D344" s="2"/>
      <c r="E344" s="11"/>
      <c r="F344" s="3"/>
    </row>
    <row r="345" spans="2:7" x14ac:dyDescent="0.15">
      <c r="B345" s="2"/>
      <c r="C345" s="11"/>
      <c r="D345" s="2"/>
      <c r="E345" s="11"/>
      <c r="F345" s="3"/>
    </row>
    <row r="346" spans="2:7" x14ac:dyDescent="0.15">
      <c r="B346" s="2"/>
      <c r="C346" s="11"/>
      <c r="D346" s="2"/>
      <c r="E346" s="11"/>
      <c r="F346" s="3"/>
      <c r="G346" s="3"/>
    </row>
    <row r="347" spans="2:7" x14ac:dyDescent="0.15">
      <c r="B347" s="2"/>
      <c r="C347" s="11"/>
      <c r="D347" s="2"/>
      <c r="E347" s="11"/>
      <c r="F347" s="3"/>
    </row>
    <row r="348" spans="2:7" x14ac:dyDescent="0.15">
      <c r="B348" s="2"/>
      <c r="C348" s="11"/>
      <c r="D348" s="2"/>
      <c r="E348" s="11"/>
      <c r="F348" s="3"/>
    </row>
    <row r="349" spans="2:7" x14ac:dyDescent="0.15">
      <c r="B349" s="2"/>
      <c r="C349" s="11"/>
      <c r="D349" s="2"/>
      <c r="E349" s="11"/>
      <c r="F349" s="3"/>
      <c r="G349" s="3"/>
    </row>
    <row r="350" spans="2:7" x14ac:dyDescent="0.15">
      <c r="B350" s="2"/>
      <c r="C350" s="11"/>
      <c r="D350" s="2"/>
      <c r="E350" s="11"/>
      <c r="F350" s="3"/>
    </row>
    <row r="351" spans="2:7" x14ac:dyDescent="0.15">
      <c r="B351" s="2"/>
      <c r="C351" s="11"/>
      <c r="D351" s="2"/>
      <c r="E351" s="11"/>
      <c r="F351" s="3"/>
    </row>
    <row r="352" spans="2:7" x14ac:dyDescent="0.15">
      <c r="B352" s="2"/>
      <c r="C352" s="11"/>
      <c r="D352" s="2"/>
      <c r="E352" s="11"/>
      <c r="F352" s="3"/>
      <c r="G352" s="3"/>
    </row>
    <row r="353" spans="2:7" x14ac:dyDescent="0.15">
      <c r="B353" s="2"/>
      <c r="C353" s="11"/>
      <c r="D353" s="2"/>
      <c r="E353" s="11"/>
      <c r="F353" s="3"/>
    </row>
    <row r="354" spans="2:7" x14ac:dyDescent="0.15">
      <c r="B354" s="2"/>
      <c r="C354" s="11"/>
      <c r="D354" s="2"/>
      <c r="E354" s="11"/>
      <c r="F354" s="3"/>
    </row>
    <row r="355" spans="2:7" x14ac:dyDescent="0.15">
      <c r="B355" s="2"/>
      <c r="C355" s="11"/>
      <c r="D355" s="2"/>
      <c r="E355" s="11"/>
      <c r="F355" s="3"/>
      <c r="G355" s="3"/>
    </row>
    <row r="356" spans="2:7" x14ac:dyDescent="0.15">
      <c r="B356" s="2"/>
      <c r="C356" s="11"/>
      <c r="D356" s="2"/>
      <c r="E356" s="11"/>
      <c r="F356" s="3"/>
    </row>
    <row r="357" spans="2:7" x14ac:dyDescent="0.15">
      <c r="B357" s="2"/>
      <c r="C357" s="11"/>
      <c r="D357" s="2"/>
      <c r="E357" s="11"/>
      <c r="F357" s="3"/>
    </row>
    <row r="358" spans="2:7" x14ac:dyDescent="0.15">
      <c r="B358" s="2"/>
      <c r="C358" s="11"/>
      <c r="D358" s="2"/>
      <c r="E358" s="11"/>
      <c r="F358" s="3"/>
      <c r="G358" s="3"/>
    </row>
    <row r="359" spans="2:7" x14ac:dyDescent="0.15">
      <c r="B359" s="2"/>
      <c r="C359" s="11"/>
      <c r="D359" s="2"/>
      <c r="E359" s="11"/>
      <c r="F359" s="3"/>
    </row>
    <row r="360" spans="2:7" x14ac:dyDescent="0.15">
      <c r="B360" s="2"/>
      <c r="C360" s="11"/>
      <c r="D360" s="2"/>
      <c r="E360" s="11"/>
      <c r="F360" s="3"/>
    </row>
    <row r="361" spans="2:7" x14ac:dyDescent="0.15">
      <c r="B361" s="2"/>
      <c r="C361" s="11"/>
      <c r="D361" s="2"/>
      <c r="E361" s="11"/>
      <c r="F361" s="3"/>
      <c r="G361" s="3"/>
    </row>
    <row r="362" spans="2:7" x14ac:dyDescent="0.15">
      <c r="B362" s="2"/>
      <c r="C362" s="11"/>
      <c r="D362" s="2"/>
      <c r="E362" s="11"/>
      <c r="F362" s="3"/>
    </row>
    <row r="363" spans="2:7" x14ac:dyDescent="0.15">
      <c r="B363" s="2"/>
      <c r="C363" s="11"/>
      <c r="D363" s="2"/>
      <c r="E363" s="11"/>
      <c r="F363" s="3"/>
    </row>
    <row r="364" spans="2:7" x14ac:dyDescent="0.15">
      <c r="B364" s="2"/>
      <c r="C364" s="11"/>
      <c r="D364" s="2"/>
      <c r="E364" s="11"/>
      <c r="F364" s="3"/>
      <c r="G364" s="3"/>
    </row>
    <row r="365" spans="2:7" x14ac:dyDescent="0.15">
      <c r="B365" s="2"/>
      <c r="C365" s="11"/>
      <c r="D365" s="2"/>
      <c r="E365" s="11"/>
      <c r="F365" s="3"/>
    </row>
    <row r="366" spans="2:7" x14ac:dyDescent="0.15">
      <c r="B366" s="2"/>
      <c r="C366" s="11"/>
      <c r="D366" s="2"/>
      <c r="E366" s="11"/>
      <c r="F366" s="3"/>
    </row>
    <row r="367" spans="2:7" x14ac:dyDescent="0.15">
      <c r="B367" s="2"/>
      <c r="C367" s="11"/>
      <c r="D367" s="2"/>
      <c r="E367" s="11"/>
      <c r="F367" s="3"/>
      <c r="G367" s="3"/>
    </row>
    <row r="368" spans="2:7" x14ac:dyDescent="0.15">
      <c r="B368" s="2"/>
      <c r="C368" s="11"/>
      <c r="D368" s="2"/>
      <c r="E368" s="11"/>
      <c r="F368" s="3"/>
    </row>
    <row r="369" spans="2:7" x14ac:dyDescent="0.15">
      <c r="B369" s="2"/>
      <c r="C369" s="11"/>
      <c r="D369" s="2"/>
      <c r="E369" s="11"/>
      <c r="F369" s="3"/>
    </row>
    <row r="370" spans="2:7" x14ac:dyDescent="0.15">
      <c r="B370" s="2"/>
      <c r="C370" s="11"/>
      <c r="D370" s="2"/>
      <c r="E370" s="11"/>
      <c r="F370" s="3"/>
      <c r="G370" s="3"/>
    </row>
    <row r="371" spans="2:7" x14ac:dyDescent="0.15">
      <c r="B371" s="2"/>
      <c r="C371" s="11"/>
      <c r="D371" s="2"/>
      <c r="E371" s="11"/>
      <c r="F371" s="3"/>
    </row>
    <row r="372" spans="2:7" x14ac:dyDescent="0.15">
      <c r="B372" s="2"/>
      <c r="C372" s="11"/>
      <c r="D372" s="2"/>
      <c r="E372" s="11"/>
      <c r="F372" s="3"/>
    </row>
    <row r="373" spans="2:7" x14ac:dyDescent="0.15">
      <c r="B373" s="2"/>
      <c r="C373" s="11"/>
      <c r="D373" s="2"/>
      <c r="E373" s="11"/>
      <c r="F373" s="3"/>
      <c r="G373" s="3"/>
    </row>
    <row r="374" spans="2:7" x14ac:dyDescent="0.15">
      <c r="B374" s="2"/>
      <c r="C374" s="11"/>
      <c r="D374" s="2"/>
      <c r="E374" s="11"/>
      <c r="F374" s="3"/>
    </row>
    <row r="375" spans="2:7" x14ac:dyDescent="0.15">
      <c r="B375" s="2"/>
      <c r="C375" s="11"/>
      <c r="D375" s="2"/>
      <c r="E375" s="11"/>
      <c r="F375" s="3"/>
    </row>
    <row r="376" spans="2:7" x14ac:dyDescent="0.15">
      <c r="B376" s="2"/>
      <c r="C376" s="11"/>
      <c r="D376" s="2"/>
      <c r="E376" s="11"/>
      <c r="F376" s="3"/>
      <c r="G376" s="3"/>
    </row>
    <row r="377" spans="2:7" x14ac:dyDescent="0.15">
      <c r="B377" s="2"/>
      <c r="C377" s="11"/>
      <c r="D377" s="2"/>
      <c r="E377" s="11"/>
      <c r="F377" s="3"/>
    </row>
    <row r="378" spans="2:7" x14ac:dyDescent="0.15">
      <c r="B378" s="2"/>
      <c r="C378" s="11"/>
      <c r="D378" s="2"/>
      <c r="E378" s="11"/>
      <c r="F378" s="3"/>
    </row>
    <row r="379" spans="2:7" x14ac:dyDescent="0.15">
      <c r="B379" s="2"/>
      <c r="C379" s="11"/>
      <c r="D379" s="2"/>
      <c r="E379" s="11"/>
      <c r="F379" s="3"/>
      <c r="G379" s="3"/>
    </row>
    <row r="380" spans="2:7" x14ac:dyDescent="0.15">
      <c r="B380" s="2"/>
      <c r="C380" s="11"/>
      <c r="D380" s="2"/>
      <c r="E380" s="11"/>
      <c r="F380" s="3"/>
    </row>
    <row r="381" spans="2:7" x14ac:dyDescent="0.15">
      <c r="B381" s="2"/>
      <c r="C381" s="11"/>
      <c r="D381" s="2"/>
      <c r="E381" s="11"/>
      <c r="F381" s="3"/>
    </row>
    <row r="382" spans="2:7" x14ac:dyDescent="0.15">
      <c r="B382" s="2"/>
      <c r="C382" s="11"/>
      <c r="D382" s="2"/>
      <c r="E382" s="11"/>
      <c r="F382" s="3"/>
      <c r="G382" s="3"/>
    </row>
    <row r="383" spans="2:7" x14ac:dyDescent="0.15">
      <c r="B383" s="2"/>
      <c r="C383" s="11"/>
      <c r="D383" s="2"/>
      <c r="E383" s="11"/>
      <c r="F383" s="3"/>
    </row>
    <row r="384" spans="2:7" x14ac:dyDescent="0.15">
      <c r="B384" s="2"/>
      <c r="C384" s="11"/>
      <c r="D384" s="2"/>
      <c r="E384" s="11"/>
      <c r="F384" s="3"/>
    </row>
    <row r="385" spans="2:7" x14ac:dyDescent="0.15">
      <c r="B385" s="2"/>
      <c r="C385" s="11"/>
      <c r="D385" s="2"/>
      <c r="E385" s="11"/>
      <c r="F385" s="3"/>
      <c r="G385" s="3"/>
    </row>
    <row r="386" spans="2:7" x14ac:dyDescent="0.15">
      <c r="B386" s="2"/>
      <c r="C386" s="11"/>
      <c r="D386" s="2"/>
      <c r="E386" s="11"/>
      <c r="F386" s="3"/>
    </row>
    <row r="387" spans="2:7" x14ac:dyDescent="0.15">
      <c r="B387" s="2"/>
      <c r="C387" s="11"/>
      <c r="D387" s="2"/>
      <c r="E387" s="11"/>
      <c r="F387" s="3"/>
    </row>
    <row r="388" spans="2:7" x14ac:dyDescent="0.15">
      <c r="B388" s="2"/>
      <c r="C388" s="11"/>
      <c r="D388" s="2"/>
      <c r="E388" s="11"/>
      <c r="F388" s="3"/>
      <c r="G388" s="3"/>
    </row>
    <row r="389" spans="2:7" x14ac:dyDescent="0.15">
      <c r="B389" s="2"/>
      <c r="C389" s="11"/>
      <c r="D389" s="2"/>
      <c r="E389" s="11"/>
      <c r="F389" s="3"/>
    </row>
    <row r="390" spans="2:7" x14ac:dyDescent="0.15">
      <c r="B390" s="2"/>
      <c r="C390" s="11"/>
      <c r="D390" s="2"/>
      <c r="E390" s="11"/>
      <c r="F390" s="3"/>
    </row>
    <row r="391" spans="2:7" x14ac:dyDescent="0.15">
      <c r="B391" s="2"/>
      <c r="C391" s="11"/>
      <c r="D391" s="2"/>
      <c r="E391" s="11"/>
      <c r="F391" s="3"/>
      <c r="G391" s="3"/>
    </row>
    <row r="392" spans="2:7" x14ac:dyDescent="0.15">
      <c r="B392" s="2"/>
      <c r="C392" s="11"/>
      <c r="D392" s="2"/>
      <c r="E392" s="11"/>
      <c r="F392" s="3"/>
    </row>
    <row r="393" spans="2:7" x14ac:dyDescent="0.15">
      <c r="B393" s="2"/>
      <c r="C393" s="11"/>
      <c r="D393" s="2"/>
      <c r="E393" s="11"/>
      <c r="F393" s="3"/>
    </row>
    <row r="394" spans="2:7" x14ac:dyDescent="0.15">
      <c r="B394" s="2"/>
      <c r="C394" s="11"/>
      <c r="D394" s="2"/>
      <c r="E394" s="11"/>
      <c r="F394" s="3"/>
      <c r="G394" s="3"/>
    </row>
    <row r="395" spans="2:7" x14ac:dyDescent="0.15">
      <c r="B395" s="2"/>
      <c r="C395" s="11"/>
      <c r="D395" s="2"/>
      <c r="E395" s="11"/>
      <c r="F395" s="3"/>
    </row>
    <row r="396" spans="2:7" x14ac:dyDescent="0.15">
      <c r="B396" s="2"/>
      <c r="C396" s="11"/>
      <c r="D396" s="2"/>
      <c r="E396" s="11"/>
      <c r="F396" s="3"/>
    </row>
    <row r="397" spans="2:7" x14ac:dyDescent="0.15">
      <c r="B397" s="2"/>
      <c r="C397" s="11"/>
      <c r="D397" s="2"/>
      <c r="E397" s="11"/>
      <c r="F397" s="3"/>
      <c r="G397" s="3"/>
    </row>
    <row r="398" spans="2:7" x14ac:dyDescent="0.15">
      <c r="B398" s="2"/>
      <c r="C398" s="11"/>
      <c r="D398" s="2"/>
      <c r="E398" s="11"/>
      <c r="F398" s="3"/>
    </row>
    <row r="399" spans="2:7" x14ac:dyDescent="0.15">
      <c r="B399" s="2"/>
      <c r="C399" s="11"/>
      <c r="D399" s="2"/>
      <c r="E399" s="11"/>
      <c r="F399" s="3"/>
    </row>
    <row r="400" spans="2:7" x14ac:dyDescent="0.15">
      <c r="B400" s="2"/>
      <c r="C400" s="11"/>
      <c r="D400" s="2"/>
      <c r="E400" s="11"/>
      <c r="F400" s="3"/>
      <c r="G400" s="3"/>
    </row>
    <row r="401" spans="2:7" x14ac:dyDescent="0.15">
      <c r="B401" s="2"/>
      <c r="C401" s="11"/>
      <c r="D401" s="2"/>
      <c r="E401" s="11"/>
      <c r="F401" s="3"/>
    </row>
    <row r="402" spans="2:7" x14ac:dyDescent="0.15">
      <c r="B402" s="2"/>
      <c r="C402" s="11"/>
      <c r="D402" s="2"/>
      <c r="E402" s="11"/>
      <c r="F402" s="3"/>
    </row>
    <row r="403" spans="2:7" x14ac:dyDescent="0.15">
      <c r="B403" s="2"/>
      <c r="C403" s="11"/>
      <c r="D403" s="2"/>
      <c r="E403" s="11"/>
      <c r="F403" s="3"/>
      <c r="G403" s="3"/>
    </row>
    <row r="404" spans="2:7" x14ac:dyDescent="0.15">
      <c r="B404" s="2"/>
      <c r="C404" s="11"/>
      <c r="D404" s="2"/>
      <c r="E404" s="11"/>
      <c r="F404" s="3"/>
    </row>
    <row r="405" spans="2:7" x14ac:dyDescent="0.15">
      <c r="B405" s="2"/>
      <c r="C405" s="11"/>
      <c r="D405" s="2"/>
      <c r="E405" s="11"/>
      <c r="F405" s="3"/>
    </row>
    <row r="406" spans="2:7" x14ac:dyDescent="0.15">
      <c r="B406" s="2"/>
      <c r="C406" s="11"/>
      <c r="D406" s="2"/>
      <c r="E406" s="11"/>
      <c r="F406" s="3"/>
      <c r="G406" s="3"/>
    </row>
    <row r="407" spans="2:7" x14ac:dyDescent="0.15">
      <c r="B407" s="2"/>
      <c r="C407" s="11"/>
      <c r="D407" s="2"/>
      <c r="E407" s="11"/>
      <c r="F407" s="3"/>
    </row>
    <row r="408" spans="2:7" x14ac:dyDescent="0.15">
      <c r="B408" s="2"/>
      <c r="C408" s="11"/>
      <c r="D408" s="2"/>
      <c r="E408" s="11"/>
      <c r="F408" s="3"/>
    </row>
    <row r="409" spans="2:7" x14ac:dyDescent="0.15">
      <c r="B409" s="2"/>
      <c r="C409" s="11"/>
      <c r="D409" s="2"/>
      <c r="E409" s="11"/>
      <c r="F409" s="3"/>
      <c r="G409" s="3"/>
    </row>
    <row r="410" spans="2:7" x14ac:dyDescent="0.15">
      <c r="B410" s="2"/>
      <c r="C410" s="11"/>
      <c r="D410" s="2"/>
      <c r="E410" s="11"/>
      <c r="F410" s="3"/>
    </row>
    <row r="411" spans="2:7" x14ac:dyDescent="0.15">
      <c r="B411" s="2"/>
      <c r="C411" s="11"/>
      <c r="D411" s="2"/>
      <c r="E411" s="11"/>
      <c r="F411" s="3"/>
    </row>
    <row r="412" spans="2:7" x14ac:dyDescent="0.15">
      <c r="B412" s="2"/>
      <c r="C412" s="11"/>
      <c r="D412" s="2"/>
      <c r="E412" s="11"/>
      <c r="F412" s="3"/>
      <c r="G412" s="3"/>
    </row>
    <row r="413" spans="2:7" x14ac:dyDescent="0.15">
      <c r="B413" s="2"/>
      <c r="C413" s="11"/>
      <c r="D413" s="2"/>
      <c r="E413" s="11"/>
      <c r="F413" s="3"/>
    </row>
    <row r="414" spans="2:7" x14ac:dyDescent="0.15">
      <c r="B414" s="2"/>
      <c r="C414" s="11"/>
      <c r="D414" s="2"/>
      <c r="E414" s="11"/>
      <c r="F414" s="3"/>
    </row>
    <row r="415" spans="2:7" x14ac:dyDescent="0.15">
      <c r="B415" s="2"/>
      <c r="C415" s="11"/>
      <c r="D415" s="2"/>
      <c r="E415" s="11"/>
      <c r="F415" s="3"/>
      <c r="G415" s="3"/>
    </row>
    <row r="416" spans="2:7" x14ac:dyDescent="0.15">
      <c r="B416" s="2"/>
      <c r="C416" s="11"/>
      <c r="D416" s="2"/>
      <c r="E416" s="11"/>
      <c r="F416" s="3"/>
    </row>
    <row r="417" spans="2:7" x14ac:dyDescent="0.15">
      <c r="B417" s="2"/>
      <c r="C417" s="11"/>
      <c r="D417" s="2"/>
      <c r="E417" s="11"/>
      <c r="F417" s="3"/>
    </row>
    <row r="418" spans="2:7" x14ac:dyDescent="0.15">
      <c r="B418" s="2"/>
      <c r="C418" s="11"/>
      <c r="D418" s="2"/>
      <c r="E418" s="11"/>
      <c r="F418" s="3"/>
      <c r="G418" s="3"/>
    </row>
    <row r="419" spans="2:7" x14ac:dyDescent="0.15">
      <c r="B419" s="2"/>
      <c r="C419" s="11"/>
      <c r="D419" s="2"/>
      <c r="E419" s="11"/>
      <c r="F419" s="3"/>
    </row>
    <row r="420" spans="2:7" x14ac:dyDescent="0.15">
      <c r="B420" s="2"/>
      <c r="C420" s="11"/>
      <c r="D420" s="2"/>
      <c r="E420" s="11"/>
      <c r="F420" s="3"/>
    </row>
    <row r="421" spans="2:7" x14ac:dyDescent="0.15">
      <c r="B421" s="2"/>
      <c r="C421" s="11"/>
      <c r="D421" s="2"/>
      <c r="E421" s="11"/>
      <c r="F421" s="3"/>
      <c r="G421" s="3"/>
    </row>
    <row r="422" spans="2:7" x14ac:dyDescent="0.15">
      <c r="B422" s="2"/>
      <c r="C422" s="11"/>
      <c r="D422" s="2"/>
      <c r="E422" s="11"/>
      <c r="F422" s="3"/>
    </row>
    <row r="423" spans="2:7" x14ac:dyDescent="0.15">
      <c r="B423" s="2"/>
      <c r="C423" s="11"/>
      <c r="D423" s="2"/>
      <c r="E423" s="11"/>
      <c r="F423" s="3"/>
    </row>
    <row r="424" spans="2:7" x14ac:dyDescent="0.15">
      <c r="B424" s="2"/>
      <c r="C424" s="11"/>
      <c r="D424" s="2"/>
      <c r="E424" s="11"/>
      <c r="F424" s="3"/>
      <c r="G424" s="3"/>
    </row>
    <row r="425" spans="2:7" x14ac:dyDescent="0.15">
      <c r="B425" s="2"/>
      <c r="C425" s="11"/>
      <c r="D425" s="2"/>
      <c r="E425" s="11"/>
      <c r="F425" s="3"/>
    </row>
    <row r="426" spans="2:7" x14ac:dyDescent="0.15">
      <c r="B426" s="2"/>
      <c r="C426" s="11"/>
      <c r="D426" s="2"/>
      <c r="E426" s="11"/>
      <c r="F426" s="3"/>
    </row>
    <row r="427" spans="2:7" x14ac:dyDescent="0.15">
      <c r="B427" s="2"/>
      <c r="C427" s="11"/>
      <c r="D427" s="2"/>
      <c r="E427" s="11"/>
      <c r="F427" s="3"/>
      <c r="G427" s="3"/>
    </row>
    <row r="428" spans="2:7" x14ac:dyDescent="0.15">
      <c r="B428" s="2"/>
      <c r="C428" s="11"/>
      <c r="D428" s="2"/>
      <c r="E428" s="11"/>
      <c r="F428" s="3"/>
    </row>
    <row r="429" spans="2:7" x14ac:dyDescent="0.15">
      <c r="B429" s="2"/>
      <c r="C429" s="11"/>
      <c r="D429" s="2"/>
      <c r="E429" s="11"/>
      <c r="F429" s="3"/>
    </row>
    <row r="430" spans="2:7" x14ac:dyDescent="0.15">
      <c r="B430" s="2"/>
      <c r="C430" s="11"/>
      <c r="D430" s="2"/>
      <c r="E430" s="11"/>
      <c r="F430" s="3"/>
      <c r="G430" s="3"/>
    </row>
    <row r="431" spans="2:7" x14ac:dyDescent="0.15">
      <c r="B431" s="2"/>
      <c r="C431" s="11"/>
      <c r="D431" s="2"/>
      <c r="E431" s="11"/>
      <c r="F431" s="3"/>
    </row>
    <row r="432" spans="2:7" x14ac:dyDescent="0.15">
      <c r="B432" s="2"/>
      <c r="C432" s="11"/>
      <c r="D432" s="2"/>
      <c r="E432" s="11"/>
      <c r="F432" s="3"/>
    </row>
    <row r="433" spans="2:7" x14ac:dyDescent="0.15">
      <c r="B433" s="2"/>
      <c r="C433" s="11"/>
      <c r="D433" s="2"/>
      <c r="E433" s="11"/>
      <c r="F433" s="3"/>
      <c r="G433" s="3"/>
    </row>
    <row r="434" spans="2:7" x14ac:dyDescent="0.15">
      <c r="B434" s="2"/>
      <c r="C434" s="11"/>
      <c r="D434" s="2"/>
      <c r="E434" s="11"/>
      <c r="F434" s="3"/>
    </row>
    <row r="435" spans="2:7" x14ac:dyDescent="0.15">
      <c r="B435" s="2"/>
      <c r="C435" s="11"/>
      <c r="D435" s="2"/>
      <c r="E435" s="11"/>
      <c r="F435" s="3"/>
    </row>
    <row r="436" spans="2:7" x14ac:dyDescent="0.15">
      <c r="B436" s="2"/>
      <c r="C436" s="11"/>
      <c r="D436" s="2"/>
      <c r="E436" s="11"/>
      <c r="F436" s="3"/>
      <c r="G436" s="3"/>
    </row>
    <row r="437" spans="2:7" x14ac:dyDescent="0.15">
      <c r="B437" s="2"/>
      <c r="C437" s="11"/>
      <c r="D437" s="2"/>
      <c r="E437" s="11"/>
      <c r="F437" s="3"/>
    </row>
    <row r="438" spans="2:7" x14ac:dyDescent="0.15">
      <c r="B438" s="2"/>
      <c r="C438" s="11"/>
      <c r="D438" s="2"/>
      <c r="E438" s="11"/>
      <c r="F438" s="3"/>
    </row>
    <row r="439" spans="2:7" x14ac:dyDescent="0.15">
      <c r="B439" s="2"/>
      <c r="C439" s="11"/>
      <c r="D439" s="2"/>
      <c r="E439" s="11"/>
      <c r="F439" s="3"/>
      <c r="G439" s="3"/>
    </row>
    <row r="440" spans="2:7" x14ac:dyDescent="0.15">
      <c r="B440" s="2"/>
      <c r="C440" s="11"/>
      <c r="D440" s="2"/>
      <c r="E440" s="11"/>
      <c r="F440" s="3"/>
    </row>
    <row r="441" spans="2:7" x14ac:dyDescent="0.15">
      <c r="B441" s="2"/>
      <c r="C441" s="11"/>
      <c r="D441" s="2"/>
      <c r="E441" s="11"/>
      <c r="F441" s="3"/>
    </row>
    <row r="442" spans="2:7" x14ac:dyDescent="0.15">
      <c r="B442" s="2"/>
      <c r="C442" s="11"/>
      <c r="D442" s="2"/>
      <c r="E442" s="11"/>
      <c r="F442" s="3"/>
      <c r="G442" s="3"/>
    </row>
    <row r="443" spans="2:7" x14ac:dyDescent="0.15">
      <c r="B443" s="2"/>
      <c r="C443" s="11"/>
      <c r="D443" s="2"/>
      <c r="E443" s="11"/>
      <c r="F443" s="3"/>
    </row>
    <row r="444" spans="2:7" x14ac:dyDescent="0.15">
      <c r="B444" s="2"/>
      <c r="C444" s="11"/>
      <c r="D444" s="2"/>
      <c r="E444" s="11"/>
      <c r="F444" s="3"/>
    </row>
    <row r="445" spans="2:7" x14ac:dyDescent="0.15">
      <c r="B445" s="2"/>
      <c r="C445" s="11"/>
      <c r="D445" s="2"/>
      <c r="E445" s="11"/>
      <c r="F445" s="3"/>
      <c r="G445" s="3"/>
    </row>
    <row r="446" spans="2:7" x14ac:dyDescent="0.15">
      <c r="B446" s="2"/>
      <c r="C446" s="11"/>
      <c r="D446" s="2"/>
      <c r="E446" s="11"/>
      <c r="F446" s="3"/>
    </row>
    <row r="447" spans="2:7" x14ac:dyDescent="0.15">
      <c r="B447" s="2"/>
      <c r="C447" s="11"/>
      <c r="D447" s="2"/>
      <c r="E447" s="11"/>
      <c r="F447" s="3"/>
    </row>
    <row r="448" spans="2:7" x14ac:dyDescent="0.15">
      <c r="B448" s="2"/>
      <c r="C448" s="11"/>
      <c r="D448" s="2"/>
      <c r="E448" s="11"/>
      <c r="F448" s="3"/>
      <c r="G448" s="3"/>
    </row>
    <row r="449" spans="2:7" x14ac:dyDescent="0.15">
      <c r="B449" s="2"/>
      <c r="C449" s="11"/>
      <c r="D449" s="2"/>
      <c r="E449" s="11"/>
      <c r="F449" s="3"/>
    </row>
    <row r="450" spans="2:7" x14ac:dyDescent="0.15">
      <c r="B450" s="2"/>
      <c r="C450" s="11"/>
      <c r="D450" s="2"/>
      <c r="E450" s="11"/>
      <c r="F450" s="3"/>
    </row>
    <row r="451" spans="2:7" x14ac:dyDescent="0.15">
      <c r="B451" s="2"/>
      <c r="C451" s="11"/>
      <c r="D451" s="2"/>
      <c r="E451" s="11"/>
      <c r="F451" s="3"/>
      <c r="G451" s="3"/>
    </row>
    <row r="452" spans="2:7" x14ac:dyDescent="0.15">
      <c r="B452" s="2"/>
      <c r="C452" s="11"/>
      <c r="D452" s="2"/>
      <c r="E452" s="11"/>
      <c r="F452" s="3"/>
    </row>
    <row r="453" spans="2:7" x14ac:dyDescent="0.15">
      <c r="B453" s="2"/>
      <c r="C453" s="11"/>
      <c r="D453" s="2"/>
      <c r="E453" s="11"/>
      <c r="F453" s="3"/>
    </row>
    <row r="454" spans="2:7" x14ac:dyDescent="0.15">
      <c r="B454" s="2"/>
      <c r="C454" s="11"/>
      <c r="D454" s="2"/>
      <c r="E454" s="11"/>
      <c r="F454" s="3"/>
      <c r="G454" s="3"/>
    </row>
    <row r="455" spans="2:7" x14ac:dyDescent="0.15">
      <c r="B455" s="2"/>
      <c r="C455" s="11"/>
      <c r="D455" s="2"/>
      <c r="E455" s="11"/>
      <c r="F455" s="3"/>
    </row>
    <row r="456" spans="2:7" x14ac:dyDescent="0.15">
      <c r="B456" s="2"/>
      <c r="C456" s="11"/>
      <c r="D456" s="2"/>
      <c r="E456" s="11"/>
      <c r="F456" s="3"/>
    </row>
    <row r="457" spans="2:7" x14ac:dyDescent="0.15">
      <c r="B457" s="2"/>
      <c r="C457" s="11"/>
      <c r="D457" s="2"/>
      <c r="E457" s="11"/>
      <c r="F457" s="3"/>
      <c r="G457" s="3"/>
    </row>
    <row r="458" spans="2:7" x14ac:dyDescent="0.15">
      <c r="B458" s="2"/>
      <c r="C458" s="11"/>
      <c r="D458" s="2"/>
      <c r="E458" s="11"/>
      <c r="F458" s="3"/>
    </row>
    <row r="459" spans="2:7" x14ac:dyDescent="0.15">
      <c r="B459" s="2"/>
      <c r="C459" s="11"/>
      <c r="D459" s="2"/>
      <c r="E459" s="11"/>
      <c r="F459" s="3"/>
    </row>
    <row r="460" spans="2:7" x14ac:dyDescent="0.15">
      <c r="B460" s="2"/>
      <c r="C460" s="11"/>
      <c r="D460" s="2"/>
      <c r="E460" s="11"/>
      <c r="F460" s="3"/>
      <c r="G460" s="3"/>
    </row>
    <row r="461" spans="2:7" x14ac:dyDescent="0.15">
      <c r="B461" s="2"/>
      <c r="C461" s="11"/>
      <c r="D461" s="2"/>
      <c r="E461" s="11"/>
      <c r="F461" s="3"/>
    </row>
    <row r="462" spans="2:7" x14ac:dyDescent="0.15">
      <c r="B462" s="2"/>
      <c r="C462" s="11"/>
      <c r="D462" s="2"/>
      <c r="E462" s="11"/>
      <c r="F462" s="3"/>
    </row>
    <row r="463" spans="2:7" x14ac:dyDescent="0.15">
      <c r="B463" s="2"/>
      <c r="C463" s="11"/>
      <c r="D463" s="2"/>
      <c r="E463" s="11"/>
      <c r="F463" s="3"/>
      <c r="G463" s="3"/>
    </row>
    <row r="464" spans="2:7" x14ac:dyDescent="0.15">
      <c r="B464" s="2"/>
      <c r="C464" s="11"/>
      <c r="D464" s="2"/>
      <c r="E464" s="11"/>
      <c r="F464" s="3"/>
    </row>
    <row r="465" spans="2:7" x14ac:dyDescent="0.15">
      <c r="B465" s="2"/>
      <c r="C465" s="11"/>
      <c r="D465" s="2"/>
      <c r="E465" s="11"/>
      <c r="F465" s="3"/>
    </row>
    <row r="466" spans="2:7" x14ac:dyDescent="0.15">
      <c r="B466" s="2"/>
      <c r="C466" s="11"/>
      <c r="D466" s="2"/>
      <c r="E466" s="11"/>
      <c r="F466" s="3"/>
      <c r="G466" s="3"/>
    </row>
    <row r="467" spans="2:7" x14ac:dyDescent="0.15">
      <c r="B467" s="2"/>
      <c r="C467" s="11"/>
      <c r="D467" s="2"/>
      <c r="E467" s="11"/>
      <c r="F467" s="3"/>
    </row>
    <row r="468" spans="2:7" x14ac:dyDescent="0.15">
      <c r="B468" s="2"/>
      <c r="C468" s="11"/>
      <c r="D468" s="2"/>
      <c r="E468" s="11"/>
      <c r="F468" s="3"/>
    </row>
    <row r="469" spans="2:7" x14ac:dyDescent="0.15">
      <c r="B469" s="2"/>
      <c r="C469" s="11"/>
      <c r="D469" s="2"/>
      <c r="E469" s="11"/>
      <c r="F469" s="3"/>
      <c r="G469" s="3"/>
    </row>
    <row r="470" spans="2:7" x14ac:dyDescent="0.15">
      <c r="B470" s="2"/>
      <c r="C470" s="11"/>
      <c r="D470" s="2"/>
      <c r="E470" s="11"/>
      <c r="F470" s="3"/>
    </row>
    <row r="471" spans="2:7" x14ac:dyDescent="0.15">
      <c r="B471" s="2"/>
      <c r="C471" s="11"/>
      <c r="D471" s="2"/>
      <c r="E471" s="11"/>
      <c r="F471" s="3"/>
    </row>
    <row r="472" spans="2:7" x14ac:dyDescent="0.15">
      <c r="B472" s="2"/>
      <c r="C472" s="11"/>
      <c r="D472" s="2"/>
      <c r="E472" s="11"/>
      <c r="F472" s="3"/>
      <c r="G472" s="3"/>
    </row>
    <row r="473" spans="2:7" x14ac:dyDescent="0.15">
      <c r="B473" s="2"/>
      <c r="C473" s="11"/>
      <c r="D473" s="2"/>
      <c r="E473" s="11"/>
      <c r="F473" s="3"/>
    </row>
    <row r="474" spans="2:7" x14ac:dyDescent="0.15">
      <c r="B474" s="2"/>
      <c r="C474" s="11"/>
      <c r="D474" s="2"/>
      <c r="E474" s="11"/>
      <c r="F474" s="3"/>
    </row>
    <row r="475" spans="2:7" x14ac:dyDescent="0.15">
      <c r="B475" s="2"/>
      <c r="C475" s="11"/>
      <c r="D475" s="2"/>
      <c r="E475" s="11"/>
      <c r="F475" s="3"/>
      <c r="G475" s="3"/>
    </row>
    <row r="476" spans="2:7" x14ac:dyDescent="0.15">
      <c r="B476" s="2"/>
      <c r="C476" s="11"/>
      <c r="D476" s="2"/>
      <c r="E476" s="11"/>
      <c r="F476" s="3"/>
    </row>
    <row r="477" spans="2:7" x14ac:dyDescent="0.15">
      <c r="B477" s="2"/>
      <c r="C477" s="11"/>
      <c r="D477" s="2"/>
      <c r="E477" s="11"/>
      <c r="F477" s="3"/>
    </row>
    <row r="478" spans="2:7" x14ac:dyDescent="0.15">
      <c r="B478" s="2"/>
      <c r="C478" s="11"/>
      <c r="D478" s="2"/>
      <c r="E478" s="11"/>
      <c r="F478" s="3"/>
      <c r="G478" s="3"/>
    </row>
    <row r="479" spans="2:7" x14ac:dyDescent="0.15">
      <c r="B479" s="2"/>
      <c r="C479" s="11"/>
      <c r="D479" s="2"/>
      <c r="E479" s="11"/>
      <c r="F479" s="3"/>
    </row>
    <row r="480" spans="2:7" x14ac:dyDescent="0.15">
      <c r="B480" s="2"/>
      <c r="C480" s="11"/>
      <c r="D480" s="2"/>
      <c r="E480" s="11"/>
      <c r="F480" s="3"/>
    </row>
    <row r="481" spans="2:7" x14ac:dyDescent="0.15">
      <c r="B481" s="2"/>
      <c r="C481" s="11"/>
      <c r="D481" s="2"/>
      <c r="E481" s="11"/>
      <c r="F481" s="3"/>
      <c r="G481" s="3"/>
    </row>
    <row r="482" spans="2:7" x14ac:dyDescent="0.15">
      <c r="B482" s="2"/>
      <c r="C482" s="11"/>
      <c r="D482" s="2"/>
      <c r="E482" s="11"/>
      <c r="F482" s="3"/>
    </row>
    <row r="483" spans="2:7" x14ac:dyDescent="0.15">
      <c r="B483" s="2"/>
      <c r="C483" s="11"/>
      <c r="D483" s="2"/>
      <c r="E483" s="11"/>
      <c r="F483" s="3"/>
    </row>
    <row r="484" spans="2:7" x14ac:dyDescent="0.15">
      <c r="B484" s="2"/>
      <c r="C484" s="11"/>
      <c r="D484" s="2"/>
      <c r="E484" s="11"/>
      <c r="F484" s="3"/>
      <c r="G484" s="3"/>
    </row>
    <row r="485" spans="2:7" x14ac:dyDescent="0.15">
      <c r="B485" s="2"/>
      <c r="C485" s="11"/>
      <c r="D485" s="2"/>
      <c r="E485" s="11"/>
      <c r="F485" s="3"/>
    </row>
    <row r="486" spans="2:7" x14ac:dyDescent="0.15">
      <c r="B486" s="2"/>
      <c r="C486" s="11"/>
      <c r="D486" s="2"/>
      <c r="E486" s="11"/>
      <c r="F486" s="3"/>
    </row>
    <row r="487" spans="2:7" x14ac:dyDescent="0.15">
      <c r="B487" s="2"/>
      <c r="C487" s="11"/>
      <c r="D487" s="2"/>
      <c r="E487" s="11"/>
      <c r="F487" s="3"/>
      <c r="G487" s="3"/>
    </row>
    <row r="488" spans="2:7" x14ac:dyDescent="0.15">
      <c r="B488" s="2"/>
      <c r="C488" s="11"/>
      <c r="D488" s="2"/>
      <c r="E488" s="11"/>
      <c r="F488" s="3"/>
    </row>
    <row r="489" spans="2:7" x14ac:dyDescent="0.15">
      <c r="B489" s="2"/>
      <c r="C489" s="11"/>
      <c r="D489" s="2"/>
      <c r="E489" s="11"/>
      <c r="F489" s="3"/>
    </row>
    <row r="490" spans="2:7" x14ac:dyDescent="0.15">
      <c r="B490" s="2"/>
      <c r="C490" s="11"/>
      <c r="D490" s="2"/>
      <c r="E490" s="11"/>
      <c r="F490" s="3"/>
      <c r="G490" s="3"/>
    </row>
    <row r="491" spans="2:7" x14ac:dyDescent="0.15">
      <c r="B491" s="2"/>
      <c r="C491" s="11"/>
      <c r="D491" s="2"/>
      <c r="E491" s="11"/>
      <c r="F491" s="3"/>
    </row>
    <row r="492" spans="2:7" x14ac:dyDescent="0.15">
      <c r="B492" s="2"/>
      <c r="C492" s="11"/>
      <c r="D492" s="2"/>
      <c r="E492" s="11"/>
      <c r="F492" s="3"/>
    </row>
    <row r="493" spans="2:7" x14ac:dyDescent="0.15">
      <c r="B493" s="2"/>
      <c r="C493" s="11"/>
      <c r="D493" s="2"/>
      <c r="E493" s="11"/>
      <c r="F493" s="3"/>
      <c r="G493" s="3"/>
    </row>
    <row r="494" spans="2:7" x14ac:dyDescent="0.15">
      <c r="B494" s="2"/>
      <c r="C494" s="11"/>
      <c r="D494" s="2"/>
      <c r="E494" s="11"/>
      <c r="F494" s="3"/>
    </row>
    <row r="495" spans="2:7" x14ac:dyDescent="0.15">
      <c r="B495" s="2"/>
      <c r="C495" s="11"/>
      <c r="D495" s="2"/>
      <c r="E495" s="11"/>
      <c r="F495" s="3"/>
    </row>
    <row r="496" spans="2:7" x14ac:dyDescent="0.15">
      <c r="B496" s="2"/>
      <c r="C496" s="11"/>
      <c r="D496" s="2"/>
      <c r="E496" s="11"/>
      <c r="F496" s="3"/>
      <c r="G496" s="3"/>
    </row>
    <row r="497" spans="2:7" x14ac:dyDescent="0.15">
      <c r="B497" s="2"/>
      <c r="C497" s="11"/>
      <c r="D497" s="2"/>
      <c r="E497" s="11"/>
      <c r="F497" s="3"/>
    </row>
    <row r="498" spans="2:7" x14ac:dyDescent="0.15">
      <c r="B498" s="2"/>
      <c r="C498" s="11"/>
      <c r="D498" s="2"/>
      <c r="E498" s="11"/>
      <c r="F498" s="3"/>
    </row>
    <row r="499" spans="2:7" x14ac:dyDescent="0.15">
      <c r="B499" s="2"/>
      <c r="C499" s="11"/>
      <c r="D499" s="2"/>
      <c r="E499" s="11"/>
      <c r="F499" s="3"/>
      <c r="G499" s="3"/>
    </row>
    <row r="500" spans="2:7" x14ac:dyDescent="0.15">
      <c r="B500" s="2"/>
      <c r="C500" s="11"/>
      <c r="D500" s="2"/>
      <c r="E500" s="11"/>
      <c r="F500" s="3"/>
    </row>
    <row r="501" spans="2:7" x14ac:dyDescent="0.15">
      <c r="B501" s="2"/>
      <c r="C501" s="11"/>
      <c r="D501" s="2"/>
      <c r="E501" s="11"/>
      <c r="F501" s="3"/>
    </row>
    <row r="502" spans="2:7" x14ac:dyDescent="0.15">
      <c r="B502" s="2"/>
      <c r="C502" s="11"/>
      <c r="D502" s="2"/>
      <c r="E502" s="11"/>
      <c r="F502" s="3"/>
      <c r="G502" s="3"/>
    </row>
    <row r="503" spans="2:7" x14ac:dyDescent="0.15">
      <c r="B503" s="2"/>
      <c r="C503" s="11"/>
      <c r="D503" s="2"/>
      <c r="E503" s="11"/>
      <c r="F503" s="3"/>
    </row>
    <row r="504" spans="2:7" x14ac:dyDescent="0.1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baseColWidth="10" defaultColWidth="8.83203125" defaultRowHeight="13" x14ac:dyDescent="0.15"/>
  <cols>
    <col min="1" max="1" width="23.33203125" customWidth="1"/>
    <col min="8" max="8" width="9.5" bestFit="1" customWidth="1"/>
  </cols>
  <sheetData>
    <row r="1" spans="1:12" x14ac:dyDescent="0.15">
      <c r="A1">
        <f>'30N2'!A1</f>
        <v>531.20000000000005</v>
      </c>
      <c r="B1" s="16" t="s">
        <v>72</v>
      </c>
    </row>
    <row r="2" spans="1:12" x14ac:dyDescent="0.15">
      <c r="A2" s="2">
        <f>'30N2'!A2</f>
        <v>5.921952083333333E-8</v>
      </c>
      <c r="B2" s="16" t="s">
        <v>73</v>
      </c>
    </row>
    <row r="4" spans="1:12" x14ac:dyDescent="0.15">
      <c r="B4" s="4" t="s">
        <v>54</v>
      </c>
      <c r="C4" s="4" t="s">
        <v>55</v>
      </c>
      <c r="E4" t="s">
        <v>61</v>
      </c>
    </row>
    <row r="5" spans="1:12" x14ac:dyDescent="0.1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4" thickBot="1" x14ac:dyDescent="0.2"/>
    <row r="7" spans="1:12" x14ac:dyDescent="0.15">
      <c r="A7" t="str">
        <f>'30N2'!A7</f>
        <v>20/0</v>
      </c>
      <c r="B7" s="2">
        <f>Data!C8</f>
        <v>6.2416560000000001E-8</v>
      </c>
      <c r="C7" s="2">
        <f>Data!D8</f>
        <v>4.3927970000000001E-10</v>
      </c>
      <c r="D7" s="2">
        <f>C7-(B7*H$22+H$21)</f>
        <v>-8.657132832945413E-14</v>
      </c>
      <c r="E7" s="3">
        <f>A$1*D7/A$2</f>
        <v>-7.7654612805852302E-4</v>
      </c>
      <c r="G7" s="14" t="s">
        <v>10</v>
      </c>
      <c r="H7" s="14"/>
    </row>
    <row r="8" spans="1:12" x14ac:dyDescent="0.15">
      <c r="B8" s="2">
        <f>Data!C9</f>
        <v>6.2495660000000003E-8</v>
      </c>
      <c r="C8" s="2">
        <f>Data!D9</f>
        <v>4.3965840000000002E-10</v>
      </c>
      <c r="D8" s="2">
        <f t="shared" ref="D8:D30" si="0">C8-(B8*H$22+H$21)</f>
        <v>-2.6121077560375087E-13</v>
      </c>
      <c r="E8" s="3">
        <f t="shared" ref="E8:E30" si="1">A$1*D8/A$2</f>
        <v>-2.3430646186959744E-3</v>
      </c>
      <c r="G8" t="s">
        <v>11</v>
      </c>
      <c r="H8">
        <v>0.99981929668797853</v>
      </c>
    </row>
    <row r="9" spans="1:12" x14ac:dyDescent="0.15">
      <c r="B9" s="2">
        <f>Data!C10</f>
        <v>6.2393889999999994E-8</v>
      </c>
      <c r="C9" s="2">
        <f>Data!D10</f>
        <v>4.4069280000000002E-10</v>
      </c>
      <c r="D9" s="2">
        <f t="shared" si="0"/>
        <v>1.4851153375329266E-12</v>
      </c>
      <c r="E9" s="3">
        <f t="shared" si="1"/>
        <v>1.3321507100973375E-2</v>
      </c>
      <c r="G9" t="s">
        <v>12</v>
      </c>
      <c r="H9">
        <v>0.99963862602964404</v>
      </c>
    </row>
    <row r="10" spans="1:12" x14ac:dyDescent="0.15">
      <c r="A10" t="str">
        <f>'30N2'!A10</f>
        <v>30/0</v>
      </c>
      <c r="B10" s="2">
        <f>Data!C11</f>
        <v>5.2823250000000003E-8</v>
      </c>
      <c r="C10" s="2">
        <f>Data!D11</f>
        <v>3.7174819999999998E-10</v>
      </c>
      <c r="D10" s="2">
        <f t="shared" si="0"/>
        <v>-5.0862944551098342E-13</v>
      </c>
      <c r="E10" s="3">
        <f t="shared" si="1"/>
        <v>-4.5624138401226975E-3</v>
      </c>
      <c r="G10" t="s">
        <v>13</v>
      </c>
      <c r="H10">
        <v>0.99963077007376666</v>
      </c>
    </row>
    <row r="11" spans="1:12" x14ac:dyDescent="0.15">
      <c r="B11" s="2">
        <f>Data!C12</f>
        <v>5.2773450000000003E-8</v>
      </c>
      <c r="C11" s="2">
        <f>Data!D12</f>
        <v>3.7152859999999998E-10</v>
      </c>
      <c r="D11" s="2">
        <f t="shared" si="0"/>
        <v>-3.7985644330793025E-13</v>
      </c>
      <c r="E11" s="3">
        <f t="shared" si="1"/>
        <v>-3.4073180573861604E-3</v>
      </c>
      <c r="G11" t="s">
        <v>14</v>
      </c>
      <c r="H11">
        <v>6.3671909778847793E-13</v>
      </c>
    </row>
    <row r="12" spans="1:12" ht="14" thickBot="1" x14ac:dyDescent="0.2">
      <c r="B12" s="2">
        <f>Data!C13</f>
        <v>5.278764E-8</v>
      </c>
      <c r="C12" s="2">
        <f>Data!D13</f>
        <v>3.7179639999999999E-10</v>
      </c>
      <c r="D12" s="2">
        <f t="shared" si="0"/>
        <v>-2.1132176261034961E-13</v>
      </c>
      <c r="E12" s="3">
        <f t="shared" si="1"/>
        <v>-1.8955594155269221E-3</v>
      </c>
      <c r="G12" s="5" t="s">
        <v>15</v>
      </c>
      <c r="H12" s="5">
        <v>48</v>
      </c>
    </row>
    <row r="13" spans="1:12" x14ac:dyDescent="0.15">
      <c r="A13" t="str">
        <f>'30N2'!A13</f>
        <v>20/0</v>
      </c>
      <c r="B13" s="2">
        <f>Data!C14</f>
        <v>6.2116140000000003E-8</v>
      </c>
      <c r="C13" s="2">
        <f>Data!D14</f>
        <v>4.3657489999999998E-10</v>
      </c>
      <c r="D13" s="2">
        <f t="shared" si="0"/>
        <v>-6.8980069937698209E-13</v>
      </c>
      <c r="E13" s="3">
        <f t="shared" si="1"/>
        <v>-6.1875227349492872E-3</v>
      </c>
    </row>
    <row r="14" spans="1:12" ht="14" thickBot="1" x14ac:dyDescent="0.2">
      <c r="B14" s="2">
        <f>Data!C15</f>
        <v>6.2185530000000001E-8</v>
      </c>
      <c r="C14" s="2">
        <f>Data!D15</f>
        <v>4.370271E-10</v>
      </c>
      <c r="D14" s="2">
        <f t="shared" si="0"/>
        <v>-7.2301440666346357E-13</v>
      </c>
      <c r="E14" s="3">
        <f t="shared" si="1"/>
        <v>-6.4854501930290904E-3</v>
      </c>
      <c r="G14" t="s">
        <v>16</v>
      </c>
    </row>
    <row r="15" spans="1:12" x14ac:dyDescent="0.15">
      <c r="B15" s="2">
        <f>Data!C16</f>
        <v>6.2141500000000001E-8</v>
      </c>
      <c r="C15" s="2">
        <f>Data!D16</f>
        <v>4.3811850000000002E-10</v>
      </c>
      <c r="D15" s="2">
        <f t="shared" si="0"/>
        <v>6.7639489628836396E-13</v>
      </c>
      <c r="E15" s="3">
        <f t="shared" si="1"/>
        <v>6.0672724779315774E-3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15">
      <c r="A16" t="str">
        <f>'30N2'!A16</f>
        <v>30/0</v>
      </c>
      <c r="B16" s="2">
        <f>Data!C17</f>
        <v>5.2555339999999999E-8</v>
      </c>
      <c r="C16" s="2">
        <f>Data!D17</f>
        <v>3.704886E-10</v>
      </c>
      <c r="D16" s="2">
        <f t="shared" si="0"/>
        <v>1.0591937015602474E-13</v>
      </c>
      <c r="E16" s="3">
        <f t="shared" si="1"/>
        <v>9.5009835667583462E-4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15">
      <c r="B17" s="2">
        <f>Data!C18</f>
        <v>5.2479319999999999E-8</v>
      </c>
      <c r="C17" s="2">
        <f>Data!D18</f>
        <v>3.6980689999999998E-10</v>
      </c>
      <c r="D17" s="2">
        <f t="shared" si="0"/>
        <v>-4.3987143348527672E-14</v>
      </c>
      <c r="E17" s="3">
        <f t="shared" si="1"/>
        <v>-3.9456534294660697E-4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4" thickBot="1" x14ac:dyDescent="0.2">
      <c r="B18" s="2">
        <f>Data!C19</f>
        <v>5.2458050000000002E-8</v>
      </c>
      <c r="C18" s="2">
        <f>Data!D19</f>
        <v>3.6898659999999999E-10</v>
      </c>
      <c r="D18" s="2">
        <f t="shared" si="0"/>
        <v>-7.1549409602204174E-13</v>
      </c>
      <c r="E18" s="3">
        <f t="shared" si="1"/>
        <v>-6.4179928925222835E-3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4" thickBot="1" x14ac:dyDescent="0.2">
      <c r="A19" t="str">
        <f>'30N2'!A19</f>
        <v>20/0</v>
      </c>
      <c r="B19" s="2">
        <f>Data!C56</f>
        <v>5.8951250000000003E-8</v>
      </c>
      <c r="C19" s="2">
        <f>Data!D56</f>
        <v>4.1490250000000001E-10</v>
      </c>
      <c r="D19" s="2">
        <f t="shared" si="0"/>
        <v>-2.2239686519316815E-13</v>
      </c>
      <c r="E19" s="3">
        <f t="shared" si="1"/>
        <v>-1.9949032536601369E-3</v>
      </c>
    </row>
    <row r="20" spans="1:15" x14ac:dyDescent="0.15">
      <c r="B20" s="2">
        <f>Data!C57</f>
        <v>5.887273E-8</v>
      </c>
      <c r="C20" s="2">
        <f>Data!D57</f>
        <v>4.1450860000000002E-10</v>
      </c>
      <c r="D20" s="2">
        <f t="shared" si="0"/>
        <v>-6.7014774169425911E-14</v>
      </c>
      <c r="E20" s="3">
        <f t="shared" si="1"/>
        <v>-6.0112354064779255E-4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15">
      <c r="B21" s="2">
        <f>Data!C58</f>
        <v>5.8977570000000002E-8</v>
      </c>
      <c r="C21" s="2">
        <f>Data!D58</f>
        <v>4.1522850000000001E-10</v>
      </c>
      <c r="D21" s="2">
        <f t="shared" si="0"/>
        <v>-8.0516893666729578E-14</v>
      </c>
      <c r="E21" s="3">
        <f t="shared" si="1"/>
        <v>-7.2223775731214911E-4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4" thickBot="1" x14ac:dyDescent="0.2">
      <c r="A22" t="str">
        <f>'30N2'!A22</f>
        <v>30/0</v>
      </c>
      <c r="B22" s="2">
        <f>Data!C59</f>
        <v>5.0154239999999997E-8</v>
      </c>
      <c r="C22" s="2">
        <f>Data!D59</f>
        <v>3.5431480000000002E-10</v>
      </c>
      <c r="D22" s="2">
        <f t="shared" si="0"/>
        <v>7.2887470328251782E-13</v>
      </c>
      <c r="E22" s="3">
        <f t="shared" si="1"/>
        <v>6.5380171425794388E-3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15">
      <c r="B23" s="2">
        <f>Data!C60</f>
        <v>5.0178830000000001E-8</v>
      </c>
      <c r="C23" s="2">
        <f>Data!D60</f>
        <v>3.5389239999999999E-10</v>
      </c>
      <c r="D23" s="2">
        <f t="shared" si="0"/>
        <v>1.3445678914247048E-13</v>
      </c>
      <c r="E23" s="3">
        <f t="shared" si="1"/>
        <v>1.2060794377835912E-3</v>
      </c>
    </row>
    <row r="24" spans="1:15" x14ac:dyDescent="0.15">
      <c r="B24" s="2">
        <f>Data!C61</f>
        <v>5.0238720000000001E-8</v>
      </c>
      <c r="C24" s="2">
        <f>Data!D61</f>
        <v>3.5435149999999998E-10</v>
      </c>
      <c r="D24" s="2">
        <f t="shared" si="0"/>
        <v>1.7459977906334498E-13</v>
      </c>
      <c r="E24" s="3">
        <f t="shared" si="1"/>
        <v>1.5661626661836049E-3</v>
      </c>
    </row>
    <row r="25" spans="1:15" x14ac:dyDescent="0.15">
      <c r="A25" t="str">
        <f>'30N2'!A25</f>
        <v>20/0</v>
      </c>
      <c r="B25" s="2">
        <f>Data!C86</f>
        <v>5.8046959999999997E-8</v>
      </c>
      <c r="C25" s="2">
        <f>Data!D86</f>
        <v>4.0847770000000001E-10</v>
      </c>
      <c r="D25" s="2">
        <f t="shared" si="0"/>
        <v>-3.2128878964736879E-13</v>
      </c>
      <c r="E25" s="3">
        <f t="shared" si="1"/>
        <v>-2.8819653158121605E-3</v>
      </c>
    </row>
    <row r="26" spans="1:15" x14ac:dyDescent="0.15">
      <c r="B26" s="2">
        <f>Data!C87</f>
        <v>5.8096759999999997E-8</v>
      </c>
      <c r="C26" s="2">
        <f>Data!D87</f>
        <v>4.091306E-10</v>
      </c>
      <c r="D26" s="2">
        <f t="shared" si="0"/>
        <v>-1.6761791850437528E-14</v>
      </c>
      <c r="E26" s="3">
        <f t="shared" si="1"/>
        <v>-1.5035352710825433E-4</v>
      </c>
    </row>
    <row r="27" spans="1:15" x14ac:dyDescent="0.15">
      <c r="B27" s="2">
        <f>Data!C88</f>
        <v>5.8081549999999999E-8</v>
      </c>
      <c r="C27" s="2">
        <f>Data!D88</f>
        <v>4.07538E-10</v>
      </c>
      <c r="D27" s="2">
        <f t="shared" si="0"/>
        <v>-1.5029611219004611E-12</v>
      </c>
      <c r="E27" s="3">
        <f t="shared" si="1"/>
        <v>-1.3481584057399852E-2</v>
      </c>
    </row>
    <row r="28" spans="1:15" x14ac:dyDescent="0.15">
      <c r="A28" t="str">
        <f>'30N2'!A28</f>
        <v>30/0</v>
      </c>
      <c r="B28" s="2">
        <f>Data!C89</f>
        <v>4.9721860000000002E-8</v>
      </c>
      <c r="C28" s="2">
        <f>Data!D89</f>
        <v>3.519018E-10</v>
      </c>
      <c r="D28" s="2">
        <f t="shared" si="0"/>
        <v>1.340563833654917E-12</v>
      </c>
      <c r="E28" s="3">
        <f t="shared" si="1"/>
        <v>1.2024877918915258E-2</v>
      </c>
    </row>
    <row r="29" spans="1:15" x14ac:dyDescent="0.15">
      <c r="B29" s="2">
        <f>Data!C90</f>
        <v>4.9722690000000002E-8</v>
      </c>
      <c r="C29" s="2">
        <f>Data!D90</f>
        <v>3.5004910000000002E-10</v>
      </c>
      <c r="D29" s="2">
        <f t="shared" si="0"/>
        <v>-5.1794238304844865E-13</v>
      </c>
      <c r="E29" s="3">
        <f t="shared" si="1"/>
        <v>-4.6459510310740458E-3</v>
      </c>
    </row>
    <row r="30" spans="1:15" x14ac:dyDescent="0.15">
      <c r="B30" s="2">
        <f>Data!C91</f>
        <v>4.9716750000000001E-8</v>
      </c>
      <c r="C30" s="2">
        <f>Data!D91</f>
        <v>3.4990570000000001E-10</v>
      </c>
      <c r="D30" s="2">
        <f t="shared" si="0"/>
        <v>-6.1978945868927365E-13</v>
      </c>
      <c r="E30" s="3">
        <f t="shared" si="1"/>
        <v>-5.5595208441880008E-3</v>
      </c>
    </row>
    <row r="31" spans="1:15" x14ac:dyDescent="0.15">
      <c r="A31" t="str">
        <f>'30N2'!A31</f>
        <v>20/0</v>
      </c>
      <c r="B31" s="2">
        <f>Data!C92</f>
        <v>5.8354029999999997E-8</v>
      </c>
      <c r="C31" s="2">
        <f>Data!D92</f>
        <v>4.1144489999999999E-10</v>
      </c>
      <c r="D31" s="2">
        <f t="shared" ref="D31:D42" si="2">C31-(B31*H$22+H$21)</f>
        <v>4.9782089335491292E-13</v>
      </c>
      <c r="E31" s="3">
        <f t="shared" ref="E31:E42" si="3">A$1*D31/A$2</f>
        <v>4.4654609633599249E-3</v>
      </c>
    </row>
    <row r="32" spans="1:15" x14ac:dyDescent="0.15">
      <c r="B32" s="2">
        <f>Data!C93</f>
        <v>5.8300929999999998E-8</v>
      </c>
      <c r="C32" s="2">
        <f>Data!D93</f>
        <v>4.1008670000000001E-10</v>
      </c>
      <c r="D32" s="2">
        <f t="shared" si="2"/>
        <v>-4.889211464647421E-13</v>
      </c>
      <c r="E32" s="3">
        <f t="shared" si="3"/>
        <v>-4.3856300987812676E-3</v>
      </c>
    </row>
    <row r="33" spans="1:5" x14ac:dyDescent="0.15">
      <c r="B33" s="2">
        <f>Data!C94</f>
        <v>5.8333180000000001E-8</v>
      </c>
      <c r="C33" s="2">
        <f>Data!D94</f>
        <v>4.1055150000000001E-10</v>
      </c>
      <c r="D33" s="2">
        <f t="shared" si="2"/>
        <v>-2.4972414487938673E-13</v>
      </c>
      <c r="E33" s="3">
        <f t="shared" si="3"/>
        <v>-2.2400293668918478E-3</v>
      </c>
    </row>
    <row r="34" spans="1:5" x14ac:dyDescent="0.15">
      <c r="A34" t="str">
        <f>'30N2'!A34</f>
        <v>30/0</v>
      </c>
      <c r="B34" s="2">
        <f>Data!C95</f>
        <v>4.9640969999999998E-8</v>
      </c>
      <c r="C34" s="2">
        <f>Data!D95</f>
        <v>3.4996510000000002E-10</v>
      </c>
      <c r="D34" s="2">
        <f t="shared" si="2"/>
        <v>-3.0274878228502105E-14</v>
      </c>
      <c r="E34" s="3">
        <f t="shared" si="3"/>
        <v>-2.7156611685936029E-4</v>
      </c>
    </row>
    <row r="35" spans="1:5" x14ac:dyDescent="0.15">
      <c r="B35" s="2">
        <f>Data!C96</f>
        <v>4.9705239999999998E-8</v>
      </c>
      <c r="C35" s="2">
        <f>Data!D96</f>
        <v>3.5012019999999999E-10</v>
      </c>
      <c r="D35" s="2">
        <f t="shared" si="2"/>
        <v>-3.2477192344117121E-13</v>
      </c>
      <c r="E35" s="3">
        <f t="shared" si="3"/>
        <v>-2.9132090787678784E-3</v>
      </c>
    </row>
    <row r="36" spans="1:5" x14ac:dyDescent="0.15">
      <c r="B36" s="2">
        <f>Data!C97</f>
        <v>4.9738880000000001E-8</v>
      </c>
      <c r="C36" s="2">
        <f>Data!D97</f>
        <v>3.5034650000000001E-10</v>
      </c>
      <c r="D36" s="2">
        <f t="shared" si="2"/>
        <v>-3.3379858597347498E-13</v>
      </c>
      <c r="E36" s="3">
        <f t="shared" si="3"/>
        <v>-2.9941783785812732E-3</v>
      </c>
    </row>
    <row r="37" spans="1:5" x14ac:dyDescent="0.15">
      <c r="A37" t="str">
        <f>'30N2'!A37</f>
        <v>20/0</v>
      </c>
      <c r="B37" s="2">
        <f>Data!C152</f>
        <v>5.7992449999999999E-8</v>
      </c>
      <c r="C37" s="2">
        <f>Data!D152</f>
        <v>4.0852330000000002E-10</v>
      </c>
      <c r="D37" s="2">
        <f t="shared" si="2"/>
        <v>1.0563274348691657E-13</v>
      </c>
      <c r="E37" s="3">
        <f t="shared" si="3"/>
        <v>9.4752731110694574E-4</v>
      </c>
    </row>
    <row r="38" spans="1:5" x14ac:dyDescent="0.15">
      <c r="B38" s="2">
        <f>Data!C153</f>
        <v>5.8032570000000003E-8</v>
      </c>
      <c r="C38" s="2">
        <f>Data!D153</f>
        <v>4.0874450000000001E-10</v>
      </c>
      <c r="D38" s="2">
        <f t="shared" si="2"/>
        <v>4.6175618017278129E-14</v>
      </c>
      <c r="E38" s="3">
        <f t="shared" si="3"/>
        <v>4.1419599391576991E-4</v>
      </c>
    </row>
    <row r="39" spans="1:5" x14ac:dyDescent="0.15">
      <c r="B39" s="2">
        <f>Data!C154</f>
        <v>5.8022069999999998E-8</v>
      </c>
      <c r="C39" s="2">
        <f>Data!D154</f>
        <v>4.091817E-10</v>
      </c>
      <c r="D39" s="2">
        <f t="shared" si="2"/>
        <v>5.5682775703601291E-13</v>
      </c>
      <c r="E39" s="3">
        <f t="shared" si="3"/>
        <v>4.9947534254792267E-3</v>
      </c>
    </row>
    <row r="40" spans="1:5" x14ac:dyDescent="0.15">
      <c r="A40" t="str">
        <f>'30N2'!A40</f>
        <v>30/0</v>
      </c>
      <c r="B40" s="2">
        <f>Data!C155</f>
        <v>4.9504769999999998E-8</v>
      </c>
      <c r="C40" s="2">
        <f>Data!D155</f>
        <v>3.4879870000000003E-10</v>
      </c>
      <c r="D40" s="2">
        <f t="shared" si="2"/>
        <v>-2.4389570352866257E-13</v>
      </c>
      <c r="E40" s="3">
        <f t="shared" si="3"/>
        <v>-2.1877481595815383E-3</v>
      </c>
    </row>
    <row r="41" spans="1:5" x14ac:dyDescent="0.15">
      <c r="B41" s="2">
        <f>Data!C156</f>
        <v>4.943274E-8</v>
      </c>
      <c r="C41" s="2">
        <f>Data!D156</f>
        <v>3.4828810000000001E-10</v>
      </c>
      <c r="D41" s="2">
        <f t="shared" si="2"/>
        <v>-2.5061402986032E-13</v>
      </c>
      <c r="E41" s="3">
        <f t="shared" si="3"/>
        <v>-2.248011648666841E-3</v>
      </c>
    </row>
    <row r="42" spans="1:5" x14ac:dyDescent="0.15">
      <c r="B42" s="2">
        <f>Data!C157</f>
        <v>4.9507270000000001E-8</v>
      </c>
      <c r="C42" s="2">
        <f>Data!D157</f>
        <v>3.4898650000000002E-10</v>
      </c>
      <c r="D42" s="2">
        <f t="shared" si="2"/>
        <v>-7.3584308056930446E-14</v>
      </c>
      <c r="E42" s="3">
        <f t="shared" si="3"/>
        <v>-6.6005235925245304E-4</v>
      </c>
    </row>
    <row r="43" spans="1:5" x14ac:dyDescent="0.15">
      <c r="A43" t="str">
        <f>'30N2'!A31</f>
        <v>20/0</v>
      </c>
      <c r="B43" s="2">
        <f>Data!C212</f>
        <v>5.7932470000000003E-8</v>
      </c>
      <c r="C43" s="2">
        <f>Data!D212</f>
        <v>4.085166E-10</v>
      </c>
      <c r="D43" s="2">
        <f t="shared" ref="D43:D54" si="4">C43-(B43*H$22+H$21)</f>
        <v>5.1851934332895812E-13</v>
      </c>
      <c r="E43" s="3">
        <f t="shared" ref="E43:E54" si="5">A$1*D43/A$2</f>
        <v>4.6511263735404124E-3</v>
      </c>
    </row>
    <row r="44" spans="1:5" x14ac:dyDescent="0.15">
      <c r="B44" s="2">
        <f>Data!C213</f>
        <v>5.7864009999999998E-8</v>
      </c>
      <c r="C44" s="2">
        <f>Data!D213</f>
        <v>4.0915030000000002E-10</v>
      </c>
      <c r="D44" s="2">
        <f t="shared" si="4"/>
        <v>1.6311272897310307E-12</v>
      </c>
      <c r="E44" s="3">
        <f t="shared" si="5"/>
        <v>1.4631236526611944E-2</v>
      </c>
    </row>
    <row r="45" spans="1:5" x14ac:dyDescent="0.15">
      <c r="B45" s="2">
        <f>Data!C214</f>
        <v>5.7934279999999998E-8</v>
      </c>
      <c r="C45" s="2">
        <f>Data!D214</f>
        <v>4.088408E-10</v>
      </c>
      <c r="D45" s="2">
        <f t="shared" si="4"/>
        <v>8.3005759365058063E-13</v>
      </c>
      <c r="E45" s="3">
        <f t="shared" si="5"/>
        <v>7.4456292037236617E-3</v>
      </c>
    </row>
    <row r="46" spans="1:5" x14ac:dyDescent="0.15">
      <c r="A46" t="str">
        <f>'30N2'!A34</f>
        <v>30/0</v>
      </c>
      <c r="B46" s="2">
        <f>Data!C215</f>
        <v>4.9398430000000001E-8</v>
      </c>
      <c r="C46" s="2">
        <f>Data!D215</f>
        <v>3.495651E-10</v>
      </c>
      <c r="D46" s="2">
        <f t="shared" si="4"/>
        <v>1.2663995786855607E-12</v>
      </c>
      <c r="E46" s="3">
        <f t="shared" si="5"/>
        <v>1.1359623427062851E-2</v>
      </c>
    </row>
    <row r="47" spans="1:5" x14ac:dyDescent="0.15">
      <c r="B47" s="2">
        <f>Data!C216</f>
        <v>4.939745E-8</v>
      </c>
      <c r="C47" s="2">
        <f>Data!D216</f>
        <v>3.489097E-10</v>
      </c>
      <c r="D47" s="2">
        <f t="shared" si="4"/>
        <v>6.1785511166064832E-13</v>
      </c>
      <c r="E47" s="3">
        <f t="shared" si="5"/>
        <v>5.5421697220048669E-3</v>
      </c>
    </row>
    <row r="48" spans="1:5" x14ac:dyDescent="0.15">
      <c r="B48" s="2">
        <f>Data!C217</f>
        <v>4.9406380000000001E-8</v>
      </c>
      <c r="C48" s="2">
        <f>Data!D217</f>
        <v>3.4829590000000001E-10</v>
      </c>
      <c r="D48" s="2">
        <f t="shared" si="4"/>
        <v>-5.8414183714306493E-14</v>
      </c>
      <c r="E48" s="3">
        <f t="shared" si="5"/>
        <v>-5.2397611382856279E-4</v>
      </c>
    </row>
    <row r="49" spans="1:6" x14ac:dyDescent="0.15">
      <c r="A49" t="str">
        <f>'30N2'!A37</f>
        <v>20/0</v>
      </c>
      <c r="B49" s="2">
        <f>Data!C218</f>
        <v>5.7915739999999997E-8</v>
      </c>
      <c r="C49" s="2">
        <f>Data!D218</f>
        <v>4.0792450000000001E-10</v>
      </c>
      <c r="D49" s="2">
        <f t="shared" si="4"/>
        <v>4.3453084832157486E-14</v>
      </c>
      <c r="E49" s="3">
        <f t="shared" si="5"/>
        <v>3.8977482995521915E-4</v>
      </c>
    </row>
    <row r="50" spans="1:6" x14ac:dyDescent="0.15">
      <c r="B50" s="2">
        <f>Data!C219</f>
        <v>5.7926139999999997E-8</v>
      </c>
      <c r="C50" s="2">
        <f>Data!D219</f>
        <v>4.0677289999999998E-10</v>
      </c>
      <c r="D50" s="2">
        <f t="shared" si="4"/>
        <v>-1.1808995100054168E-12</v>
      </c>
      <c r="E50" s="3">
        <f t="shared" si="5"/>
        <v>-1.0592686514305396E-2</v>
      </c>
    </row>
    <row r="51" spans="1:6" x14ac:dyDescent="0.15">
      <c r="B51" s="2">
        <f>Data!C220</f>
        <v>5.7884530000000001E-8</v>
      </c>
      <c r="C51" s="2">
        <f>Data!D220</f>
        <v>4.0762339999999998E-10</v>
      </c>
      <c r="D51" s="2">
        <f t="shared" si="4"/>
        <v>-3.9319176237041544E-14</v>
      </c>
      <c r="E51" s="3">
        <f t="shared" si="5"/>
        <v>-3.5269360716204948E-4</v>
      </c>
    </row>
    <row r="52" spans="1:6" x14ac:dyDescent="0.15">
      <c r="A52" t="str">
        <f>'30N2'!A40</f>
        <v>30/0</v>
      </c>
      <c r="B52" s="2">
        <f>Data!C221</f>
        <v>4.9401190000000001E-8</v>
      </c>
      <c r="C52" s="2">
        <f>Data!D221</f>
        <v>3.4819650000000002E-10</v>
      </c>
      <c r="D52" s="2">
        <f t="shared" si="4"/>
        <v>-1.2150784071361639E-13</v>
      </c>
      <c r="E52" s="3">
        <f t="shared" si="5"/>
        <v>-1.0899271739926361E-3</v>
      </c>
    </row>
    <row r="53" spans="1:6" x14ac:dyDescent="0.15">
      <c r="B53" s="2">
        <f>Data!C222</f>
        <v>4.9378259999999997E-8</v>
      </c>
      <c r="C53" s="2">
        <f>Data!D222</f>
        <v>3.4766810000000001E-10</v>
      </c>
      <c r="D53" s="2">
        <f t="shared" si="4"/>
        <v>-4.8950235998036871E-13</v>
      </c>
      <c r="E53" s="3">
        <f t="shared" si="5"/>
        <v>-4.3908435928311403E-3</v>
      </c>
    </row>
    <row r="54" spans="1:6" x14ac:dyDescent="0.15">
      <c r="B54" s="2">
        <f>Data!C223</f>
        <v>4.9390239999999998E-8</v>
      </c>
      <c r="C54" s="2">
        <f>Data!D223</f>
        <v>3.4833539999999999E-10</v>
      </c>
      <c r="D54" s="2">
        <f t="shared" si="4"/>
        <v>9.3992247120182585E-14</v>
      </c>
      <c r="E54" s="3">
        <f t="shared" si="5"/>
        <v>8.4311188215723063E-4</v>
      </c>
    </row>
    <row r="55" spans="1:6" x14ac:dyDescent="0.15">
      <c r="A55" t="str">
        <f>'30N2'!A55</f>
        <v>051221-LS-WM-5m-To</v>
      </c>
      <c r="B55" s="2">
        <f>Data!C20</f>
        <v>8.3693350000000006E-8</v>
      </c>
      <c r="C55" s="2">
        <f>Data!D20</f>
        <v>5.8850649999999999E-10</v>
      </c>
      <c r="D55" s="2">
        <f>C55-(B55*H$22+H$21)</f>
        <v>2.9968229529623978E-13</v>
      </c>
      <c r="E55" s="3">
        <f>A$1*D55/A$2</f>
        <v>2.6881547337978028E-3</v>
      </c>
      <c r="F55" s="3">
        <f>AVERAGE(E55:E57)</f>
        <v>3.0978074130206617E-3</v>
      </c>
    </row>
    <row r="56" spans="1:6" x14ac:dyDescent="0.15">
      <c r="B56" s="2">
        <f>Data!C21</f>
        <v>8.3663150000000001E-8</v>
      </c>
      <c r="C56" s="2">
        <f>Data!D21</f>
        <v>5.8941840000000003E-10</v>
      </c>
      <c r="D56" s="2">
        <f>C56-(B56*H$22+H$21)</f>
        <v>1.4228446379977829E-12</v>
      </c>
      <c r="E56" s="3">
        <f>A$1*D56/A$2</f>
        <v>1.276293798174387E-2</v>
      </c>
    </row>
    <row r="57" spans="1:6" x14ac:dyDescent="0.15">
      <c r="B57" s="2">
        <f>Data!C22</f>
        <v>8.3683480000000003E-8</v>
      </c>
      <c r="C57" s="2">
        <f>Data!D22</f>
        <v>5.8745129999999997E-10</v>
      </c>
      <c r="D57" s="2">
        <f>C57-(B57*H$22+H$21)</f>
        <v>-6.8647269402614922E-13</v>
      </c>
      <c r="E57" s="3">
        <f>A$1*D57/A$2</f>
        <v>-6.1576704764796887E-3</v>
      </c>
    </row>
    <row r="58" spans="1:6" x14ac:dyDescent="0.15">
      <c r="A58" t="str">
        <f>'30N2'!A58</f>
        <v>051221-LS-WM-5m-To</v>
      </c>
      <c r="B58" s="2">
        <f>Data!C23</f>
        <v>8.7724650000000001E-8</v>
      </c>
      <c r="C58" s="2">
        <f>Data!D23</f>
        <v>6.1635629999999999E-10</v>
      </c>
      <c r="D58" s="2">
        <f t="shared" ref="D58:D90" si="6">C58-(B58*H$22+H$21)</f>
        <v>-5.1242278620947379E-14</v>
      </c>
      <c r="E58" s="3">
        <f t="shared" ref="E58:E90" si="7">A$1*D58/A$2</f>
        <v>-4.5964401637180733E-4</v>
      </c>
      <c r="F58" s="3">
        <f>AVERAGE(E58:E60)</f>
        <v>2.2345601951921372E-3</v>
      </c>
    </row>
    <row r="59" spans="1:6" x14ac:dyDescent="0.15">
      <c r="B59" s="2">
        <f>Data!C24</f>
        <v>8.7760439999999994E-8</v>
      </c>
      <c r="C59" s="2">
        <f>Data!D24</f>
        <v>6.1755080000000005E-10</v>
      </c>
      <c r="D59" s="2">
        <f t="shared" si="6"/>
        <v>8.9289085895255268E-13</v>
      </c>
      <c r="E59" s="3">
        <f t="shared" si="7"/>
        <v>8.0092445464135069E-3</v>
      </c>
    </row>
    <row r="60" spans="1:6" x14ac:dyDescent="0.15">
      <c r="B60" s="2">
        <f>Data!C25</f>
        <v>8.769108E-8</v>
      </c>
      <c r="C60" s="2">
        <f>Data!D25</f>
        <v>6.1607840000000001E-10</v>
      </c>
      <c r="D60" s="2">
        <f t="shared" si="6"/>
        <v>-9.4305297015426067E-14</v>
      </c>
      <c r="E60" s="3">
        <f t="shared" si="7"/>
        <v>-8.4591994446528863E-4</v>
      </c>
    </row>
    <row r="61" spans="1:6" x14ac:dyDescent="0.15">
      <c r="A61" t="str">
        <f>'30N2'!A61</f>
        <v>051221-LS-WM-35m-To</v>
      </c>
      <c r="B61" s="2">
        <f>Data!C26</f>
        <v>9.918642E-8</v>
      </c>
      <c r="C61" s="2">
        <f>Data!D26</f>
        <v>6.7157340000000004E-10</v>
      </c>
      <c r="D61" s="2">
        <f t="shared" si="6"/>
        <v>-2.5014287368191997E-11</v>
      </c>
      <c r="E61" s="3">
        <f t="shared" si="7"/>
        <v>-0.22437853706010241</v>
      </c>
      <c r="F61" s="3">
        <f>AVERAGE(E61:E63)</f>
        <v>-0.21919974589102484</v>
      </c>
    </row>
    <row r="62" spans="1:6" x14ac:dyDescent="0.15">
      <c r="B62" s="2">
        <f>Data!C27</f>
        <v>9.9081199999999997E-8</v>
      </c>
      <c r="C62" s="2">
        <f>Data!D27</f>
        <v>6.7241030000000005E-10</v>
      </c>
      <c r="D62" s="2">
        <f t="shared" si="6"/>
        <v>-2.3441326980806278E-11</v>
      </c>
      <c r="E62" s="3">
        <f t="shared" si="7"/>
        <v>-0.21026905852968888</v>
      </c>
    </row>
    <row r="63" spans="1:6" x14ac:dyDescent="0.15">
      <c r="B63" s="2">
        <f>Data!C28</f>
        <v>9.9154359999999998E-8</v>
      </c>
      <c r="C63" s="2">
        <f>Data!D28</f>
        <v>6.7150820000000004E-10</v>
      </c>
      <c r="D63" s="2">
        <f t="shared" si="6"/>
        <v>-2.485521350372151E-11</v>
      </c>
      <c r="E63" s="3">
        <f t="shared" si="7"/>
        <v>-0.22295164208328325</v>
      </c>
    </row>
    <row r="64" spans="1:6" x14ac:dyDescent="0.15">
      <c r="A64" t="str">
        <f>'30N2'!A64</f>
        <v>051221-LS-WM-35m-To</v>
      </c>
      <c r="B64" s="2">
        <f>Data!C29</f>
        <v>8.2747050000000002E-8</v>
      </c>
      <c r="C64" s="2">
        <f>Data!D29</f>
        <v>5.8212410000000002E-10</v>
      </c>
      <c r="D64" s="2">
        <f t="shared" si="6"/>
        <v>5.3706888133506047E-13</v>
      </c>
      <c r="E64" s="3">
        <f t="shared" si="7"/>
        <v>4.8175160107779913E-3</v>
      </c>
      <c r="F64" s="3">
        <f>AVERAGE(E64:E66)</f>
        <v>3.6999797548308358E-3</v>
      </c>
    </row>
    <row r="65" spans="1:6" x14ac:dyDescent="0.15">
      <c r="B65" s="2">
        <f>Data!C30</f>
        <v>8.2639949999999995E-8</v>
      </c>
      <c r="C65" s="2">
        <f>Data!D30</f>
        <v>5.8041029999999996E-10</v>
      </c>
      <c r="D65" s="2">
        <f t="shared" si="6"/>
        <v>-4.275193006740922E-13</v>
      </c>
      <c r="E65" s="3">
        <f t="shared" si="7"/>
        <v>-3.8348546108169339E-3</v>
      </c>
    </row>
    <row r="66" spans="1:6" x14ac:dyDescent="0.15">
      <c r="B66" s="2">
        <f>Data!C31</f>
        <v>8.2576119999999996E-8</v>
      </c>
      <c r="C66" s="2">
        <f>Data!D31</f>
        <v>5.8151920000000003E-10</v>
      </c>
      <c r="D66" s="2">
        <f t="shared" si="6"/>
        <v>1.1278997501416461E-12</v>
      </c>
      <c r="E66" s="3">
        <f t="shared" si="7"/>
        <v>1.0117277864531451E-2</v>
      </c>
    </row>
    <row r="67" spans="1:6" x14ac:dyDescent="0.15">
      <c r="A67" t="str">
        <f>'30N2'!A67</f>
        <v>051221-LS-WM-163m-To</v>
      </c>
      <c r="B67" s="2">
        <f>Data!C32</f>
        <v>8.3209100000000006E-8</v>
      </c>
      <c r="C67" s="2">
        <f>Data!D32</f>
        <v>5.8444620000000001E-10</v>
      </c>
      <c r="D67" s="2">
        <f t="shared" si="6"/>
        <v>-3.7307500757885395E-13</v>
      </c>
      <c r="E67" s="3">
        <f t="shared" si="7"/>
        <v>-3.3464884760488916E-3</v>
      </c>
      <c r="F67" s="3">
        <f>AVERAGE(E67:E69)</f>
        <v>-9.9835949161789662E-3</v>
      </c>
    </row>
    <row r="68" spans="1:6" x14ac:dyDescent="0.15">
      <c r="B68" s="2">
        <f>Data!C33</f>
        <v>8.3195220000000002E-8</v>
      </c>
      <c r="C68" s="2">
        <f>Data!D33</f>
        <v>5.8303969999999999E-10</v>
      </c>
      <c r="D68" s="2">
        <f t="shared" si="6"/>
        <v>-1.6824782752378703E-12</v>
      </c>
      <c r="E68" s="3">
        <f t="shared" si="7"/>
        <v>-1.5091855645398855E-2</v>
      </c>
    </row>
    <row r="69" spans="1:6" x14ac:dyDescent="0.15">
      <c r="B69" s="2">
        <f>Data!C34</f>
        <v>8.3154029999999994E-8</v>
      </c>
      <c r="C69" s="2">
        <f>Data!D34</f>
        <v>5.8315059999999998E-10</v>
      </c>
      <c r="D69" s="2">
        <f t="shared" si="6"/>
        <v>-1.2834360270301562E-12</v>
      </c>
      <c r="E69" s="3">
        <f t="shared" si="7"/>
        <v>-1.1512440627089152E-2</v>
      </c>
    </row>
    <row r="70" spans="1:6" x14ac:dyDescent="0.15">
      <c r="A70" t="str">
        <f>'30N2'!A70</f>
        <v>051221-LS-WM-163m-To</v>
      </c>
      <c r="B70" s="2">
        <f>Data!C35</f>
        <v>8.2867480000000004E-8</v>
      </c>
      <c r="C70" s="2">
        <f>Data!D35</f>
        <v>5.8119599999999999E-10</v>
      </c>
      <c r="D70" s="2">
        <f t="shared" si="6"/>
        <v>-1.2334921760004902E-12</v>
      </c>
      <c r="E70" s="3">
        <f t="shared" si="7"/>
        <v>-1.1064443525903129E-2</v>
      </c>
      <c r="F70" s="3">
        <f>AVERAGE(E70:E72)</f>
        <v>-3.5654027522646473E-3</v>
      </c>
    </row>
    <row r="71" spans="1:6" x14ac:dyDescent="0.15">
      <c r="B71" s="2">
        <f>Data!C36</f>
        <v>8.2829010000000003E-8</v>
      </c>
      <c r="C71" s="2">
        <f>Data!D36</f>
        <v>5.8233430000000002E-10</v>
      </c>
      <c r="D71" s="2">
        <f t="shared" si="6"/>
        <v>1.7392247048046723E-13</v>
      </c>
      <c r="E71" s="3">
        <f t="shared" si="7"/>
        <v>1.5600871979231097E-3</v>
      </c>
    </row>
    <row r="72" spans="1:6" x14ac:dyDescent="0.15">
      <c r="B72" s="2">
        <f>Data!C37</f>
        <v>8.278225E-8</v>
      </c>
      <c r="C72" s="2">
        <f>Data!D37</f>
        <v>5.8170039999999999E-10</v>
      </c>
      <c r="D72" s="2">
        <f t="shared" si="6"/>
        <v>-1.3287067042290029E-13</v>
      </c>
      <c r="E72" s="3">
        <f t="shared" si="7"/>
        <v>-1.1918519288139232E-3</v>
      </c>
    </row>
    <row r="73" spans="1:6" x14ac:dyDescent="0.15">
      <c r="A73" t="str">
        <f>'30N2'!A73</f>
        <v>051321-LS-WM-5m-Tf</v>
      </c>
      <c r="B73" s="2">
        <f>Data!C38</f>
        <v>8.1914220000000005E-8</v>
      </c>
      <c r="C73" s="2">
        <f>Data!D38</f>
        <v>5.7578090000000003E-10</v>
      </c>
      <c r="D73" s="2">
        <f t="shared" si="6"/>
        <v>1.988268504486256E-14</v>
      </c>
      <c r="E73" s="3">
        <f t="shared" si="7"/>
        <v>1.7834798639380513E-4</v>
      </c>
      <c r="F73" s="3">
        <f>AVERAGE(E73:E75)</f>
        <v>5.5003230740553674E-3</v>
      </c>
    </row>
    <row r="74" spans="1:6" x14ac:dyDescent="0.15">
      <c r="B74" s="2">
        <f>Data!C39</f>
        <v>8.1815050000000004E-8</v>
      </c>
      <c r="C74" s="2">
        <f>Data!D39</f>
        <v>5.7641649999999998E-10</v>
      </c>
      <c r="D74" s="2">
        <f t="shared" si="6"/>
        <v>1.3492206494720663E-12</v>
      </c>
      <c r="E74" s="3">
        <f t="shared" si="7"/>
        <v>1.2102529688084609E-2</v>
      </c>
    </row>
    <row r="75" spans="1:6" x14ac:dyDescent="0.15">
      <c r="B75" s="2">
        <f>Data!C40</f>
        <v>8.1895310000000006E-8</v>
      </c>
      <c r="C75" s="2">
        <f>Data!D40</f>
        <v>5.7609919999999996E-10</v>
      </c>
      <c r="D75" s="2">
        <f t="shared" si="6"/>
        <v>4.7046648969665819E-13</v>
      </c>
      <c r="E75" s="3">
        <f t="shared" si="7"/>
        <v>4.2200915476876865E-3</v>
      </c>
    </row>
    <row r="76" spans="1:6" x14ac:dyDescent="0.15">
      <c r="A76" t="str">
        <f>'30N2'!A76</f>
        <v>051321-LS-WM-5m-Tf</v>
      </c>
      <c r="B76" s="2">
        <f>Data!C41</f>
        <v>8.1418649999999997E-8</v>
      </c>
      <c r="C76" s="2">
        <f>Data!D41</f>
        <v>5.7021529999999997E-10</v>
      </c>
      <c r="D76" s="2">
        <f t="shared" si="6"/>
        <v>-2.0789862165262387E-12</v>
      </c>
      <c r="E76" s="3">
        <f t="shared" si="7"/>
        <v>-1.8648537892206656E-2</v>
      </c>
      <c r="F76" s="3">
        <f>AVERAGE(E76:E78)</f>
        <v>-6.4090542870003861E-3</v>
      </c>
    </row>
    <row r="77" spans="1:6" x14ac:dyDescent="0.15">
      <c r="B77" s="2">
        <f>Data!C42</f>
        <v>8.1232050000000005E-8</v>
      </c>
      <c r="C77" s="2">
        <f>Data!D42</f>
        <v>5.7125689999999999E-10</v>
      </c>
      <c r="D77" s="2">
        <f t="shared" si="6"/>
        <v>2.6796322546336235E-13</v>
      </c>
      <c r="E77" s="3">
        <f t="shared" si="7"/>
        <v>2.4036341963445435E-3</v>
      </c>
    </row>
    <row r="78" spans="1:6" x14ac:dyDescent="0.15">
      <c r="B78" s="2">
        <f>Data!C43</f>
        <v>8.1319139999999993E-8</v>
      </c>
      <c r="C78" s="2">
        <f>Data!D43</f>
        <v>5.7126570000000001E-10</v>
      </c>
      <c r="D78" s="2">
        <f t="shared" si="6"/>
        <v>-3.3246980188319095E-13</v>
      </c>
      <c r="E78" s="3">
        <f t="shared" si="7"/>
        <v>-2.9822591651390471E-3</v>
      </c>
    </row>
    <row r="79" spans="1:6" x14ac:dyDescent="0.15">
      <c r="A79" t="str">
        <f>'30N2'!A79</f>
        <v>051321-LS-WM-35m-Tf</v>
      </c>
      <c r="B79" s="2">
        <f>Data!C44</f>
        <v>8.3656820000000001E-8</v>
      </c>
      <c r="C79" s="2">
        <f>Data!D44</f>
        <v>5.8603070000000001E-10</v>
      </c>
      <c r="D79" s="2">
        <f t="shared" si="6"/>
        <v>-1.9205742153366848E-12</v>
      </c>
      <c r="E79" s="3">
        <f t="shared" si="7"/>
        <v>-1.7227579839055273E-2</v>
      </c>
      <c r="F79" s="3">
        <f>AVERAGE(E79:E81)</f>
        <v>-1.455513046326846E-2</v>
      </c>
    </row>
    <row r="80" spans="1:6" x14ac:dyDescent="0.15">
      <c r="B80" s="2">
        <f>Data!C45</f>
        <v>8.3668909999999997E-8</v>
      </c>
      <c r="C80" s="2">
        <f>Data!D45</f>
        <v>5.8655300000000003E-10</v>
      </c>
      <c r="D80" s="2">
        <f t="shared" si="6"/>
        <v>-1.4828491068352496E-12</v>
      </c>
      <c r="E80" s="3">
        <f t="shared" si="7"/>
        <v>-1.3301178977245491E-2</v>
      </c>
    </row>
    <row r="81" spans="1:6" x14ac:dyDescent="0.15">
      <c r="B81" s="2">
        <f>Data!C46</f>
        <v>8.3676380000000003E-8</v>
      </c>
      <c r="C81" s="2">
        <f>Data!D46</f>
        <v>5.866236E-10</v>
      </c>
      <c r="D81" s="2">
        <f t="shared" si="6"/>
        <v>-1.4645050571658545E-12</v>
      </c>
      <c r="E81" s="3">
        <f t="shared" si="7"/>
        <v>-1.3136632573504618E-2</v>
      </c>
    </row>
    <row r="82" spans="1:6" x14ac:dyDescent="0.15">
      <c r="A82" t="str">
        <f>'30N2'!A82</f>
        <v>051321-LS-WM-35m-Tf</v>
      </c>
      <c r="B82" s="2">
        <f>Data!C47</f>
        <v>8.1037290000000006E-8</v>
      </c>
      <c r="C82" s="2">
        <f>Data!D47</f>
        <v>5.6862540000000001E-10</v>
      </c>
      <c r="D82" s="2">
        <f t="shared" si="6"/>
        <v>-1.0011045273666349E-12</v>
      </c>
      <c r="E82" s="3">
        <f t="shared" si="7"/>
        <v>-8.9799227932595115E-3</v>
      </c>
      <c r="F82" s="3">
        <f>AVERAGE(E82:E84)</f>
        <v>2.2383574528470965E-3</v>
      </c>
    </row>
    <row r="83" spans="1:6" x14ac:dyDescent="0.15">
      <c r="B83" s="2">
        <f>Data!C48</f>
        <v>8.0962480000000001E-8</v>
      </c>
      <c r="C83" s="2">
        <f>Data!D48</f>
        <v>5.7071909999999999E-10</v>
      </c>
      <c r="D83" s="2">
        <f t="shared" si="6"/>
        <v>1.6159244745371185E-12</v>
      </c>
      <c r="E83" s="3">
        <f t="shared" si="7"/>
        <v>1.4494867043756209E-2</v>
      </c>
    </row>
    <row r="84" spans="1:6" x14ac:dyDescent="0.15">
      <c r="B84" s="2">
        <f>Data!C49</f>
        <v>8.1032430000000005E-8</v>
      </c>
      <c r="C84" s="2">
        <f>Data!D49</f>
        <v>5.6972630000000002E-10</v>
      </c>
      <c r="D84" s="2">
        <f t="shared" si="6"/>
        <v>1.3379331983624938E-13</v>
      </c>
      <c r="E84" s="3">
        <f t="shared" si="7"/>
        <v>1.2001281080445928E-3</v>
      </c>
    </row>
    <row r="85" spans="1:6" x14ac:dyDescent="0.15">
      <c r="A85" t="str">
        <f>'30N2'!A85</f>
        <v>051321-LS-WM-163m-Tf</v>
      </c>
      <c r="B85" s="2">
        <f>Data!C50</f>
        <v>8.1472949999999995E-8</v>
      </c>
      <c r="C85" s="2">
        <f>Data!D50</f>
        <v>5.7143529999999999E-10</v>
      </c>
      <c r="D85" s="2">
        <f t="shared" si="6"/>
        <v>-1.2388387068801188E-12</v>
      </c>
      <c r="E85" s="3">
        <f t="shared" si="7"/>
        <v>-1.1112401988979044E-2</v>
      </c>
      <c r="F85" s="3">
        <f>AVERAGE(E85:E87)</f>
        <v>-2.5800293907244989E-3</v>
      </c>
    </row>
    <row r="86" spans="1:6" x14ac:dyDescent="0.15">
      <c r="B86" s="2">
        <f>Data!C51</f>
        <v>8.1523010000000005E-8</v>
      </c>
      <c r="C86" s="2">
        <f>Data!D51</f>
        <v>5.7368680000000003E-10</v>
      </c>
      <c r="D86" s="2">
        <f t="shared" si="6"/>
        <v>6.6246947604582671E-13</v>
      </c>
      <c r="E86" s="3">
        <f t="shared" si="7"/>
        <v>5.9423612471626837E-3</v>
      </c>
    </row>
    <row r="87" spans="1:6" x14ac:dyDescent="0.15">
      <c r="B87" s="2">
        <f>Data!C52</f>
        <v>8.1515359999999995E-8</v>
      </c>
      <c r="C87" s="2">
        <f>Data!D52</f>
        <v>5.7268429999999996E-10</v>
      </c>
      <c r="D87" s="2">
        <f t="shared" si="6"/>
        <v>-2.8651539409768308E-13</v>
      </c>
      <c r="E87" s="3">
        <f t="shared" si="7"/>
        <v>-2.5700474303571373E-3</v>
      </c>
    </row>
    <row r="88" spans="1:6" x14ac:dyDescent="0.15">
      <c r="A88" t="str">
        <f>'30N2'!A88</f>
        <v>051321-LS-WM-163m-Tf</v>
      </c>
      <c r="B88" s="2">
        <f>Data!C53</f>
        <v>9.0536309999999997E-8</v>
      </c>
      <c r="C88" s="2">
        <f>Data!D53</f>
        <v>6.3471890000000002E-10</v>
      </c>
      <c r="D88" s="2">
        <f t="shared" si="6"/>
        <v>-1.3574462017971418E-12</v>
      </c>
      <c r="E88" s="3">
        <f t="shared" si="7"/>
        <v>-1.2176313017189506E-2</v>
      </c>
      <c r="F88" s="3">
        <f>AVERAGE(E88:E90)</f>
        <v>6.4844288914857448E-4</v>
      </c>
    </row>
    <row r="89" spans="1:6" x14ac:dyDescent="0.15">
      <c r="B89" s="2">
        <f>Data!C54</f>
        <v>9.0515020000000007E-8</v>
      </c>
      <c r="C89" s="2">
        <f>Data!D54</f>
        <v>6.3662460000000004E-10</v>
      </c>
      <c r="D89" s="2">
        <f t="shared" si="6"/>
        <v>6.9718675436558253E-13</v>
      </c>
      <c r="E89" s="3">
        <f t="shared" si="7"/>
        <v>6.2537757602141603E-3</v>
      </c>
    </row>
    <row r="90" spans="1:6" x14ac:dyDescent="0.15">
      <c r="B90" s="2">
        <f>Data!C55</f>
        <v>9.0500290000000003E-8</v>
      </c>
      <c r="C90" s="2">
        <f>Data!D55</f>
        <v>6.3670150000000005E-10</v>
      </c>
      <c r="D90" s="2">
        <f t="shared" si="6"/>
        <v>8.7712961224609725E-13</v>
      </c>
      <c r="E90" s="3">
        <f t="shared" si="7"/>
        <v>7.8678659244210691E-3</v>
      </c>
    </row>
    <row r="91" spans="1:6" x14ac:dyDescent="0.15">
      <c r="A91" t="str">
        <f>'30N2'!A91</f>
        <v>051321-LS-SB-5m-To</v>
      </c>
      <c r="B91" s="2">
        <f>Data!C62</f>
        <v>7.8393090000000001E-8</v>
      </c>
      <c r="C91" s="2">
        <f>Data!D62</f>
        <v>5.5056170000000003E-10</v>
      </c>
      <c r="D91" s="2">
        <f t="shared" ref="D91:D102" si="8">C91-(B91*H$22+H$21)</f>
        <v>-5.6745728991166016E-13</v>
      </c>
      <c r="E91" s="3">
        <f t="shared" ref="E91:E102" si="9">A$1*D91/A$2</f>
        <v>-5.0901004965815911E-3</v>
      </c>
      <c r="F91" s="3">
        <f>AVERAGE(E91:E93)</f>
        <v>-6.5352826331763246E-3</v>
      </c>
    </row>
    <row r="92" spans="1:6" x14ac:dyDescent="0.15">
      <c r="B92" s="2">
        <f>Data!C63</f>
        <v>7.8380139999999996E-8</v>
      </c>
      <c r="C92" s="2">
        <f>Data!D63</f>
        <v>5.5104850000000001E-10</v>
      </c>
      <c r="D92" s="2">
        <f t="shared" si="8"/>
        <v>9.933681544727162E-15</v>
      </c>
      <c r="E92" s="3">
        <f t="shared" si="9"/>
        <v>8.9105274110710009E-5</v>
      </c>
    </row>
    <row r="93" spans="1:6" x14ac:dyDescent="0.15">
      <c r="B93" s="2">
        <f>Data!C64</f>
        <v>7.8448230000000003E-8</v>
      </c>
      <c r="C93" s="2">
        <f>Data!D64</f>
        <v>5.4988670000000003E-10</v>
      </c>
      <c r="D93" s="2">
        <f t="shared" si="8"/>
        <v>-1.6281859513870589E-12</v>
      </c>
      <c r="E93" s="3">
        <f t="shared" si="9"/>
        <v>-1.4604852677058093E-2</v>
      </c>
    </row>
    <row r="94" spans="1:6" x14ac:dyDescent="0.15">
      <c r="A94" t="str">
        <f>'30N2'!A94</f>
        <v>051321-LS-SB-5m-To</v>
      </c>
      <c r="B94" s="2">
        <f>Data!C65</f>
        <v>7.7816910000000006E-8</v>
      </c>
      <c r="C94" s="2">
        <f>Data!D65</f>
        <v>5.4661640000000001E-10</v>
      </c>
      <c r="D94" s="2">
        <f t="shared" si="8"/>
        <v>-4.8212362707357543E-13</v>
      </c>
      <c r="E94" s="3">
        <f t="shared" si="9"/>
        <v>-4.3246562467511235E-3</v>
      </c>
      <c r="F94" s="3">
        <f>AVERAGE(E94:E96)</f>
        <v>-5.1665220303068566E-3</v>
      </c>
    </row>
    <row r="95" spans="1:6" x14ac:dyDescent="0.15">
      <c r="B95" s="2">
        <f>Data!C66</f>
        <v>7.7850420000000001E-8</v>
      </c>
      <c r="C95" s="2">
        <f>Data!D66</f>
        <v>5.4748819999999998E-10</v>
      </c>
      <c r="D95" s="2">
        <f t="shared" si="8"/>
        <v>1.5525911782956405E-13</v>
      </c>
      <c r="E95" s="3">
        <f t="shared" si="9"/>
        <v>1.392676641595551E-3</v>
      </c>
    </row>
    <row r="96" spans="1:6" x14ac:dyDescent="0.15">
      <c r="B96" s="2">
        <f>Data!C67</f>
        <v>7.7827279999999996E-8</v>
      </c>
      <c r="C96" s="2">
        <f>Data!D67</f>
        <v>5.4576999999999997E-10</v>
      </c>
      <c r="D96" s="2">
        <f t="shared" si="8"/>
        <v>-1.4010663586567744E-12</v>
      </c>
      <c r="E96" s="3">
        <f t="shared" si="9"/>
        <v>-1.2567586485764996E-2</v>
      </c>
    </row>
    <row r="97" spans="1:6" x14ac:dyDescent="0.15">
      <c r="A97" t="str">
        <f>'30N2'!A97</f>
        <v>051321-LS-SB-33m-To</v>
      </c>
      <c r="B97" s="2">
        <f>Data!C68</f>
        <v>7.973656E-8</v>
      </c>
      <c r="C97" s="2">
        <f>Data!D68</f>
        <v>5.6159940000000002E-10</v>
      </c>
      <c r="D97" s="2">
        <f t="shared" si="8"/>
        <v>1.0720764998532102E-12</v>
      </c>
      <c r="E97" s="3">
        <f t="shared" si="9"/>
        <v>9.6165424628271209E-3</v>
      </c>
      <c r="F97" s="3">
        <f>AVERAGE(E97:E99)</f>
        <v>1.4917107068296905E-3</v>
      </c>
    </row>
    <row r="98" spans="1:6" x14ac:dyDescent="0.15">
      <c r="B98" s="2">
        <f>Data!C69</f>
        <v>7.9680119999999995E-8</v>
      </c>
      <c r="C98" s="2">
        <f>Data!D69</f>
        <v>5.608533E-10</v>
      </c>
      <c r="D98" s="2">
        <f t="shared" si="8"/>
        <v>7.2079923568337716E-13</v>
      </c>
      <c r="E98" s="3">
        <f t="shared" si="9"/>
        <v>6.4655800757423667E-3</v>
      </c>
    </row>
    <row r="99" spans="1:6" x14ac:dyDescent="0.15">
      <c r="B99" s="2">
        <f>Data!C70</f>
        <v>7.9751220000000001E-8</v>
      </c>
      <c r="C99" s="2">
        <f>Data!D70</f>
        <v>5.5933589999999999E-10</v>
      </c>
      <c r="D99" s="2">
        <f t="shared" si="8"/>
        <v>-1.2939766771005527E-12</v>
      </c>
      <c r="E99" s="3">
        <f t="shared" si="9"/>
        <v>-1.1606990418080417E-2</v>
      </c>
    </row>
    <row r="100" spans="1:6" x14ac:dyDescent="0.15">
      <c r="A100" t="str">
        <f>'30N2'!A100</f>
        <v>051321-LS-SB-33m-To</v>
      </c>
      <c r="B100" s="2">
        <f>Data!C71</f>
        <v>7.9563210000000003E-8</v>
      </c>
      <c r="C100" s="2">
        <f>Data!D71</f>
        <v>5.5786240000000002E-10</v>
      </c>
      <c r="D100" s="2">
        <f t="shared" si="8"/>
        <v>-1.4522636621569428E-12</v>
      </c>
      <c r="E100" s="3">
        <f t="shared" si="9"/>
        <v>-1.3026827074621323E-2</v>
      </c>
      <c r="F100" s="3">
        <f>AVERAGE(E100:E102)</f>
        <v>3.4579515417599363E-3</v>
      </c>
    </row>
    <row r="101" spans="1:6" x14ac:dyDescent="0.15">
      <c r="B101" s="2">
        <f>Data!C72</f>
        <v>7.9616099999999995E-8</v>
      </c>
      <c r="C101" s="2">
        <f>Data!D72</f>
        <v>5.612341E-10</v>
      </c>
      <c r="D101" s="2">
        <f t="shared" si="8"/>
        <v>1.5494474204431433E-12</v>
      </c>
      <c r="E101" s="3">
        <f t="shared" si="9"/>
        <v>1.3898566860340286E-2</v>
      </c>
    </row>
    <row r="102" spans="1:6" x14ac:dyDescent="0.15">
      <c r="B102" s="2">
        <f>Data!C73</f>
        <v>7.9618820000000002E-8</v>
      </c>
      <c r="C102" s="2">
        <f>Data!D73</f>
        <v>5.6076299999999996E-10</v>
      </c>
      <c r="D102" s="2">
        <f t="shared" si="8"/>
        <v>1.0593198187163013E-12</v>
      </c>
      <c r="E102" s="3">
        <f t="shared" si="9"/>
        <v>9.5021148395608452E-3</v>
      </c>
    </row>
    <row r="103" spans="1:6" x14ac:dyDescent="0.15">
      <c r="A103" t="str">
        <f>'30N2'!A103</f>
        <v>051421-LS-SB-5m-Tf</v>
      </c>
      <c r="B103" s="2">
        <f>Data!C74</f>
        <v>7.7284989999999997E-8</v>
      </c>
      <c r="C103" s="2">
        <f>Data!D74</f>
        <v>5.44725E-10</v>
      </c>
      <c r="D103" s="2">
        <f t="shared" ref="D103:D114" si="10">C103-(B103*H$22+H$21)</f>
        <v>1.3474917811963302E-12</v>
      </c>
      <c r="E103" s="3">
        <f t="shared" ref="E103:E114" si="11">A$1*D103/A$2</f>
        <v>1.2087021713431189E-2</v>
      </c>
      <c r="F103" s="3">
        <f>AVERAGE(E103:E105)</f>
        <v>7.7894417208296057E-4</v>
      </c>
    </row>
    <row r="104" spans="1:6" x14ac:dyDescent="0.15">
      <c r="B104" s="2">
        <f>Data!C75</f>
        <v>7.7377630000000001E-8</v>
      </c>
      <c r="C104" s="2">
        <f>Data!D75</f>
        <v>5.433844E-10</v>
      </c>
      <c r="D104" s="2">
        <f t="shared" si="10"/>
        <v>-6.4116594820305985E-13</v>
      </c>
      <c r="E104" s="3">
        <f t="shared" si="11"/>
        <v>-5.7512682793231336E-3</v>
      </c>
    </row>
    <row r="105" spans="1:6" x14ac:dyDescent="0.15">
      <c r="B105" s="2">
        <f>Data!C76</f>
        <v>7.7269279999999999E-8</v>
      </c>
      <c r="C105" s="2">
        <f>Data!D76</f>
        <v>5.4282180000000005E-10</v>
      </c>
      <c r="D105" s="2">
        <f t="shared" si="10"/>
        <v>-4.4580982794806806E-13</v>
      </c>
      <c r="E105" s="3">
        <f t="shared" si="11"/>
        <v>-3.9989209178591736E-3</v>
      </c>
    </row>
    <row r="106" spans="1:6" x14ac:dyDescent="0.15">
      <c r="A106" t="str">
        <f>'30N2'!A106</f>
        <v>051421-LS-SB-5m-Tf</v>
      </c>
      <c r="B106" s="2">
        <f>Data!C77</f>
        <v>7.7266950000000004E-8</v>
      </c>
      <c r="C106" s="2">
        <f>Data!D77</f>
        <v>5.4160099999999998E-10</v>
      </c>
      <c r="D106" s="2">
        <f t="shared" si="10"/>
        <v>-1.6503104485277529E-12</v>
      </c>
      <c r="E106" s="3">
        <f t="shared" si="11"/>
        <v>-1.4803309751950895E-2</v>
      </c>
      <c r="F106" s="3">
        <f>AVERAGE(E106:E108)</f>
        <v>-7.397692736075095E-3</v>
      </c>
    </row>
    <row r="107" spans="1:6" x14ac:dyDescent="0.15">
      <c r="B107" s="2">
        <f>Data!C78</f>
        <v>7.7220899999999995E-8</v>
      </c>
      <c r="C107" s="2">
        <f>Data!D78</f>
        <v>5.4290039999999998E-10</v>
      </c>
      <c r="D107" s="2">
        <f t="shared" si="10"/>
        <v>-2.8770353117044232E-14</v>
      </c>
      <c r="E107" s="3">
        <f t="shared" si="11"/>
        <v>-2.5807050379191097E-4</v>
      </c>
    </row>
    <row r="108" spans="1:6" x14ac:dyDescent="0.15">
      <c r="B108" s="2">
        <f>Data!C79</f>
        <v>7.721884E-8</v>
      </c>
      <c r="C108" s="2">
        <f>Data!D79</f>
        <v>5.4211969999999999E-10</v>
      </c>
      <c r="D108" s="2">
        <f t="shared" si="10"/>
        <v>-7.9505974298583748E-13</v>
      </c>
      <c r="E108" s="3">
        <f t="shared" si="11"/>
        <v>-7.1316979524824803E-3</v>
      </c>
    </row>
    <row r="109" spans="1:6" x14ac:dyDescent="0.15">
      <c r="A109" t="str">
        <f>'30N2'!A109</f>
        <v>051421-LS-SB-33m-Tf</v>
      </c>
      <c r="B109" s="2">
        <f>Data!C80</f>
        <v>7.9222400000000001E-8</v>
      </c>
      <c r="C109" s="2">
        <f>Data!D80</f>
        <v>5.5637479999999999E-10</v>
      </c>
      <c r="D109" s="2">
        <f t="shared" si="10"/>
        <v>-5.5574713844573915E-13</v>
      </c>
      <c r="E109" s="3">
        <f t="shared" si="11"/>
        <v>-4.9850602603357776E-3</v>
      </c>
      <c r="F109" s="3">
        <f>AVERAGE(E109:E111)</f>
        <v>2.3062095950431046E-4</v>
      </c>
    </row>
    <row r="110" spans="1:6" x14ac:dyDescent="0.15">
      <c r="B110" s="2">
        <f>Data!C81</f>
        <v>7.9114089999999998E-8</v>
      </c>
      <c r="C110" s="2">
        <f>Data!D81</f>
        <v>5.5659520000000004E-10</v>
      </c>
      <c r="D110" s="2">
        <f t="shared" si="10"/>
        <v>4.2232916413680646E-13</v>
      </c>
      <c r="E110" s="3">
        <f t="shared" si="11"/>
        <v>3.788299007363717E-3</v>
      </c>
    </row>
    <row r="111" spans="1:6" x14ac:dyDescent="0.15">
      <c r="B111" s="2">
        <f>Data!C82</f>
        <v>7.9116160000000003E-8</v>
      </c>
      <c r="C111" s="2">
        <f>Data!D82</f>
        <v>5.5639790000000001E-10</v>
      </c>
      <c r="D111" s="2">
        <f t="shared" si="10"/>
        <v>2.1054859958737112E-13</v>
      </c>
      <c r="E111" s="3">
        <f t="shared" si="11"/>
        <v>1.8886241314849919E-3</v>
      </c>
    </row>
    <row r="112" spans="1:6" x14ac:dyDescent="0.15">
      <c r="A112" t="str">
        <f>'30N2'!A112</f>
        <v>051421-LS-SB-33m-Tf</v>
      </c>
      <c r="B112" s="2">
        <f>Data!C83</f>
        <v>7.9188459999999995E-8</v>
      </c>
      <c r="C112" s="2">
        <f>Data!D83</f>
        <v>5.5588290000000004E-10</v>
      </c>
      <c r="D112" s="2">
        <f t="shared" si="10"/>
        <v>-8.1022184336999756E-13</v>
      </c>
      <c r="E112" s="3">
        <f t="shared" si="11"/>
        <v>-7.2677022228772583E-3</v>
      </c>
      <c r="F112" s="3">
        <f>AVERAGE(E112:E114)</f>
        <v>2.2238993176543556E-4</v>
      </c>
    </row>
    <row r="113" spans="1:6" x14ac:dyDescent="0.15">
      <c r="B113" s="2">
        <f>Data!C84</f>
        <v>7.9183479999999996E-8</v>
      </c>
      <c r="C113" s="2">
        <f>Data!D84</f>
        <v>5.5629239999999999E-10</v>
      </c>
      <c r="D113" s="2">
        <f t="shared" si="10"/>
        <v>-3.6588454314974117E-13</v>
      </c>
      <c r="E113" s="3">
        <f t="shared" si="11"/>
        <v>-3.2819899010689542E-3</v>
      </c>
    </row>
    <row r="114" spans="1:6" x14ac:dyDescent="0.15">
      <c r="B114" s="2">
        <f>Data!C85</f>
        <v>7.9099830000000006E-8</v>
      </c>
      <c r="C114" s="2">
        <f>Data!D85</f>
        <v>5.573236E-10</v>
      </c>
      <c r="D114" s="2">
        <f t="shared" si="10"/>
        <v>1.2504841643659742E-12</v>
      </c>
      <c r="E114" s="3">
        <f t="shared" si="11"/>
        <v>1.1216861919242519E-2</v>
      </c>
    </row>
    <row r="115" spans="1:6" x14ac:dyDescent="0.15">
      <c r="A115" t="str">
        <f>'30N2'!A115</f>
        <v>051421-LS-WM-C-IN-To</v>
      </c>
      <c r="B115" s="2">
        <f>Data!C98</f>
        <v>5.6094949999999998E-8</v>
      </c>
      <c r="C115" s="2">
        <f>Data!D98</f>
        <v>3.951298E-10</v>
      </c>
      <c r="D115" s="2">
        <f t="shared" ref="D115:D132" si="12">C115-(B115*H$22+H$21)</f>
        <v>-1.4016419560249792E-14</v>
      </c>
      <c r="E115" s="3">
        <f t="shared" ref="E115:E132" si="13">A$1*D115/A$2</f>
        <v>-1.2572749602887321E-4</v>
      </c>
      <c r="F115" s="3">
        <f>AVERAGE(E115:E117)</f>
        <v>-1.0086873349299497E-3</v>
      </c>
    </row>
    <row r="116" spans="1:6" x14ac:dyDescent="0.15">
      <c r="B116" s="2">
        <f>Data!C99</f>
        <v>5.6134619999999997E-8</v>
      </c>
      <c r="C116" s="2">
        <f>Data!D99</f>
        <v>3.9448689999999999E-10</v>
      </c>
      <c r="D116" s="2">
        <f t="shared" si="12"/>
        <v>-9.3442559621475606E-13</v>
      </c>
      <c r="E116" s="3">
        <f t="shared" si="13"/>
        <v>-8.3818117695725215E-3</v>
      </c>
    </row>
    <row r="117" spans="1:6" x14ac:dyDescent="0.15">
      <c r="B117" s="2">
        <f>Data!C100</f>
        <v>5.61071E-8</v>
      </c>
      <c r="C117" s="2">
        <f>Data!D100</f>
        <v>3.9583990000000002E-10</v>
      </c>
      <c r="D117" s="2">
        <f t="shared" si="12"/>
        <v>6.1108896243236484E-13</v>
      </c>
      <c r="E117" s="3">
        <f t="shared" si="13"/>
        <v>5.4814772608115453E-3</v>
      </c>
    </row>
    <row r="118" spans="1:6" x14ac:dyDescent="0.15">
      <c r="A118" t="str">
        <f>'30N2'!A118</f>
        <v>051421-LS-WM-C-IN-To</v>
      </c>
      <c r="B118" s="2">
        <f>Data!C101</f>
        <v>5.5950799999999998E-8</v>
      </c>
      <c r="C118" s="2">
        <f>Data!D101</f>
        <v>3.9482629999999998E-10</v>
      </c>
      <c r="D118" s="2">
        <f t="shared" si="12"/>
        <v>6.908765175394456E-13</v>
      </c>
      <c r="E118" s="3">
        <f t="shared" si="13"/>
        <v>6.1971728401824747E-3</v>
      </c>
      <c r="F118" s="3">
        <f>AVERAGE(E118:E120)</f>
        <v>7.7754837943277424E-4</v>
      </c>
    </row>
    <row r="119" spans="1:6" x14ac:dyDescent="0.15">
      <c r="B119" s="2">
        <f>Data!C102</f>
        <v>5.5928140000000001E-8</v>
      </c>
      <c r="C119" s="2">
        <f>Data!D102</f>
        <v>3.9403710000000002E-10</v>
      </c>
      <c r="D119" s="2">
        <f t="shared" si="12"/>
        <v>6.0193228983651962E-14</v>
      </c>
      <c r="E119" s="3">
        <f t="shared" si="13"/>
        <v>5.3993417687564472E-4</v>
      </c>
    </row>
    <row r="120" spans="1:6" x14ac:dyDescent="0.15">
      <c r="B120" s="2">
        <f>Data!C103</f>
        <v>5.5905370000000002E-8</v>
      </c>
      <c r="C120" s="2">
        <f>Data!D103</f>
        <v>3.9332659999999998E-10</v>
      </c>
      <c r="D120" s="2">
        <f t="shared" si="12"/>
        <v>-4.9102056097296358E-13</v>
      </c>
      <c r="E120" s="3">
        <f t="shared" si="13"/>
        <v>-4.4044618787597968E-3</v>
      </c>
    </row>
    <row r="121" spans="1:6" x14ac:dyDescent="0.15">
      <c r="A121" t="str">
        <f>'30N2'!A121</f>
        <v>051521-LS-WM-C-IN-T1</v>
      </c>
      <c r="B121" s="2">
        <f>Data!C104</f>
        <v>5.5749010000000002E-8</v>
      </c>
      <c r="C121" s="2">
        <f>Data!D104</f>
        <v>3.9232739999999998E-10</v>
      </c>
      <c r="D121" s="2">
        <f t="shared" si="12"/>
        <v>-3.9641327935717852E-13</v>
      </c>
      <c r="E121" s="3">
        <f t="shared" si="13"/>
        <v>-3.5558331278493813E-3</v>
      </c>
      <c r="F121" s="3">
        <f>AVERAGE(E121:E123)</f>
        <v>-1.2673118948440729E-3</v>
      </c>
    </row>
    <row r="122" spans="1:6" x14ac:dyDescent="0.15">
      <c r="B122" s="2">
        <f>Data!C105</f>
        <v>5.5797949999999998E-8</v>
      </c>
      <c r="C122" s="2">
        <f>Data!D105</f>
        <v>3.9207940000000002E-10</v>
      </c>
      <c r="D122" s="2">
        <f t="shared" si="12"/>
        <v>-9.8677020160242127E-13</v>
      </c>
      <c r="E122" s="3">
        <f t="shared" si="13"/>
        <v>-8.8513436737597088E-3</v>
      </c>
    </row>
    <row r="123" spans="1:6" x14ac:dyDescent="0.15">
      <c r="B123" s="2">
        <f>Data!C106</f>
        <v>5.5801079999999997E-8</v>
      </c>
      <c r="C123" s="2">
        <f>Data!D106</f>
        <v>3.940474E-10</v>
      </c>
      <c r="D123" s="2">
        <f t="shared" si="12"/>
        <v>9.593340655282198E-13</v>
      </c>
      <c r="E123" s="3">
        <f t="shared" si="13"/>
        <v>8.6052411170768721E-3</v>
      </c>
    </row>
    <row r="124" spans="1:6" x14ac:dyDescent="0.15">
      <c r="A124" t="str">
        <f>'30N2'!A124</f>
        <v>051521-LS-WM-C-IN-T1</v>
      </c>
      <c r="B124" s="2">
        <f>Data!C107</f>
        <v>5.5856090000000003E-8</v>
      </c>
      <c r="C124" s="2">
        <f>Data!D107</f>
        <v>3.9335499999999998E-10</v>
      </c>
      <c r="D124" s="2">
        <f t="shared" si="12"/>
        <v>-1.1788518851180796E-13</v>
      </c>
      <c r="E124" s="3">
        <f t="shared" si="13"/>
        <v>-1.0574319288011642E-3</v>
      </c>
      <c r="F124" s="3">
        <f>AVERAGE(E124:E126)</f>
        <v>-2.0825770920287826E-3</v>
      </c>
    </row>
    <row r="125" spans="1:6" x14ac:dyDescent="0.15">
      <c r="B125" s="2">
        <f>Data!C108</f>
        <v>5.5842329999999997E-8</v>
      </c>
      <c r="C125" s="2">
        <f>Data!D108</f>
        <v>3.9241709999999998E-10</v>
      </c>
      <c r="D125" s="2">
        <f t="shared" si="12"/>
        <v>-9.5952790918818457E-13</v>
      </c>
      <c r="E125" s="3">
        <f t="shared" si="13"/>
        <v>-8.6069798976465932E-3</v>
      </c>
    </row>
    <row r="126" spans="1:6" x14ac:dyDescent="0.15">
      <c r="B126" s="2">
        <f>Data!C109</f>
        <v>5.5822170000000003E-8</v>
      </c>
      <c r="C126" s="2">
        <f>Data!D109</f>
        <v>3.936165E-10</v>
      </c>
      <c r="D126" s="2">
        <f t="shared" si="12"/>
        <v>3.8090019772773388E-13</v>
      </c>
      <c r="E126" s="3">
        <f t="shared" si="13"/>
        <v>3.4166805503614093E-3</v>
      </c>
    </row>
    <row r="127" spans="1:6" x14ac:dyDescent="0.15">
      <c r="A127" t="str">
        <f>'30N2'!A127</f>
        <v>051621-LS-WM-C-IN-T2</v>
      </c>
      <c r="B127" s="2">
        <f>Data!C110</f>
        <v>5.592471E-8</v>
      </c>
      <c r="C127" s="2">
        <f>Data!D110</f>
        <v>3.9447389999999999E-10</v>
      </c>
      <c r="D127" s="2">
        <f t="shared" si="12"/>
        <v>5.2098759439642328E-13</v>
      </c>
      <c r="E127" s="3">
        <f t="shared" si="13"/>
        <v>4.6732666230491441E-3</v>
      </c>
      <c r="F127" s="3">
        <f>AVERAGE(E127:E129)</f>
        <v>2.7584634771340836E-3</v>
      </c>
    </row>
    <row r="128" spans="1:6" x14ac:dyDescent="0.15">
      <c r="B128" s="2">
        <f>Data!C111</f>
        <v>5.5922000000000003E-8</v>
      </c>
      <c r="C128" s="2">
        <f>Data!D111</f>
        <v>3.9393239999999999E-10</v>
      </c>
      <c r="D128" s="2">
        <f t="shared" si="12"/>
        <v>-1.5547582949292608E-15</v>
      </c>
      <c r="E128" s="3">
        <f t="shared" si="13"/>
        <v>-1.3946205485025639E-5</v>
      </c>
    </row>
    <row r="129" spans="1:6" x14ac:dyDescent="0.15">
      <c r="B129" s="2">
        <f>Data!C112</f>
        <v>5.5885449999999998E-8</v>
      </c>
      <c r="C129" s="2">
        <f>Data!D112</f>
        <v>3.9408139999999998E-10</v>
      </c>
      <c r="D129" s="2">
        <f t="shared" si="12"/>
        <v>4.0312863990828157E-13</v>
      </c>
      <c r="E129" s="3">
        <f t="shared" si="13"/>
        <v>3.6160700138381319E-3</v>
      </c>
    </row>
    <row r="130" spans="1:6" x14ac:dyDescent="0.15">
      <c r="A130" t="str">
        <f>'30N2'!A130</f>
        <v>051621-LS-WM-C-IN-T2</v>
      </c>
      <c r="B130" s="2">
        <f>Data!C113</f>
        <v>5.5784749999999999E-8</v>
      </c>
      <c r="C130" s="2">
        <f>Data!D113</f>
        <v>3.9239199999999999E-10</v>
      </c>
      <c r="D130" s="2">
        <f t="shared" si="12"/>
        <v>-5.8183036969322315E-13</v>
      </c>
      <c r="E130" s="3">
        <f t="shared" si="13"/>
        <v>-5.2190272402047634E-3</v>
      </c>
      <c r="F130" s="3">
        <f>AVERAGE(E130:E132)</f>
        <v>-4.6435533524276443E-3</v>
      </c>
    </row>
    <row r="131" spans="1:6" x14ac:dyDescent="0.15">
      <c r="B131" s="2">
        <f>Data!C114</f>
        <v>5.5813820000000002E-8</v>
      </c>
      <c r="C131" s="2">
        <f>Data!D114</f>
        <v>3.929874E-10</v>
      </c>
      <c r="D131" s="2">
        <f t="shared" si="12"/>
        <v>-1.8978786314786147E-13</v>
      </c>
      <c r="E131" s="3">
        <f t="shared" si="13"/>
        <v>-1.7024000107646491E-3</v>
      </c>
    </row>
    <row r="132" spans="1:6" x14ac:dyDescent="0.15">
      <c r="B132" s="2">
        <f>Data!C115</f>
        <v>5.5833750000000002E-8</v>
      </c>
      <c r="C132" s="2">
        <f>Data!D115</f>
        <v>3.9253519999999999E-10</v>
      </c>
      <c r="D132" s="2">
        <f t="shared" si="12"/>
        <v>-7.8140701844722695E-13</v>
      </c>
      <c r="E132" s="3">
        <f t="shared" si="13"/>
        <v>-7.0092328063135209E-3</v>
      </c>
    </row>
    <row r="133" spans="1:6" x14ac:dyDescent="0.15">
      <c r="A133" t="str">
        <f>'30N2'!A133</f>
        <v>051421-LS-SB-C-IN-To</v>
      </c>
      <c r="B133" s="2">
        <f>Data!C116</f>
        <v>5.5450149999999998E-8</v>
      </c>
      <c r="C133" s="2">
        <f>Data!D116</f>
        <v>3.9221900000000001E-10</v>
      </c>
      <c r="D133" s="2">
        <f t="shared" ref="D133:D174" si="14">C133-(B133*H$22+H$21)</f>
        <v>1.5858444603697443E-12</v>
      </c>
      <c r="E133" s="3">
        <f t="shared" ref="E133:E174" si="15">A$1*D133/A$2</f>
        <v>1.4225048860480479E-2</v>
      </c>
      <c r="F133" s="3">
        <f>AVERAGE(E133:E135)</f>
        <v>2.0557911864079337E-4</v>
      </c>
    </row>
    <row r="134" spans="1:6" x14ac:dyDescent="0.15">
      <c r="B134" s="2">
        <f>Data!C117</f>
        <v>5.5466600000000001E-8</v>
      </c>
      <c r="C134" s="2">
        <f>Data!D117</f>
        <v>3.8996749999999998E-10</v>
      </c>
      <c r="D134" s="2">
        <f t="shared" si="14"/>
        <v>-7.8073055742627846E-13</v>
      </c>
      <c r="E134" s="3">
        <f t="shared" si="15"/>
        <v>-7.0031649406963855E-3</v>
      </c>
    </row>
    <row r="135" spans="1:6" x14ac:dyDescent="0.15">
      <c r="B135" s="2">
        <f>Data!C118</f>
        <v>5.5495580000000001E-8</v>
      </c>
      <c r="C135" s="2">
        <f>Data!D118</f>
        <v>3.9021460000000001E-10</v>
      </c>
      <c r="D135" s="2">
        <f t="shared" si="14"/>
        <v>-7.3635846111790057E-13</v>
      </c>
      <c r="E135" s="3">
        <f t="shared" si="15"/>
        <v>-6.6051465638617135E-3</v>
      </c>
    </row>
    <row r="136" spans="1:6" x14ac:dyDescent="0.15">
      <c r="A136" t="str">
        <f>'30N2'!A136</f>
        <v>051421-LS-SB-C-IN-To</v>
      </c>
      <c r="B136" s="2">
        <f>Data!C119</f>
        <v>5.5461140000000001E-8</v>
      </c>
      <c r="C136" s="2">
        <f>Data!D119</f>
        <v>3.9074109999999998E-10</v>
      </c>
      <c r="D136" s="2">
        <f t="shared" si="14"/>
        <v>3.1064554863441806E-14</v>
      </c>
      <c r="E136" s="3">
        <f t="shared" si="15"/>
        <v>2.7864952825102854E-4</v>
      </c>
      <c r="F136" s="3">
        <f>AVERAGE(E136:E138)</f>
        <v>2.2486845981346663E-3</v>
      </c>
    </row>
    <row r="137" spans="1:6" x14ac:dyDescent="0.15">
      <c r="B137" s="2">
        <f>Data!C120</f>
        <v>5.5442230000000002E-8</v>
      </c>
      <c r="C137" s="2">
        <f>Data!D120</f>
        <v>3.9133870000000001E-10</v>
      </c>
      <c r="D137" s="2">
        <f t="shared" si="14"/>
        <v>7.6094835951529664E-13</v>
      </c>
      <c r="E137" s="3">
        <f t="shared" si="15"/>
        <v>6.8257183254174809E-3</v>
      </c>
    </row>
    <row r="138" spans="1:6" x14ac:dyDescent="0.15">
      <c r="B138" s="2">
        <f>Data!C121</f>
        <v>5.5540050000000002E-8</v>
      </c>
      <c r="C138" s="2">
        <f>Data!D121</f>
        <v>3.9122210000000002E-10</v>
      </c>
      <c r="D138" s="2">
        <f t="shared" si="14"/>
        <v>-3.9945758466662107E-14</v>
      </c>
      <c r="E138" s="3">
        <f t="shared" si="15"/>
        <v>-3.5831405926451049E-4</v>
      </c>
    </row>
    <row r="139" spans="1:6" x14ac:dyDescent="0.15">
      <c r="A139" t="str">
        <f>'30N2'!A139</f>
        <v>051521-LS-SB-C-IN-T1</v>
      </c>
      <c r="B139" s="2">
        <f>Data!C122</f>
        <v>5.3338229999999998E-8</v>
      </c>
      <c r="C139" s="2">
        <f>Data!D122</f>
        <v>3.7569760000000002E-10</v>
      </c>
      <c r="D139" s="2">
        <f t="shared" si="14"/>
        <v>-1.6174206949719477E-13</v>
      </c>
      <c r="E139" s="3">
        <f t="shared" si="15"/>
        <v>-1.4508288163748348E-3</v>
      </c>
      <c r="F139" s="3">
        <f>AVERAGE(E139:E141)</f>
        <v>1.1851895833110548E-4</v>
      </c>
    </row>
    <row r="140" spans="1:6" x14ac:dyDescent="0.15">
      <c r="B140" s="2">
        <f>Data!C123</f>
        <v>5.333095E-8</v>
      </c>
      <c r="C140" s="2">
        <f>Data!D123</f>
        <v>3.7579910000000001E-10</v>
      </c>
      <c r="D140" s="2">
        <f t="shared" si="14"/>
        <v>-9.3152531108896547E-15</v>
      </c>
      <c r="E140" s="3">
        <f t="shared" si="15"/>
        <v>-8.3557961680083697E-5</v>
      </c>
    </row>
    <row r="141" spans="1:6" x14ac:dyDescent="0.15">
      <c r="B141" s="2">
        <f>Data!C124</f>
        <v>5.3388199999999999E-8</v>
      </c>
      <c r="C141" s="2">
        <f>Data!D124</f>
        <v>3.7641960000000001E-10</v>
      </c>
      <c r="D141" s="2">
        <f t="shared" si="14"/>
        <v>2.1069570319186001E-13</v>
      </c>
      <c r="E141" s="3">
        <f t="shared" si="15"/>
        <v>1.8899436530482349E-3</v>
      </c>
    </row>
    <row r="142" spans="1:6" x14ac:dyDescent="0.15">
      <c r="A142" t="str">
        <f>'30N2'!A142</f>
        <v>051521-LS-SB-C-IN-T1</v>
      </c>
      <c r="B142" s="2">
        <f>Data!C125</f>
        <v>5.4979679999999997E-8</v>
      </c>
      <c r="C142" s="2">
        <f>Data!D125</f>
        <v>3.868923E-10</v>
      </c>
      <c r="D142" s="2">
        <f t="shared" si="14"/>
        <v>-4.4971003066517152E-13</v>
      </c>
      <c r="E142" s="3">
        <f t="shared" si="15"/>
        <v>-4.0339057953821811E-3</v>
      </c>
      <c r="F142" s="3">
        <f>AVERAGE(E142:E144)</f>
        <v>-7.0112547017379576E-4</v>
      </c>
    </row>
    <row r="143" spans="1:6" x14ac:dyDescent="0.15">
      <c r="B143" s="2">
        <f>Data!C126</f>
        <v>5.4971789999999997E-8</v>
      </c>
      <c r="C143" s="2">
        <f>Data!D126</f>
        <v>3.8819400000000001E-10</v>
      </c>
      <c r="D143" s="2">
        <f t="shared" si="14"/>
        <v>9.0718400522605245E-13</v>
      </c>
      <c r="E143" s="3">
        <f t="shared" si="15"/>
        <v>8.1374542852570789E-3</v>
      </c>
    </row>
    <row r="144" spans="1:6" x14ac:dyDescent="0.15">
      <c r="B144" s="2">
        <f>Data!C127</f>
        <v>5.4987649999999997E-8</v>
      </c>
      <c r="C144" s="2">
        <f>Data!D127</f>
        <v>3.8670580000000001E-10</v>
      </c>
      <c r="D144" s="2">
        <f t="shared" si="14"/>
        <v>-6.9196370190126729E-13</v>
      </c>
      <c r="E144" s="3">
        <f t="shared" si="15"/>
        <v>-6.2069249003962853E-3</v>
      </c>
    </row>
    <row r="145" spans="1:6" x14ac:dyDescent="0.15">
      <c r="A145" t="str">
        <f>'30N2'!A145</f>
        <v>051621-LS-SB-C-IN-T2</v>
      </c>
      <c r="B145" s="2">
        <f>Data!C128</f>
        <v>5.510412E-8</v>
      </c>
      <c r="C145" s="2">
        <f>Data!D128</f>
        <v>3.8812250000000002E-10</v>
      </c>
      <c r="D145" s="2">
        <f t="shared" si="14"/>
        <v>-9.0022809664103017E-14</v>
      </c>
      <c r="E145" s="3">
        <f t="shared" si="15"/>
        <v>-8.0750596797559131E-4</v>
      </c>
      <c r="F145" s="3">
        <f>AVERAGE(E145:E147)</f>
        <v>-1.2522538580764578E-4</v>
      </c>
    </row>
    <row r="146" spans="1:6" x14ac:dyDescent="0.15">
      <c r="B146" s="2">
        <f>Data!C129</f>
        <v>5.5073610000000002E-8</v>
      </c>
      <c r="C146" s="2">
        <f>Data!D129</f>
        <v>3.8813820000000001E-10</v>
      </c>
      <c r="D146" s="2">
        <f t="shared" si="14"/>
        <v>1.3910811999882111E-13</v>
      </c>
      <c r="E146" s="3">
        <f t="shared" si="15"/>
        <v>1.2478019461072774E-3</v>
      </c>
    </row>
    <row r="147" spans="1:6" x14ac:dyDescent="0.15">
      <c r="B147" s="2">
        <f>Data!C130</f>
        <v>5.5160320000000002E-8</v>
      </c>
      <c r="C147" s="2">
        <f>Data!D130</f>
        <v>3.8851469999999998E-10</v>
      </c>
      <c r="D147" s="2">
        <f t="shared" si="14"/>
        <v>-9.0966639459519021E-14</v>
      </c>
      <c r="E147" s="3">
        <f t="shared" si="15"/>
        <v>-8.1597213555462339E-4</v>
      </c>
    </row>
    <row r="148" spans="1:6" x14ac:dyDescent="0.15">
      <c r="A148" t="str">
        <f>'30N2'!A148</f>
        <v>051621-LS-SB-C-IN-T2</v>
      </c>
      <c r="B148" s="2">
        <f>Data!C131</f>
        <v>5.5094999999999998E-8</v>
      </c>
      <c r="C148" s="2">
        <f>Data!D131</f>
        <v>3.8878010000000001E-10</v>
      </c>
      <c r="D148" s="2">
        <f t="shared" si="14"/>
        <v>6.3137561965500807E-13</v>
      </c>
      <c r="E148" s="3">
        <f t="shared" si="15"/>
        <v>5.6634488837666967E-3</v>
      </c>
      <c r="F148" s="3">
        <f>AVERAGE(E148:E150)</f>
        <v>2.8090968056568039E-3</v>
      </c>
    </row>
    <row r="149" spans="1:6" x14ac:dyDescent="0.15">
      <c r="B149" s="2">
        <f>Data!C132</f>
        <v>5.5058029999999999E-8</v>
      </c>
      <c r="C149" s="2">
        <f>Data!D132</f>
        <v>3.8807450000000002E-10</v>
      </c>
      <c r="D149" s="2">
        <f t="shared" si="14"/>
        <v>1.8439710341899742E-13</v>
      </c>
      <c r="E149" s="3">
        <f t="shared" si="15"/>
        <v>1.6540448142403174E-3</v>
      </c>
    </row>
    <row r="150" spans="1:6" x14ac:dyDescent="0.15">
      <c r="B150" s="2">
        <f>Data!C133</f>
        <v>5.5092219999999999E-8</v>
      </c>
      <c r="C150" s="2">
        <f>Data!D133</f>
        <v>3.88253E-10</v>
      </c>
      <c r="D150" s="2">
        <f t="shared" si="14"/>
        <v>1.2372294789047041E-13</v>
      </c>
      <c r="E150" s="3">
        <f t="shared" si="15"/>
        <v>1.1097967189633974E-3</v>
      </c>
    </row>
    <row r="151" spans="1:6" x14ac:dyDescent="0.15">
      <c r="A151" t="str">
        <f>'30N2'!A151</f>
        <v>051421-LS-WM-C-1-To</v>
      </c>
      <c r="B151" s="2">
        <f>Data!C134</f>
        <v>5.6607650000000001E-8</v>
      </c>
      <c r="C151" s="2">
        <f>Data!D134</f>
        <v>3.9870970000000002E-10</v>
      </c>
      <c r="D151" s="2">
        <f t="shared" si="14"/>
        <v>-2.0679436216747568E-14</v>
      </c>
      <c r="E151" s="3">
        <f t="shared" si="15"/>
        <v>-1.8549485648916545E-4</v>
      </c>
      <c r="F151" s="3">
        <f>AVERAGE(E151:E153)</f>
        <v>-7.4670006978532887E-4</v>
      </c>
    </row>
    <row r="152" spans="1:6" x14ac:dyDescent="0.15">
      <c r="B152" s="2">
        <f>Data!C135</f>
        <v>5.6577370000000003E-8</v>
      </c>
      <c r="C152" s="2">
        <f>Data!D135</f>
        <v>3.9861229999999999E-10</v>
      </c>
      <c r="D152" s="2">
        <f t="shared" si="14"/>
        <v>9.3742541829510797E-14</v>
      </c>
      <c r="E152" s="3">
        <f t="shared" si="15"/>
        <v>8.4087202191286681E-4</v>
      </c>
    </row>
    <row r="153" spans="1:6" x14ac:dyDescent="0.15">
      <c r="B153" s="2">
        <f>Data!C136</f>
        <v>5.6619559999999999E-8</v>
      </c>
      <c r="C153" s="2">
        <f>Data!D136</f>
        <v>3.9849090000000001E-10</v>
      </c>
      <c r="D153" s="2">
        <f t="shared" si="14"/>
        <v>-3.2279514818940324E-13</v>
      </c>
      <c r="E153" s="3">
        <f t="shared" si="15"/>
        <v>-2.8954773747796878E-3</v>
      </c>
    </row>
    <row r="154" spans="1:6" x14ac:dyDescent="0.15">
      <c r="A154" t="str">
        <f>'30N2'!A154</f>
        <v>051421-LS-WM-C-1-To</v>
      </c>
      <c r="B154" s="2">
        <f>Data!C137</f>
        <v>5.6618780000000002E-8</v>
      </c>
      <c r="C154" s="2">
        <f>Data!D137</f>
        <v>3.9871440000000002E-10</v>
      </c>
      <c r="D154" s="2">
        <f t="shared" si="14"/>
        <v>-9.383870357661829E-14</v>
      </c>
      <c r="E154" s="3">
        <f t="shared" si="15"/>
        <v>-8.4173459424281296E-4</v>
      </c>
      <c r="F154" s="3">
        <f>AVERAGE(E154:E156)</f>
        <v>-1.803865512508685E-3</v>
      </c>
    </row>
    <row r="155" spans="1:6" x14ac:dyDescent="0.15">
      <c r="B155" s="2">
        <f>Data!C138</f>
        <v>5.6543099999999998E-8</v>
      </c>
      <c r="C155" s="2">
        <f>Data!D138</f>
        <v>3.9768589999999998E-10</v>
      </c>
      <c r="D155" s="2">
        <f t="shared" si="14"/>
        <v>-5.9292366729700006E-13</v>
      </c>
      <c r="E155" s="3">
        <f t="shared" si="15"/>
        <v>-5.3185342879519216E-3</v>
      </c>
    </row>
    <row r="156" spans="1:6" x14ac:dyDescent="0.15">
      <c r="B156" s="2">
        <f>Data!C139</f>
        <v>5.656889E-8</v>
      </c>
      <c r="C156" s="2">
        <f>Data!D139</f>
        <v>3.9854269999999998E-10</v>
      </c>
      <c r="D156" s="2">
        <f t="shared" si="14"/>
        <v>8.3463888389396421E-14</v>
      </c>
      <c r="E156" s="3">
        <f t="shared" si="15"/>
        <v>7.4867234466867959E-4</v>
      </c>
    </row>
    <row r="157" spans="1:6" x14ac:dyDescent="0.15">
      <c r="A157" t="str">
        <f>'30N2'!A157</f>
        <v>051521-LS-WM-C-1-T1</v>
      </c>
      <c r="B157" s="2">
        <f>Data!C140</f>
        <v>5.5746790000000002E-8</v>
      </c>
      <c r="C157" s="2">
        <f>Data!D140</f>
        <v>3.9280149999999999E-10</v>
      </c>
      <c r="D157" s="2">
        <f t="shared" ref="D157:D162" si="16">C157-(B157*H$22+H$21)</f>
        <v>9.3216601463953312E-14</v>
      </c>
      <c r="E157" s="3">
        <f t="shared" ref="E157:E162" si="17">A$1*D157/A$2</f>
        <v>8.3615432885738911E-4</v>
      </c>
      <c r="F157" s="3">
        <f>AVERAGE(E157:E159)</f>
        <v>4.0693168960378626E-4</v>
      </c>
    </row>
    <row r="158" spans="1:6" x14ac:dyDescent="0.15">
      <c r="B158" s="2">
        <f>Data!C141</f>
        <v>5.5765629999999999E-8</v>
      </c>
      <c r="C158" s="2">
        <f>Data!D141</f>
        <v>3.9245080000000002E-10</v>
      </c>
      <c r="D158" s="2">
        <f t="shared" si="16"/>
        <v>-3.8927752226100498E-13</v>
      </c>
      <c r="E158" s="3">
        <f t="shared" si="17"/>
        <v>-3.491825278475602E-3</v>
      </c>
    </row>
    <row r="159" spans="1:6" x14ac:dyDescent="0.15">
      <c r="B159" s="2">
        <f>Data!C142</f>
        <v>5.5758120000000001E-8</v>
      </c>
      <c r="C159" s="2">
        <f>Data!D142</f>
        <v>3.9321970000000002E-10</v>
      </c>
      <c r="D159" s="2">
        <f t="shared" si="16"/>
        <v>4.3215824574190266E-13</v>
      </c>
      <c r="E159" s="3">
        <f t="shared" si="17"/>
        <v>3.8764660184295715E-3</v>
      </c>
    </row>
    <row r="160" spans="1:6" x14ac:dyDescent="0.15">
      <c r="A160" t="str">
        <f>'30N2'!A160</f>
        <v>051521-LS-WM-C-1-T1</v>
      </c>
      <c r="B160" s="2">
        <f>Data!C143</f>
        <v>5.5641500000000002E-8</v>
      </c>
      <c r="C160" s="2">
        <f>Data!D143</f>
        <v>3.9099139999999999E-10</v>
      </c>
      <c r="D160" s="2">
        <f t="shared" si="16"/>
        <v>-9.8033333022366862E-13</v>
      </c>
      <c r="E160" s="3">
        <f t="shared" si="17"/>
        <v>-8.7936048398705169E-3</v>
      </c>
      <c r="F160" s="3">
        <f>AVERAGE(E160:E162)</f>
        <v>-7.6289072791134649E-3</v>
      </c>
    </row>
    <row r="161" spans="1:6" x14ac:dyDescent="0.15">
      <c r="B161" s="2">
        <f>Data!C144</f>
        <v>5.5613930000000002E-8</v>
      </c>
      <c r="C161" s="2">
        <f>Data!D144</f>
        <v>3.9043500000000001E-10</v>
      </c>
      <c r="D161" s="2">
        <f t="shared" si="16"/>
        <v>-1.3438689994859551E-12</v>
      </c>
      <c r="E161" s="3">
        <f t="shared" si="17"/>
        <v>-1.2054525306545912E-2</v>
      </c>
    </row>
    <row r="162" spans="1:6" x14ac:dyDescent="0.15">
      <c r="B162" s="2">
        <f>Data!C145</f>
        <v>5.5660359999999999E-8</v>
      </c>
      <c r="C162" s="2">
        <f>Data!D145</f>
        <v>3.9187639999999998E-10</v>
      </c>
      <c r="D162" s="2">
        <f t="shared" si="16"/>
        <v>-2.2726736278488717E-13</v>
      </c>
      <c r="E162" s="3">
        <f t="shared" si="17"/>
        <v>-2.0385916909239667E-3</v>
      </c>
    </row>
    <row r="163" spans="1:6" x14ac:dyDescent="0.15">
      <c r="A163" t="str">
        <f>'30N2'!A163</f>
        <v>051621-LS-WM-C-1-T2</v>
      </c>
      <c r="B163" s="2">
        <f>Data!C146</f>
        <v>5.60283E-8</v>
      </c>
      <c r="C163" s="2">
        <f>Data!D146</f>
        <v>3.9394170000000001E-10</v>
      </c>
      <c r="D163" s="2">
        <f t="shared" si="14"/>
        <v>-7.3587022283671459E-13</v>
      </c>
      <c r="E163" s="3">
        <f t="shared" si="15"/>
        <v>-6.6007670590748392E-3</v>
      </c>
      <c r="F163" s="3">
        <f>AVERAGE(E163:E165)</f>
        <v>-3.2407651265213776E-3</v>
      </c>
    </row>
    <row r="164" spans="1:6" x14ac:dyDescent="0.15">
      <c r="B164" s="2">
        <f>Data!C147</f>
        <v>5.5991029999999998E-8</v>
      </c>
      <c r="C164" s="2">
        <f>Data!D147</f>
        <v>3.946929E-10</v>
      </c>
      <c r="D164" s="2">
        <f t="shared" si="14"/>
        <v>2.7604989347067141E-13</v>
      </c>
      <c r="E164" s="3">
        <f t="shared" si="15"/>
        <v>2.4761717310127509E-3</v>
      </c>
    </row>
    <row r="165" spans="1:6" x14ac:dyDescent="0.15">
      <c r="B165" s="2">
        <f>Data!C148</f>
        <v>5.6031469999999998E-8</v>
      </c>
      <c r="C165" s="2">
        <f>Data!D148</f>
        <v>3.9407570000000002E-10</v>
      </c>
      <c r="D165" s="2">
        <f t="shared" si="14"/>
        <v>-6.2404577337853247E-13</v>
      </c>
      <c r="E165" s="3">
        <f t="shared" si="15"/>
        <v>-5.5977000515020454E-3</v>
      </c>
    </row>
    <row r="166" spans="1:6" x14ac:dyDescent="0.15">
      <c r="A166" t="str">
        <f>'30N2'!A166</f>
        <v>051621-LS-WM-C-1-T2</v>
      </c>
      <c r="B166" s="2">
        <f>Data!C149</f>
        <v>5.595392E-8</v>
      </c>
      <c r="C166" s="2">
        <f>Data!D149</f>
        <v>3.937636E-10</v>
      </c>
      <c r="D166" s="2">
        <f t="shared" si="14"/>
        <v>-3.9364926091180759E-13</v>
      </c>
      <c r="E166" s="3">
        <f t="shared" si="15"/>
        <v>-3.5310398404752186E-3</v>
      </c>
      <c r="F166" s="3">
        <f>AVERAGE(E166:E168)</f>
        <v>1.2808743766002987E-3</v>
      </c>
    </row>
    <row r="167" spans="1:6" x14ac:dyDescent="0.15">
      <c r="B167" s="2">
        <f>Data!C150</f>
        <v>5.597306E-8</v>
      </c>
      <c r="C167" s="2">
        <f>Data!D150</f>
        <v>3.943121E-10</v>
      </c>
      <c r="D167" s="2">
        <f t="shared" si="14"/>
        <v>2.0957982819782603E-14</v>
      </c>
      <c r="E167" s="3">
        <f t="shared" si="15"/>
        <v>1.879934237428357E-4</v>
      </c>
    </row>
    <row r="168" spans="1:6" x14ac:dyDescent="0.15">
      <c r="B168" s="2">
        <f>Data!C151</f>
        <v>5.5970570000000001E-8</v>
      </c>
      <c r="C168" s="2">
        <f>Data!D151</f>
        <v>3.9507479999999999E-10</v>
      </c>
      <c r="D168" s="2">
        <f t="shared" si="14"/>
        <v>8.010766329299254E-13</v>
      </c>
      <c r="E168" s="3">
        <f t="shared" si="15"/>
        <v>7.1856695465332791E-3</v>
      </c>
    </row>
    <row r="169" spans="1:6" x14ac:dyDescent="0.15">
      <c r="A169" t="str">
        <f>'30N2'!A169</f>
        <v>051421-LS-SB-C-1-To</v>
      </c>
      <c r="B169" s="2">
        <f>Data!C158</f>
        <v>5.6238379999999999E-8</v>
      </c>
      <c r="C169" s="2">
        <f>Data!D158</f>
        <v>3.9622899999999998E-10</v>
      </c>
      <c r="D169" s="2">
        <f t="shared" si="14"/>
        <v>8.1827361444132178E-14</v>
      </c>
      <c r="E169" s="3">
        <f t="shared" si="15"/>
        <v>7.3399267315004345E-4</v>
      </c>
      <c r="F169" s="3">
        <f>AVERAGE(E169:E171)</f>
        <v>-3.7806923321363601E-3</v>
      </c>
    </row>
    <row r="170" spans="1:6" x14ac:dyDescent="0.15">
      <c r="B170" s="2">
        <f>Data!C159</f>
        <v>5.6206389999999999E-8</v>
      </c>
      <c r="C170" s="2">
        <f>Data!D159</f>
        <v>3.9411709999999999E-10</v>
      </c>
      <c r="D170" s="2">
        <f t="shared" si="14"/>
        <v>-1.806288455012197E-12</v>
      </c>
      <c r="E170" s="3">
        <f t="shared" si="15"/>
        <v>-1.6202434835683406E-2</v>
      </c>
    </row>
    <row r="171" spans="1:6" x14ac:dyDescent="0.15">
      <c r="B171" s="2">
        <f>Data!C160</f>
        <v>5.6209919999999999E-8</v>
      </c>
      <c r="C171" s="2">
        <f>Data!D160</f>
        <v>3.9640809999999999E-10</v>
      </c>
      <c r="D171" s="2">
        <f t="shared" si="14"/>
        <v>4.6001763539389652E-13</v>
      </c>
      <c r="E171" s="3">
        <f t="shared" si="15"/>
        <v>4.1263651661242818E-3</v>
      </c>
    </row>
    <row r="172" spans="1:6" x14ac:dyDescent="0.15">
      <c r="A172" t="str">
        <f>'30N2'!A172</f>
        <v>051421-LS-SB-C-1-To</v>
      </c>
      <c r="B172" s="2">
        <f>Data!C161</f>
        <v>5.6225339999999998E-8</v>
      </c>
      <c r="C172" s="2">
        <f>Data!D161</f>
        <v>3.95485E-10</v>
      </c>
      <c r="D172" s="2">
        <f t="shared" si="14"/>
        <v>-5.7095207733643514E-13</v>
      </c>
      <c r="E172" s="3">
        <f t="shared" si="15"/>
        <v>-5.1214487927838722E-3</v>
      </c>
      <c r="F172" s="3">
        <f>AVERAGE(E172:E174)</f>
        <v>-2.906037610248807E-3</v>
      </c>
    </row>
    <row r="173" spans="1:6" x14ac:dyDescent="0.15">
      <c r="B173" s="2">
        <f>Data!C162</f>
        <v>5.6242540000000002E-8</v>
      </c>
      <c r="C173" s="2">
        <f>Data!D162</f>
        <v>3.954198E-10</v>
      </c>
      <c r="D173" s="2">
        <f t="shared" si="14"/>
        <v>-7.5647367649092844E-13</v>
      </c>
      <c r="E173" s="3">
        <f t="shared" si="15"/>
        <v>-6.7855803508257229E-3</v>
      </c>
    </row>
    <row r="174" spans="1:6" x14ac:dyDescent="0.15">
      <c r="B174" s="2">
        <f>Data!C163</f>
        <v>5.6146479999999999E-8</v>
      </c>
      <c r="C174" s="2">
        <f>Data!D163</f>
        <v>3.958598E-10</v>
      </c>
      <c r="D174" s="2">
        <f t="shared" si="14"/>
        <v>3.5550846390315751E-13</v>
      </c>
      <c r="E174" s="3">
        <f t="shared" si="15"/>
        <v>3.188916312863175E-3</v>
      </c>
    </row>
    <row r="175" spans="1:6" x14ac:dyDescent="0.15">
      <c r="A175" t="str">
        <f>'30N2'!A175</f>
        <v>051521-LS-SB-C-1-T1</v>
      </c>
      <c r="B175" s="2">
        <f>Data!C164</f>
        <v>5.5427999999999998E-8</v>
      </c>
      <c r="C175" s="2">
        <f>Data!D164</f>
        <v>3.9038170000000003E-10</v>
      </c>
      <c r="D175" s="2">
        <f t="shared" ref="D175:D192" si="18">C175-(B175*H$22+H$21)</f>
        <v>-9.6506503509818982E-14</v>
      </c>
      <c r="E175" s="3">
        <f t="shared" ref="E175:E192" si="19">A$1*D175/A$2</f>
        <v>-8.6566480010355571E-4</v>
      </c>
      <c r="F175" s="3">
        <f>AVERAGE(E175:E177)</f>
        <v>-3.5185994219240169E-3</v>
      </c>
    </row>
    <row r="176" spans="1:6" x14ac:dyDescent="0.15">
      <c r="B176" s="2">
        <f>Data!C165</f>
        <v>5.5382130000000001E-8</v>
      </c>
      <c r="C176" s="2">
        <f>Data!D165</f>
        <v>3.905018E-10</v>
      </c>
      <c r="D176" s="2">
        <f t="shared" si="18"/>
        <v>3.4447441237477076E-13</v>
      </c>
      <c r="E176" s="3">
        <f t="shared" si="19"/>
        <v>3.0899407033107948E-3</v>
      </c>
    </row>
    <row r="177" spans="1:6" x14ac:dyDescent="0.15">
      <c r="B177" s="2">
        <f>Data!C166</f>
        <v>5.5408580000000002E-8</v>
      </c>
      <c r="C177" s="2">
        <f>Data!D166</f>
        <v>3.889176E-10</v>
      </c>
      <c r="D177" s="2">
        <f t="shared" si="18"/>
        <v>-1.4247550235342885E-12</v>
      </c>
      <c r="E177" s="3">
        <f t="shared" si="19"/>
        <v>-1.278007416897929E-2</v>
      </c>
    </row>
    <row r="178" spans="1:6" x14ac:dyDescent="0.15">
      <c r="A178" t="str">
        <f>'30N2'!A178</f>
        <v>051521-LS-SB-C-1-T1</v>
      </c>
      <c r="B178" s="2">
        <f>Data!C167</f>
        <v>5.5395520000000001E-8</v>
      </c>
      <c r="C178" s="2">
        <f>Data!D167</f>
        <v>3.8934379999999999E-10</v>
      </c>
      <c r="D178" s="2">
        <f t="shared" si="18"/>
        <v>-9.0719455347861527E-13</v>
      </c>
      <c r="E178" s="3">
        <f t="shared" si="19"/>
        <v>-8.1375489032425412E-3</v>
      </c>
      <c r="F178" s="3">
        <f>AVERAGE(E178:E180)</f>
        <v>-2.2924256891368026E-3</v>
      </c>
    </row>
    <row r="179" spans="1:6" x14ac:dyDescent="0.15">
      <c r="B179" s="2">
        <f>Data!C168</f>
        <v>5.5374180000000001E-8</v>
      </c>
      <c r="C179" s="2">
        <f>Data!D168</f>
        <v>3.9061680000000001E-10</v>
      </c>
      <c r="D179" s="2">
        <f t="shared" si="18"/>
        <v>5.1508817477465239E-13</v>
      </c>
      <c r="E179" s="3">
        <f t="shared" si="19"/>
        <v>4.6203487395710873E-3</v>
      </c>
    </row>
    <row r="180" spans="1:6" x14ac:dyDescent="0.15">
      <c r="B180" s="2">
        <f>Data!C169</f>
        <v>5.5416289999999998E-8</v>
      </c>
      <c r="C180" s="2">
        <f>Data!D169</f>
        <v>3.9002169999999999E-10</v>
      </c>
      <c r="D180" s="2">
        <f t="shared" si="18"/>
        <v>-3.7458987989941849E-13</v>
      </c>
      <c r="E180" s="3">
        <f t="shared" si="19"/>
        <v>-3.3600769037389539E-3</v>
      </c>
    </row>
    <row r="181" spans="1:6" x14ac:dyDescent="0.15">
      <c r="A181" t="str">
        <f>'30N2'!A181</f>
        <v>051621-LS-SB-C-1-T2</v>
      </c>
      <c r="B181" s="2">
        <f>Data!C170</f>
        <v>5.5570819999999997E-8</v>
      </c>
      <c r="C181" s="2">
        <f>Data!D170</f>
        <v>3.9101420000000002E-10</v>
      </c>
      <c r="D181" s="2">
        <f t="shared" si="18"/>
        <v>-4.6309550300051784E-13</v>
      </c>
      <c r="E181" s="3">
        <f t="shared" si="19"/>
        <v>-4.1539736852347067E-3</v>
      </c>
      <c r="F181" s="3">
        <f>AVERAGE(E181:E183)</f>
        <v>-1.7499279012754117E-4</v>
      </c>
    </row>
    <row r="182" spans="1:6" x14ac:dyDescent="0.15">
      <c r="B182" s="2">
        <f>Data!C171</f>
        <v>5.559846E-8</v>
      </c>
      <c r="C182" s="2">
        <f>Data!D171</f>
        <v>3.9215270000000002E-10</v>
      </c>
      <c r="D182" s="2">
        <f t="shared" si="18"/>
        <v>4.8205048533500442E-13</v>
      </c>
      <c r="E182" s="3">
        <f t="shared" si="19"/>
        <v>4.3240001642468719E-3</v>
      </c>
    </row>
    <row r="183" spans="1:6" x14ac:dyDescent="0.15">
      <c r="B183" s="2">
        <f>Data!C172</f>
        <v>5.562887E-8</v>
      </c>
      <c r="C183" s="2">
        <f>Data!D172</f>
        <v>3.918059E-10</v>
      </c>
      <c r="D183" s="2">
        <f t="shared" si="18"/>
        <v>-7.7480900146841829E-14</v>
      </c>
      <c r="E183" s="3">
        <f t="shared" si="19"/>
        <v>-6.9500484939478871E-4</v>
      </c>
    </row>
    <row r="184" spans="1:6" x14ac:dyDescent="0.15">
      <c r="A184" t="str">
        <f>'30N2'!A184</f>
        <v>051621-LS-SB-C-1-T2</v>
      </c>
      <c r="B184" s="2">
        <f>Data!C173</f>
        <v>5.559383E-8</v>
      </c>
      <c r="C184" s="2">
        <f>Data!D173</f>
        <v>3.9232250000000002E-10</v>
      </c>
      <c r="D184" s="2">
        <f t="shared" si="18"/>
        <v>6.8423938092134007E-13</v>
      </c>
      <c r="E184" s="3">
        <f t="shared" si="19"/>
        <v>6.1376376240590584E-3</v>
      </c>
      <c r="F184" s="3">
        <f>AVERAGE(E184:E186)</f>
        <v>-3.8633189365516979E-3</v>
      </c>
    </row>
    <row r="185" spans="1:6" x14ac:dyDescent="0.15">
      <c r="B185" s="2">
        <f>Data!C174</f>
        <v>5.5560419999999997E-8</v>
      </c>
      <c r="C185" s="2">
        <f>Data!D174</f>
        <v>3.9055479999999999E-10</v>
      </c>
      <c r="D185" s="2">
        <f t="shared" si="18"/>
        <v>-8.4974290816296001E-13</v>
      </c>
      <c r="E185" s="3">
        <f t="shared" si="19"/>
        <v>-7.6222067734477662E-3</v>
      </c>
    </row>
    <row r="186" spans="1:6" x14ac:dyDescent="0.15">
      <c r="B186" s="2">
        <f>Data!C175</f>
        <v>5.5658859999999997E-8</v>
      </c>
      <c r="C186" s="2">
        <f>Data!D175</f>
        <v>3.909666E-10</v>
      </c>
      <c r="D186" s="2">
        <f t="shared" si="18"/>
        <v>-1.1265742000678742E-12</v>
      </c>
      <c r="E186" s="3">
        <f t="shared" si="19"/>
        <v>-1.0105387660266385E-2</v>
      </c>
    </row>
    <row r="187" spans="1:6" x14ac:dyDescent="0.15">
      <c r="A187" t="str">
        <f>'30N2'!A187</f>
        <v>051421-LS-WM-C-2-To</v>
      </c>
      <c r="B187" s="2">
        <f>Data!C176</f>
        <v>5.6442080000000002E-8</v>
      </c>
      <c r="C187" s="2">
        <f>Data!D176</f>
        <v>3.9822629999999999E-10</v>
      </c>
      <c r="D187" s="2">
        <f t="shared" si="18"/>
        <v>6.541558644810751E-13</v>
      </c>
      <c r="E187" s="3">
        <f t="shared" si="19"/>
        <v>5.8677880253423841E-3</v>
      </c>
      <c r="F187" s="3">
        <f>AVERAGE(E187:E189)</f>
        <v>-1.5670694640909331E-3</v>
      </c>
    </row>
    <row r="188" spans="1:6" x14ac:dyDescent="0.15">
      <c r="B188" s="2">
        <f>Data!C177</f>
        <v>5.6436600000000003E-8</v>
      </c>
      <c r="C188" s="2">
        <f>Data!D177</f>
        <v>3.9787140000000002E-10</v>
      </c>
      <c r="D188" s="2">
        <f t="shared" si="18"/>
        <v>3.3759088560710671E-13</v>
      </c>
      <c r="E188" s="3">
        <f t="shared" si="19"/>
        <v>3.0281953638090779E-3</v>
      </c>
    </row>
    <row r="189" spans="1:6" x14ac:dyDescent="0.15">
      <c r="B189" s="2">
        <f>Data!C178</f>
        <v>5.6456289999999999E-8</v>
      </c>
      <c r="C189" s="2">
        <f>Data!D178</f>
        <v>3.9615569999999998E-10</v>
      </c>
      <c r="D189" s="2">
        <f t="shared" si="18"/>
        <v>-1.5158493636575353E-12</v>
      </c>
      <c r="E189" s="3">
        <f t="shared" si="19"/>
        <v>-1.3597191781424262E-2</v>
      </c>
    </row>
    <row r="190" spans="1:6" x14ac:dyDescent="0.15">
      <c r="A190" t="str">
        <f>'30N2'!A190</f>
        <v>051421-LS-WM-C-2-To</v>
      </c>
      <c r="B190" s="2">
        <f>Data!C179</f>
        <v>5.641903E-8</v>
      </c>
      <c r="C190" s="2">
        <f>Data!D179</f>
        <v>3.960982E-10</v>
      </c>
      <c r="D190" s="2">
        <f t="shared" si="18"/>
        <v>-1.3126992017682801E-12</v>
      </c>
      <c r="E190" s="3">
        <f t="shared" si="19"/>
        <v>-1.1774931748296294E-2</v>
      </c>
      <c r="F190" s="3">
        <f>AVERAGE(E190:E192)</f>
        <v>5.5645903921005635E-4</v>
      </c>
    </row>
    <row r="191" spans="1:6" x14ac:dyDescent="0.15">
      <c r="B191" s="2">
        <f>Data!C180</f>
        <v>5.6459290000000003E-8</v>
      </c>
      <c r="C191" s="2">
        <f>Data!D180</f>
        <v>3.9858439999999999E-10</v>
      </c>
      <c r="D191" s="2">
        <f t="shared" si="18"/>
        <v>8.9186431090852496E-13</v>
      </c>
      <c r="E191" s="3">
        <f t="shared" si="19"/>
        <v>8.0000363948899214E-3</v>
      </c>
    </row>
    <row r="192" spans="1:6" x14ac:dyDescent="0.15">
      <c r="B192" s="2">
        <f>Data!C181</f>
        <v>5.6438880000000001E-8</v>
      </c>
      <c r="C192" s="2">
        <f>Data!D181</f>
        <v>3.9815669999999998E-10</v>
      </c>
      <c r="D192" s="2">
        <f t="shared" si="18"/>
        <v>6.0694127827728087E-13</v>
      </c>
      <c r="E192" s="3">
        <f t="shared" si="19"/>
        <v>5.4442724710365414E-3</v>
      </c>
    </row>
    <row r="193" spans="1:6" x14ac:dyDescent="0.15">
      <c r="A193" t="str">
        <f>'30N2'!A193</f>
        <v>051521-LS-WM-C-2-T1</v>
      </c>
      <c r="B193" s="2">
        <f>Data!C182</f>
        <v>5.5645679999999998E-8</v>
      </c>
      <c r="C193" s="2">
        <f>Data!D182</f>
        <v>3.9179700000000001E-10</v>
      </c>
      <c r="D193" s="2">
        <f t="shared" ref="D193:D222" si="20">C193-(B193*H$22+H$21)</f>
        <v>-2.0397427699485998E-13</v>
      </c>
      <c r="E193" s="3">
        <f t="shared" ref="E193:E222" si="21">A$1*D193/A$2</f>
        <v>-1.8296523581237966E-3</v>
      </c>
      <c r="F193" s="3">
        <f>AVERAGE(E193:E195)</f>
        <v>-4.0108212918637696E-3</v>
      </c>
    </row>
    <row r="194" spans="1:6" x14ac:dyDescent="0.15">
      <c r="B194" s="2">
        <f>Data!C183</f>
        <v>5.5638329999999998E-8</v>
      </c>
      <c r="C194" s="2">
        <f>Data!D183</f>
        <v>3.9172019999999998E-10</v>
      </c>
      <c r="D194" s="2">
        <f t="shared" si="20"/>
        <v>-2.2935777968180074E-13</v>
      </c>
      <c r="E194" s="3">
        <f t="shared" si="21"/>
        <v>-2.0573427621926057E-3</v>
      </c>
    </row>
    <row r="195" spans="1:6" x14ac:dyDescent="0.15">
      <c r="B195" s="2">
        <f>Data!C184</f>
        <v>5.5669110000000002E-8</v>
      </c>
      <c r="C195" s="2">
        <f>Data!D184</f>
        <v>3.9125680000000002E-10</v>
      </c>
      <c r="D195" s="2">
        <f t="shared" si="20"/>
        <v>-9.0807747863378753E-13</v>
      </c>
      <c r="E195" s="3">
        <f t="shared" si="21"/>
        <v>-8.1454687552749046E-3</v>
      </c>
    </row>
    <row r="196" spans="1:6" x14ac:dyDescent="0.15">
      <c r="A196" t="str">
        <f>'30N2'!A196</f>
        <v>051521-LS-WM-C-2-T1</v>
      </c>
      <c r="B196" s="2">
        <f>Data!C185</f>
        <v>5.56559E-8</v>
      </c>
      <c r="C196" s="2">
        <f>Data!D185</f>
        <v>3.9306309999999999E-10</v>
      </c>
      <c r="D196" s="2">
        <f t="shared" si="20"/>
        <v>9.9063230769352398E-13</v>
      </c>
      <c r="E196" s="3">
        <f t="shared" si="21"/>
        <v>8.8859868239697156E-3</v>
      </c>
      <c r="F196" s="3">
        <f>AVERAGE(E196:E198)</f>
        <v>1.8634077466911318E-3</v>
      </c>
    </row>
    <row r="197" spans="1:6" x14ac:dyDescent="0.15">
      <c r="B197" s="2">
        <f>Data!C186</f>
        <v>5.5608910000000003E-8</v>
      </c>
      <c r="C197" s="2">
        <f>Data!D186</f>
        <v>3.9246919999999999E-10</v>
      </c>
      <c r="D197" s="2">
        <f t="shared" si="20"/>
        <v>7.254481184067845E-13</v>
      </c>
      <c r="E197" s="3">
        <f t="shared" si="21"/>
        <v>6.5072806242764238E-3</v>
      </c>
    </row>
    <row r="198" spans="1:6" x14ac:dyDescent="0.15">
      <c r="B198" s="2">
        <f>Data!C187</f>
        <v>5.5649209999999998E-8</v>
      </c>
      <c r="C198" s="2">
        <f>Data!D187</f>
        <v>3.9093279999999998E-10</v>
      </c>
      <c r="D198" s="2">
        <f t="shared" si="20"/>
        <v>-1.0928681865888054E-12</v>
      </c>
      <c r="E198" s="3">
        <f t="shared" si="21"/>
        <v>-9.803044208172745E-3</v>
      </c>
    </row>
    <row r="199" spans="1:6" x14ac:dyDescent="0.15">
      <c r="A199" t="str">
        <f>'30N2'!A199</f>
        <v>051621-LS-WM-C-2-T2</v>
      </c>
      <c r="B199" s="2">
        <f>Data!C188</f>
        <v>5.5863910000000001E-8</v>
      </c>
      <c r="C199" s="2">
        <f>Data!D188</f>
        <v>3.9408540000000001E-10</v>
      </c>
      <c r="D199" s="2">
        <f t="shared" si="20"/>
        <v>5.5781045652383483E-13</v>
      </c>
      <c r="E199" s="3">
        <f t="shared" si="21"/>
        <v>5.0035682547886389E-3</v>
      </c>
      <c r="F199" s="3">
        <f>AVERAGE(E199:E201)</f>
        <v>5.4098091695507292E-3</v>
      </c>
    </row>
    <row r="200" spans="1:6" x14ac:dyDescent="0.15">
      <c r="B200" s="2">
        <f>Data!C189</f>
        <v>5.5915250000000002E-8</v>
      </c>
      <c r="C200" s="2">
        <f>Data!D189</f>
        <v>3.9469310000000002E-10</v>
      </c>
      <c r="D200" s="2">
        <f t="shared" si="20"/>
        <v>8.0636447393139005E-13</v>
      </c>
      <c r="E200" s="3">
        <f t="shared" si="21"/>
        <v>7.2331015605119706E-3</v>
      </c>
    </row>
    <row r="201" spans="1:6" x14ac:dyDescent="0.15">
      <c r="B201" s="2">
        <f>Data!C190</f>
        <v>5.5835890000000002E-8</v>
      </c>
      <c r="C201" s="2">
        <f>Data!D190</f>
        <v>3.9377669999999999E-10</v>
      </c>
      <c r="D201" s="2">
        <f t="shared" si="20"/>
        <v>4.4512273607659179E-13</v>
      </c>
      <c r="E201" s="3">
        <f t="shared" si="21"/>
        <v>3.9927576933515762E-3</v>
      </c>
    </row>
    <row r="202" spans="1:6" x14ac:dyDescent="0.15">
      <c r="A202" t="str">
        <f>'30N2'!A202</f>
        <v>051621-LS-WM-C-2-T2</v>
      </c>
      <c r="B202" s="2">
        <f>Data!C191</f>
        <v>5.5679760000000003E-8</v>
      </c>
      <c r="C202" s="2">
        <f>Data!D191</f>
        <v>3.9277660000000001E-10</v>
      </c>
      <c r="D202" s="2">
        <f t="shared" si="20"/>
        <v>5.3722106607580507E-13</v>
      </c>
      <c r="E202" s="3">
        <f t="shared" si="21"/>
        <v>4.8188811102105088E-3</v>
      </c>
      <c r="F202" s="3">
        <f>AVERAGE(E202:E204)</f>
        <v>2.9144688618354536E-3</v>
      </c>
    </row>
    <row r="203" spans="1:6" x14ac:dyDescent="0.15">
      <c r="B203" s="2">
        <f>Data!C192</f>
        <v>5.5759519999999997E-8</v>
      </c>
      <c r="C203" s="2">
        <f>Data!D192</f>
        <v>3.9358720000000002E-10</v>
      </c>
      <c r="D203" s="2">
        <f t="shared" si="20"/>
        <v>7.8986462720610995E-13</v>
      </c>
      <c r="E203" s="3">
        <f t="shared" si="21"/>
        <v>7.0850976851490454E-3</v>
      </c>
    </row>
    <row r="204" spans="1:6" x14ac:dyDescent="0.15">
      <c r="B204" s="2">
        <f>Data!C193</f>
        <v>5.5756619999999999E-8</v>
      </c>
      <c r="C204" s="2">
        <f>Data!D193</f>
        <v>3.9242470000000003E-10</v>
      </c>
      <c r="D204" s="2">
        <f t="shared" si="20"/>
        <v>-3.5234859154114383E-13</v>
      </c>
      <c r="E204" s="3">
        <f t="shared" si="21"/>
        <v>-3.1605722098531947E-3</v>
      </c>
    </row>
    <row r="205" spans="1:6" x14ac:dyDescent="0.15">
      <c r="A205" t="str">
        <f>'30N2'!A205</f>
        <v>051421-LS-SB-C-2-To</v>
      </c>
      <c r="B205" s="2">
        <f>Data!C194</f>
        <v>5.6356329999999998E-8</v>
      </c>
      <c r="C205" s="2">
        <f>Data!D194</f>
        <v>3.9719100000000001E-10</v>
      </c>
      <c r="D205" s="2">
        <f t="shared" si="20"/>
        <v>2.1871499980063821E-13</v>
      </c>
      <c r="E205" s="3">
        <f t="shared" si="21"/>
        <v>1.9618768652498644E-3</v>
      </c>
      <c r="F205" s="3">
        <f>AVERAGE(E205:E207)</f>
        <v>-2.1259876853852951E-3</v>
      </c>
    </row>
    <row r="206" spans="1:6" x14ac:dyDescent="0.15">
      <c r="B206" s="2">
        <f>Data!C195</f>
        <v>5.6307999999999997E-8</v>
      </c>
      <c r="C206" s="2">
        <f>Data!D195</f>
        <v>3.9629079999999998E-10</v>
      </c>
      <c r="D206" s="2">
        <f t="shared" si="20"/>
        <v>-3.4339529745900541E-13</v>
      </c>
      <c r="E206" s="3">
        <f t="shared" si="21"/>
        <v>-3.0802610261504906E-3</v>
      </c>
    </row>
    <row r="207" spans="1:6" x14ac:dyDescent="0.15">
      <c r="B207" s="2">
        <f>Data!C196</f>
        <v>5.6328650000000002E-8</v>
      </c>
      <c r="C207" s="2">
        <f>Data!D196</f>
        <v>3.9619230000000001E-10</v>
      </c>
      <c r="D207" s="2">
        <f t="shared" si="20"/>
        <v>-5.8635117086244186E-13</v>
      </c>
      <c r="E207" s="3">
        <f t="shared" si="21"/>
        <v>-5.2595788952552597E-3</v>
      </c>
    </row>
    <row r="208" spans="1:6" x14ac:dyDescent="0.15">
      <c r="A208" t="str">
        <f>'30N2'!A208</f>
        <v>051421-LS-SB-C-2-To</v>
      </c>
      <c r="B208" s="2">
        <f>Data!C197</f>
        <v>5.6201109999999997E-8</v>
      </c>
      <c r="C208" s="2">
        <f>Data!D197</f>
        <v>3.9564159999999998E-10</v>
      </c>
      <c r="D208" s="2">
        <f t="shared" si="20"/>
        <v>-2.4485252224851895E-13</v>
      </c>
      <c r="E208" s="3">
        <f t="shared" si="21"/>
        <v>-2.1963308380097911E-3</v>
      </c>
      <c r="F208" s="3">
        <f>AVERAGE(E208:E210)</f>
        <v>-3.5887976365047316E-3</v>
      </c>
    </row>
    <row r="209" spans="1:6" x14ac:dyDescent="0.15">
      <c r="B209" s="2">
        <f>Data!C198</f>
        <v>5.621262E-8</v>
      </c>
      <c r="C209" s="2">
        <f>Data!D198</f>
        <v>3.9505449999999998E-10</v>
      </c>
      <c r="D209" s="2">
        <f t="shared" si="20"/>
        <v>-9.1247005749664346E-13</v>
      </c>
      <c r="E209" s="3">
        <f t="shared" si="21"/>
        <v>-8.1848702542927053E-3</v>
      </c>
    </row>
    <row r="210" spans="1:6" x14ac:dyDescent="0.15">
      <c r="B210" s="2">
        <f>Data!C199</f>
        <v>5.6286749999999999E-8</v>
      </c>
      <c r="C210" s="2">
        <f>Data!D199</f>
        <v>3.9644259999999998E-10</v>
      </c>
      <c r="D210" s="2">
        <f t="shared" si="20"/>
        <v>-4.2942158968745622E-14</v>
      </c>
      <c r="E210" s="3">
        <f t="shared" si="21"/>
        <v>-3.8519181721169806E-4</v>
      </c>
    </row>
    <row r="211" spans="1:6" x14ac:dyDescent="0.15">
      <c r="A211" t="str">
        <f>'30N2'!A211</f>
        <v>051521-LS-SB-C-2-T1</v>
      </c>
      <c r="B211" s="2">
        <f>Data!C200</f>
        <v>5.532477E-8</v>
      </c>
      <c r="C211" s="2">
        <f>Data!D200</f>
        <v>3.8871009999999997E-10</v>
      </c>
      <c r="D211" s="2">
        <f t="shared" si="20"/>
        <v>-1.0459670453287388E-12</v>
      </c>
      <c r="E211" s="3">
        <f t="shared" si="21"/>
        <v>-9.3823402597658541E-3</v>
      </c>
      <c r="F211" s="3">
        <f>AVERAGE(E211:E213)</f>
        <v>-1.7269684934026897E-3</v>
      </c>
    </row>
    <row r="212" spans="1:6" x14ac:dyDescent="0.15">
      <c r="B212" s="2">
        <f>Data!C201</f>
        <v>5.533544E-8</v>
      </c>
      <c r="C212" s="2">
        <f>Data!D201</f>
        <v>3.9026559999999998E-10</v>
      </c>
      <c r="D212" s="2">
        <f t="shared" si="20"/>
        <v>4.3489159054458737E-13</v>
      </c>
      <c r="E212" s="3">
        <f t="shared" si="21"/>
        <v>3.9009841627636412E-3</v>
      </c>
    </row>
    <row r="213" spans="1:6" x14ac:dyDescent="0.15">
      <c r="B213" s="2">
        <f>Data!C202</f>
        <v>5.5320830000000002E-8</v>
      </c>
      <c r="C213" s="2">
        <f>Data!D202</f>
        <v>3.8976200000000002E-10</v>
      </c>
      <c r="D213" s="2">
        <f t="shared" si="20"/>
        <v>3.3494995407810046E-14</v>
      </c>
      <c r="E213" s="3">
        <f t="shared" si="21"/>
        <v>3.0045061679414463E-4</v>
      </c>
    </row>
    <row r="214" spans="1:6" x14ac:dyDescent="0.15">
      <c r="A214" t="str">
        <f>'30N2'!A214</f>
        <v>051521-LS-SB-C-2-T1</v>
      </c>
      <c r="B214" s="2">
        <f>Data!C203</f>
        <v>5.5325389999999999E-8</v>
      </c>
      <c r="C214" s="2">
        <f>Data!D203</f>
        <v>3.902264E-10</v>
      </c>
      <c r="D214" s="2">
        <f t="shared" si="20"/>
        <v>4.6599578074827096E-13</v>
      </c>
      <c r="E214" s="3">
        <f t="shared" si="21"/>
        <v>4.1799892206177492E-3</v>
      </c>
      <c r="F214" s="3">
        <f>AVERAGE(E214:E216)</f>
        <v>-1.7796855874721437E-3</v>
      </c>
    </row>
    <row r="215" spans="1:6" x14ac:dyDescent="0.15">
      <c r="B215" s="2">
        <f>Data!C204</f>
        <v>5.5317260000000002E-8</v>
      </c>
      <c r="C215" s="2">
        <f>Data!D204</f>
        <v>3.8904149999999999E-10</v>
      </c>
      <c r="D215" s="2">
        <f t="shared" si="20"/>
        <v>-6.6203127732586193E-13</v>
      </c>
      <c r="E215" s="3">
        <f t="shared" si="21"/>
        <v>-5.9384305979988646E-3</v>
      </c>
    </row>
    <row r="216" spans="1:6" x14ac:dyDescent="0.15">
      <c r="B216" s="2">
        <f>Data!C205</f>
        <v>5.5390799999999999E-8</v>
      </c>
      <c r="C216" s="2">
        <f>Data!D205</f>
        <v>3.8981879999999998E-10</v>
      </c>
      <c r="D216" s="2">
        <f t="shared" si="20"/>
        <v>-3.9917606812924081E-13</v>
      </c>
      <c r="E216" s="3">
        <f t="shared" si="21"/>
        <v>-3.5806153850353158E-3</v>
      </c>
    </row>
    <row r="217" spans="1:6" x14ac:dyDescent="0.15">
      <c r="A217" t="str">
        <f>'30N2'!A217</f>
        <v>051621-LS-SB-C-2-T2</v>
      </c>
      <c r="B217" s="2">
        <f>Data!C206</f>
        <v>5.538985E-8</v>
      </c>
      <c r="C217" s="2">
        <f>Data!D206</f>
        <v>3.8951889999999998E-10</v>
      </c>
      <c r="D217" s="2">
        <f t="shared" si="20"/>
        <v>-6.9243039840853715E-13</v>
      </c>
      <c r="E217" s="3">
        <f t="shared" si="21"/>
        <v>-6.2111111751444285E-3</v>
      </c>
      <c r="F217" s="3">
        <f>AVERAGE(E217:E219)</f>
        <v>1.3958653016637585E-3</v>
      </c>
    </row>
    <row r="218" spans="1:6" x14ac:dyDescent="0.15">
      <c r="B218" s="2">
        <f>Data!C207</f>
        <v>5.5423369999999998E-8</v>
      </c>
      <c r="C218" s="2">
        <f>Data!D207</f>
        <v>3.9086149999999999E-10</v>
      </c>
      <c r="D218" s="2">
        <f t="shared" si="20"/>
        <v>4.1568239207653937E-13</v>
      </c>
      <c r="E218" s="3">
        <f t="shared" si="21"/>
        <v>3.72867736117798E-3</v>
      </c>
    </row>
    <row r="219" spans="1:6" x14ac:dyDescent="0.15">
      <c r="B219" s="2">
        <f>Data!C208</f>
        <v>5.5423240000000003E-8</v>
      </c>
      <c r="C219" s="2">
        <f>Data!D208</f>
        <v>3.9118850000000001E-10</v>
      </c>
      <c r="D219" s="2">
        <f t="shared" si="20"/>
        <v>7.4359179951199039E-13</v>
      </c>
      <c r="E219" s="3">
        <f t="shared" si="21"/>
        <v>6.6700297189577233E-3</v>
      </c>
    </row>
    <row r="220" spans="1:6" x14ac:dyDescent="0.15">
      <c r="A220" t="str">
        <f>'30N2'!A220</f>
        <v>051621-LS-SB-C-2-T2</v>
      </c>
      <c r="B220" s="2">
        <f>Data!C209</f>
        <v>5.542435E-8</v>
      </c>
      <c r="C220" s="2">
        <f>Data!D209</f>
        <v>3.9144369999999998E-10</v>
      </c>
      <c r="D220" s="2">
        <f t="shared" si="20"/>
        <v>9.9102685910143382E-13</v>
      </c>
      <c r="E220" s="3">
        <f t="shared" si="21"/>
        <v>8.8895259560824447E-3</v>
      </c>
      <c r="F220" s="3">
        <f>AVERAGE(E220:E222)</f>
        <v>6.812074942573295E-3</v>
      </c>
    </row>
    <row r="221" spans="1:6" x14ac:dyDescent="0.15">
      <c r="B221" s="2">
        <f>Data!C210</f>
        <v>5.5381450000000003E-8</v>
      </c>
      <c r="C221" s="2">
        <f>Data!D210</f>
        <v>3.906288E-10</v>
      </c>
      <c r="D221" s="2">
        <f t="shared" si="20"/>
        <v>4.7623131280644924E-13</v>
      </c>
      <c r="E221" s="3">
        <f t="shared" si="21"/>
        <v>4.2718020984119903E-3</v>
      </c>
    </row>
    <row r="222" spans="1:6" x14ac:dyDescent="0.15">
      <c r="B222" s="2">
        <f>Data!C211</f>
        <v>5.5439059999999997E-8</v>
      </c>
      <c r="C222" s="2">
        <f>Data!D211</f>
        <v>3.9136660000000002E-10</v>
      </c>
      <c r="D222" s="2">
        <f t="shared" si="20"/>
        <v>8.110239100571799E-13</v>
      </c>
      <c r="E222" s="3">
        <f t="shared" si="21"/>
        <v>7.274896773225451E-3</v>
      </c>
    </row>
    <row r="223" spans="1:6" x14ac:dyDescent="0.15">
      <c r="B223" s="2"/>
      <c r="C223" s="2"/>
      <c r="D223" s="2"/>
      <c r="E223" s="3"/>
      <c r="F223" s="3"/>
    </row>
    <row r="224" spans="1:6" x14ac:dyDescent="0.15">
      <c r="B224" s="2"/>
      <c r="C224" s="2"/>
      <c r="D224" s="2"/>
      <c r="E224" s="3"/>
    </row>
    <row r="225" spans="2:6" x14ac:dyDescent="0.15">
      <c r="B225" s="2"/>
      <c r="C225" s="2"/>
      <c r="D225" s="2"/>
      <c r="E225" s="3"/>
    </row>
    <row r="226" spans="2:6" x14ac:dyDescent="0.15">
      <c r="B226" s="2"/>
      <c r="C226" s="2"/>
      <c r="D226" s="2"/>
      <c r="E226" s="3"/>
      <c r="F226" s="3"/>
    </row>
    <row r="227" spans="2:6" x14ac:dyDescent="0.15">
      <c r="B227" s="2"/>
      <c r="C227" s="2"/>
      <c r="D227" s="2"/>
      <c r="E227" s="3"/>
    </row>
    <row r="228" spans="2:6" x14ac:dyDescent="0.15">
      <c r="B228" s="2"/>
      <c r="C228" s="2"/>
      <c r="D228" s="2"/>
      <c r="E228" s="3"/>
    </row>
    <row r="229" spans="2:6" x14ac:dyDescent="0.15">
      <c r="B229" s="2"/>
      <c r="C229" s="2"/>
      <c r="D229" s="2"/>
      <c r="E229" s="3"/>
      <c r="F229" s="3"/>
    </row>
    <row r="230" spans="2:6" x14ac:dyDescent="0.15">
      <c r="B230" s="2"/>
      <c r="C230" s="2"/>
      <c r="D230" s="2"/>
      <c r="E230" s="3"/>
    </row>
    <row r="231" spans="2:6" x14ac:dyDescent="0.15">
      <c r="B231" s="2"/>
      <c r="C231" s="2"/>
      <c r="D231" s="2"/>
      <c r="E231" s="3"/>
    </row>
    <row r="232" spans="2:6" x14ac:dyDescent="0.15">
      <c r="B232" s="2"/>
      <c r="C232" s="2"/>
      <c r="D232" s="2"/>
      <c r="E232" s="3"/>
      <c r="F232" s="3"/>
    </row>
    <row r="233" spans="2:6" x14ac:dyDescent="0.15">
      <c r="B233" s="2"/>
      <c r="C233" s="2"/>
      <c r="D233" s="2"/>
      <c r="E233" s="3"/>
    </row>
    <row r="234" spans="2:6" x14ac:dyDescent="0.15">
      <c r="B234" s="2"/>
      <c r="C234" s="2"/>
      <c r="D234" s="2"/>
      <c r="E234" s="3"/>
    </row>
    <row r="235" spans="2:6" x14ac:dyDescent="0.15">
      <c r="B235" s="2"/>
      <c r="C235" s="2"/>
      <c r="D235" s="2"/>
      <c r="E235" s="3"/>
      <c r="F235" s="3"/>
    </row>
    <row r="236" spans="2:6" x14ac:dyDescent="0.15">
      <c r="B236" s="2"/>
      <c r="C236" s="2"/>
      <c r="D236" s="2"/>
      <c r="E236" s="3"/>
    </row>
    <row r="237" spans="2:6" x14ac:dyDescent="0.15">
      <c r="B237" s="2"/>
      <c r="C237" s="2"/>
      <c r="D237" s="2"/>
      <c r="E237" s="3"/>
    </row>
    <row r="238" spans="2:6" x14ac:dyDescent="0.15">
      <c r="B238" s="2"/>
      <c r="C238" s="2"/>
      <c r="D238" s="2"/>
      <c r="E238" s="3"/>
      <c r="F238" s="3"/>
    </row>
    <row r="239" spans="2:6" x14ac:dyDescent="0.15">
      <c r="B239" s="2"/>
      <c r="C239" s="2"/>
      <c r="D239" s="2"/>
      <c r="E239" s="3"/>
    </row>
    <row r="240" spans="2:6" x14ac:dyDescent="0.15">
      <c r="B240" s="2"/>
      <c r="C240" s="2"/>
      <c r="D240" s="2"/>
      <c r="E240" s="3"/>
    </row>
    <row r="241" spans="2:6" x14ac:dyDescent="0.15">
      <c r="B241" s="2"/>
      <c r="C241" s="2"/>
      <c r="D241" s="2"/>
      <c r="E241" s="3"/>
      <c r="F241" s="3"/>
    </row>
    <row r="242" spans="2:6" x14ac:dyDescent="0.15">
      <c r="B242" s="2"/>
      <c r="C242" s="2"/>
      <c r="D242" s="2"/>
      <c r="E242" s="3"/>
    </row>
    <row r="243" spans="2:6" x14ac:dyDescent="0.15">
      <c r="B243" s="2"/>
      <c r="C243" s="2"/>
      <c r="D243" s="2"/>
      <c r="E243" s="3"/>
    </row>
    <row r="244" spans="2:6" x14ac:dyDescent="0.15">
      <c r="B244" s="2"/>
      <c r="C244" s="2"/>
      <c r="D244" s="2"/>
      <c r="E244" s="3"/>
      <c r="F244" s="3"/>
    </row>
    <row r="245" spans="2:6" x14ac:dyDescent="0.15">
      <c r="B245" s="2"/>
      <c r="C245" s="2"/>
      <c r="D245" s="2"/>
      <c r="E245" s="3"/>
    </row>
    <row r="246" spans="2:6" x14ac:dyDescent="0.15">
      <c r="B246" s="2"/>
      <c r="C246" s="2"/>
      <c r="D246" s="2"/>
      <c r="E246" s="3"/>
    </row>
    <row r="247" spans="2:6" x14ac:dyDescent="0.15">
      <c r="B247" s="2"/>
      <c r="C247" s="2"/>
      <c r="D247" s="2"/>
      <c r="E247" s="3"/>
      <c r="F247" s="3"/>
    </row>
    <row r="248" spans="2:6" x14ac:dyDescent="0.15">
      <c r="B248" s="2"/>
      <c r="C248" s="2"/>
      <c r="D248" s="2"/>
      <c r="E248" s="3"/>
    </row>
    <row r="249" spans="2:6" x14ac:dyDescent="0.15">
      <c r="B249" s="2"/>
      <c r="C249" s="2"/>
      <c r="D249" s="2"/>
      <c r="E249" s="3"/>
    </row>
    <row r="250" spans="2:6" x14ac:dyDescent="0.15">
      <c r="B250" s="2"/>
      <c r="C250" s="2"/>
      <c r="D250" s="2"/>
      <c r="E250" s="3"/>
      <c r="F250" s="3"/>
    </row>
    <row r="251" spans="2:6" x14ac:dyDescent="0.15">
      <c r="B251" s="2"/>
      <c r="C251" s="2"/>
      <c r="D251" s="2"/>
      <c r="E251" s="3"/>
    </row>
    <row r="252" spans="2:6" x14ac:dyDescent="0.15">
      <c r="B252" s="2"/>
      <c r="C252" s="2"/>
      <c r="D252" s="2"/>
      <c r="E252" s="3"/>
    </row>
    <row r="253" spans="2:6" x14ac:dyDescent="0.15">
      <c r="B253" s="2"/>
      <c r="C253" s="2"/>
      <c r="D253" s="2"/>
      <c r="E253" s="3"/>
      <c r="F253" s="3"/>
    </row>
    <row r="254" spans="2:6" x14ac:dyDescent="0.15">
      <c r="B254" s="2"/>
      <c r="C254" s="2"/>
      <c r="D254" s="2"/>
      <c r="E254" s="3"/>
    </row>
    <row r="255" spans="2:6" x14ac:dyDescent="0.15">
      <c r="B255" s="2"/>
      <c r="C255" s="2"/>
      <c r="D255" s="2"/>
      <c r="E255" s="3"/>
    </row>
    <row r="256" spans="2:6" x14ac:dyDescent="0.15">
      <c r="B256" s="2"/>
      <c r="C256" s="2"/>
      <c r="D256" s="2"/>
      <c r="E256" s="3"/>
      <c r="F256" s="3"/>
    </row>
    <row r="257" spans="2:6" x14ac:dyDescent="0.15">
      <c r="B257" s="2"/>
      <c r="C257" s="2"/>
      <c r="D257" s="2"/>
      <c r="E257" s="3"/>
    </row>
    <row r="258" spans="2:6" x14ac:dyDescent="0.15">
      <c r="B258" s="2"/>
      <c r="C258" s="2"/>
      <c r="D258" s="2"/>
      <c r="E258" s="3"/>
    </row>
    <row r="259" spans="2:6" x14ac:dyDescent="0.15">
      <c r="B259" s="2"/>
      <c r="C259" s="2"/>
      <c r="D259" s="2"/>
      <c r="E259" s="3"/>
      <c r="F259" s="3"/>
    </row>
    <row r="260" spans="2:6" x14ac:dyDescent="0.15">
      <c r="B260" s="2"/>
      <c r="C260" s="2"/>
      <c r="D260" s="2"/>
      <c r="E260" s="3"/>
    </row>
    <row r="261" spans="2:6" x14ac:dyDescent="0.15">
      <c r="B261" s="2"/>
      <c r="C261" s="2"/>
      <c r="D261" s="2"/>
      <c r="E261" s="3"/>
    </row>
    <row r="262" spans="2:6" x14ac:dyDescent="0.15">
      <c r="B262" s="2"/>
      <c r="C262" s="2"/>
      <c r="D262" s="2"/>
      <c r="E262" s="3"/>
      <c r="F262" s="3"/>
    </row>
    <row r="263" spans="2:6" x14ac:dyDescent="0.15">
      <c r="B263" s="2"/>
      <c r="C263" s="2"/>
      <c r="D263" s="2"/>
      <c r="E263" s="3"/>
    </row>
    <row r="264" spans="2:6" x14ac:dyDescent="0.15">
      <c r="B264" s="2"/>
      <c r="C264" s="2"/>
      <c r="D264" s="2"/>
      <c r="E264" s="3"/>
    </row>
    <row r="265" spans="2:6" x14ac:dyDescent="0.15">
      <c r="B265" s="2"/>
      <c r="C265" s="2"/>
      <c r="D265" s="2"/>
      <c r="E265" s="3"/>
      <c r="F265" s="3"/>
    </row>
    <row r="266" spans="2:6" x14ac:dyDescent="0.15">
      <c r="B266" s="2"/>
      <c r="C266" s="2"/>
      <c r="D266" s="2"/>
      <c r="E266" s="3"/>
    </row>
    <row r="267" spans="2:6" x14ac:dyDescent="0.15">
      <c r="B267" s="2"/>
      <c r="C267" s="2"/>
      <c r="D267" s="2"/>
      <c r="E267" s="3"/>
    </row>
    <row r="268" spans="2:6" x14ac:dyDescent="0.15">
      <c r="B268" s="2"/>
      <c r="C268" s="2"/>
      <c r="D268" s="2"/>
      <c r="E268" s="3"/>
      <c r="F268" s="3"/>
    </row>
    <row r="269" spans="2:6" x14ac:dyDescent="0.15">
      <c r="B269" s="2"/>
      <c r="C269" s="2"/>
      <c r="D269" s="2"/>
      <c r="E269" s="3"/>
    </row>
    <row r="270" spans="2:6" x14ac:dyDescent="0.15">
      <c r="B270" s="2"/>
      <c r="C270" s="2"/>
      <c r="D270" s="2"/>
      <c r="E270" s="3"/>
    </row>
    <row r="271" spans="2:6" x14ac:dyDescent="0.15">
      <c r="B271" s="2"/>
      <c r="C271" s="2"/>
      <c r="D271" s="2"/>
      <c r="E271" s="3"/>
      <c r="F271" s="3"/>
    </row>
    <row r="272" spans="2:6" x14ac:dyDescent="0.15">
      <c r="B272" s="2"/>
      <c r="C272" s="2"/>
      <c r="D272" s="2"/>
      <c r="E272" s="3"/>
    </row>
    <row r="273" spans="2:6" x14ac:dyDescent="0.15">
      <c r="B273" s="2"/>
      <c r="C273" s="2"/>
      <c r="D273" s="2"/>
      <c r="E273" s="3"/>
    </row>
    <row r="274" spans="2:6" x14ac:dyDescent="0.15">
      <c r="B274" s="2"/>
      <c r="C274" s="2"/>
      <c r="D274" s="2"/>
      <c r="E274" s="3"/>
      <c r="F274" s="3"/>
    </row>
    <row r="275" spans="2:6" x14ac:dyDescent="0.15">
      <c r="B275" s="2"/>
      <c r="C275" s="2"/>
      <c r="D275" s="2"/>
      <c r="E275" s="3"/>
    </row>
    <row r="276" spans="2:6" x14ac:dyDescent="0.15">
      <c r="B276" s="2"/>
      <c r="C276" s="2"/>
      <c r="D276" s="2"/>
      <c r="E276" s="3"/>
    </row>
    <row r="277" spans="2:6" x14ac:dyDescent="0.15">
      <c r="B277" s="2"/>
      <c r="C277" s="2"/>
      <c r="D277" s="2"/>
      <c r="E277" s="3"/>
      <c r="F277" s="3"/>
    </row>
    <row r="278" spans="2:6" x14ac:dyDescent="0.15">
      <c r="B278" s="2"/>
      <c r="C278" s="2"/>
      <c r="D278" s="2"/>
      <c r="E278" s="3"/>
    </row>
    <row r="279" spans="2:6" x14ac:dyDescent="0.15">
      <c r="B279" s="2"/>
      <c r="C279" s="2"/>
      <c r="D279" s="2"/>
      <c r="E279" s="3"/>
    </row>
    <row r="280" spans="2:6" x14ac:dyDescent="0.15">
      <c r="B280" s="2"/>
      <c r="C280" s="2"/>
      <c r="D280" s="2"/>
      <c r="E280" s="3"/>
      <c r="F280" s="3"/>
    </row>
    <row r="281" spans="2:6" x14ac:dyDescent="0.15">
      <c r="B281" s="2"/>
      <c r="C281" s="2"/>
      <c r="D281" s="2"/>
      <c r="E281" s="3"/>
    </row>
    <row r="282" spans="2:6" x14ac:dyDescent="0.15">
      <c r="B282" s="2"/>
      <c r="C282" s="2"/>
      <c r="D282" s="2"/>
      <c r="E282" s="3"/>
    </row>
    <row r="283" spans="2:6" x14ac:dyDescent="0.15">
      <c r="B283" s="2"/>
      <c r="C283" s="2"/>
      <c r="D283" s="2"/>
      <c r="E283" s="3"/>
      <c r="F283" s="3"/>
    </row>
    <row r="284" spans="2:6" x14ac:dyDescent="0.15">
      <c r="B284" s="2"/>
      <c r="C284" s="2"/>
      <c r="D284" s="2"/>
      <c r="E284" s="3"/>
    </row>
    <row r="285" spans="2:6" x14ac:dyDescent="0.15">
      <c r="B285" s="2"/>
      <c r="C285" s="2"/>
      <c r="D285" s="2"/>
      <c r="E285" s="3"/>
    </row>
    <row r="286" spans="2:6" x14ac:dyDescent="0.15">
      <c r="B286" s="2"/>
      <c r="C286" s="2"/>
      <c r="D286" s="2"/>
      <c r="E286" s="3"/>
      <c r="F286" s="3"/>
    </row>
    <row r="287" spans="2:6" x14ac:dyDescent="0.15">
      <c r="B287" s="2"/>
      <c r="C287" s="2"/>
      <c r="D287" s="2"/>
      <c r="E287" s="3"/>
    </row>
    <row r="288" spans="2:6" x14ac:dyDescent="0.15">
      <c r="B288" s="2"/>
      <c r="C288" s="2"/>
      <c r="D288" s="2"/>
      <c r="E288" s="3"/>
    </row>
    <row r="289" spans="2:6" x14ac:dyDescent="0.15">
      <c r="B289" s="2"/>
      <c r="C289" s="2"/>
      <c r="D289" s="2"/>
      <c r="E289" s="3"/>
      <c r="F289" s="3"/>
    </row>
    <row r="290" spans="2:6" x14ac:dyDescent="0.15">
      <c r="B290" s="2"/>
      <c r="C290" s="2"/>
      <c r="D290" s="2"/>
      <c r="E290" s="3"/>
    </row>
    <row r="291" spans="2:6" x14ac:dyDescent="0.15">
      <c r="B291" s="2"/>
      <c r="C291" s="2"/>
      <c r="D291" s="2"/>
      <c r="E291" s="3"/>
    </row>
    <row r="292" spans="2:6" x14ac:dyDescent="0.15">
      <c r="B292" s="2"/>
      <c r="C292" s="2"/>
      <c r="D292" s="2"/>
      <c r="E292" s="3"/>
      <c r="F292" s="3"/>
    </row>
    <row r="293" spans="2:6" x14ac:dyDescent="0.15">
      <c r="B293" s="2"/>
      <c r="C293" s="2"/>
      <c r="D293" s="2"/>
      <c r="E293" s="3"/>
    </row>
    <row r="294" spans="2:6" x14ac:dyDescent="0.15">
      <c r="B294" s="2"/>
      <c r="C294" s="2"/>
      <c r="D294" s="2"/>
      <c r="E294" s="3"/>
    </row>
    <row r="295" spans="2:6" x14ac:dyDescent="0.15">
      <c r="B295" s="2"/>
      <c r="C295" s="2"/>
      <c r="D295" s="2"/>
      <c r="E295" s="3"/>
      <c r="F295" s="3"/>
    </row>
    <row r="296" spans="2:6" x14ac:dyDescent="0.15">
      <c r="B296" s="2"/>
      <c r="C296" s="2"/>
      <c r="D296" s="2"/>
      <c r="E296" s="3"/>
    </row>
    <row r="297" spans="2:6" x14ac:dyDescent="0.15">
      <c r="B297" s="2"/>
      <c r="C297" s="2"/>
      <c r="D297" s="2"/>
      <c r="E297" s="3"/>
    </row>
    <row r="298" spans="2:6" x14ac:dyDescent="0.15">
      <c r="B298" s="2"/>
      <c r="C298" s="2"/>
      <c r="D298" s="2"/>
      <c r="E298" s="3"/>
      <c r="F298" s="3"/>
    </row>
    <row r="299" spans="2:6" x14ac:dyDescent="0.15">
      <c r="B299" s="2"/>
      <c r="C299" s="2"/>
      <c r="D299" s="2"/>
      <c r="E299" s="3"/>
    </row>
    <row r="300" spans="2:6" x14ac:dyDescent="0.15">
      <c r="B300" s="2"/>
      <c r="C300" s="2"/>
      <c r="D300" s="2"/>
      <c r="E300" s="3"/>
    </row>
    <row r="301" spans="2:6" x14ac:dyDescent="0.15">
      <c r="B301" s="2"/>
      <c r="C301" s="2"/>
      <c r="D301" s="2"/>
      <c r="E301" s="3"/>
      <c r="F301" s="3"/>
    </row>
    <row r="302" spans="2:6" x14ac:dyDescent="0.15">
      <c r="B302" s="2"/>
      <c r="C302" s="2"/>
      <c r="D302" s="2"/>
      <c r="E302" s="3"/>
    </row>
    <row r="303" spans="2:6" x14ac:dyDescent="0.15">
      <c r="B303" s="2"/>
      <c r="C303" s="2"/>
      <c r="D303" s="2"/>
      <c r="E303" s="3"/>
    </row>
    <row r="304" spans="2:6" x14ac:dyDescent="0.15">
      <c r="B304" s="2"/>
      <c r="C304" s="2"/>
      <c r="D304" s="2"/>
      <c r="E304" s="3"/>
      <c r="F304" s="3"/>
    </row>
    <row r="305" spans="2:6" x14ac:dyDescent="0.15">
      <c r="B305" s="2"/>
      <c r="C305" s="2"/>
      <c r="D305" s="2"/>
      <c r="E305" s="3"/>
    </row>
    <row r="306" spans="2:6" x14ac:dyDescent="0.15">
      <c r="B306" s="2"/>
      <c r="C306" s="2"/>
      <c r="D306" s="2"/>
      <c r="E306" s="3"/>
    </row>
    <row r="307" spans="2:6" x14ac:dyDescent="0.15">
      <c r="B307" s="2"/>
      <c r="C307" s="2"/>
      <c r="D307" s="2"/>
      <c r="E307" s="3"/>
      <c r="F307" s="3"/>
    </row>
    <row r="308" spans="2:6" x14ac:dyDescent="0.15">
      <c r="B308" s="2"/>
      <c r="C308" s="2"/>
      <c r="D308" s="2"/>
      <c r="E308" s="3"/>
    </row>
    <row r="309" spans="2:6" x14ac:dyDescent="0.15">
      <c r="B309" s="2"/>
      <c r="C309" s="2"/>
      <c r="D309" s="2"/>
      <c r="E309" s="3"/>
    </row>
    <row r="310" spans="2:6" x14ac:dyDescent="0.15">
      <c r="B310" s="2"/>
      <c r="C310" s="2"/>
      <c r="D310" s="2"/>
      <c r="E310" s="3"/>
      <c r="F310" s="3"/>
    </row>
    <row r="311" spans="2:6" x14ac:dyDescent="0.15">
      <c r="B311" s="2"/>
      <c r="C311" s="2"/>
      <c r="D311" s="2"/>
      <c r="E311" s="3"/>
    </row>
    <row r="312" spans="2:6" x14ac:dyDescent="0.15">
      <c r="B312" s="2"/>
      <c r="C312" s="2"/>
      <c r="D312" s="2"/>
      <c r="E312" s="3"/>
    </row>
    <row r="313" spans="2:6" x14ac:dyDescent="0.15">
      <c r="B313" s="2"/>
      <c r="C313" s="2"/>
      <c r="D313" s="2"/>
      <c r="E313" s="3"/>
      <c r="F313" s="3"/>
    </row>
    <row r="314" spans="2:6" x14ac:dyDescent="0.15">
      <c r="B314" s="2"/>
      <c r="C314" s="2"/>
      <c r="D314" s="2"/>
      <c r="E314" s="3"/>
    </row>
    <row r="315" spans="2:6" x14ac:dyDescent="0.15">
      <c r="B315" s="2"/>
      <c r="C315" s="2"/>
      <c r="D315" s="2"/>
      <c r="E315" s="3"/>
    </row>
    <row r="316" spans="2:6" x14ac:dyDescent="0.15">
      <c r="B316" s="2"/>
      <c r="C316" s="2"/>
      <c r="D316" s="2"/>
      <c r="E316" s="3"/>
      <c r="F316" s="3"/>
    </row>
    <row r="317" spans="2:6" x14ac:dyDescent="0.15">
      <c r="B317" s="2"/>
      <c r="C317" s="2"/>
      <c r="D317" s="2"/>
      <c r="E317" s="3"/>
    </row>
    <row r="318" spans="2:6" x14ac:dyDescent="0.15">
      <c r="B318" s="2"/>
      <c r="C318" s="2"/>
      <c r="D318" s="2"/>
      <c r="E318" s="3"/>
    </row>
    <row r="319" spans="2:6" x14ac:dyDescent="0.15">
      <c r="B319" s="2"/>
      <c r="C319" s="2"/>
      <c r="D319" s="2"/>
      <c r="E319" s="3"/>
      <c r="F319" s="3"/>
    </row>
    <row r="320" spans="2:6" x14ac:dyDescent="0.15">
      <c r="B320" s="2"/>
      <c r="C320" s="2"/>
      <c r="D320" s="2"/>
      <c r="E320" s="3"/>
    </row>
    <row r="321" spans="2:6" x14ac:dyDescent="0.15">
      <c r="B321" s="2"/>
      <c r="C321" s="2"/>
      <c r="D321" s="2"/>
      <c r="E321" s="3"/>
    </row>
    <row r="322" spans="2:6" x14ac:dyDescent="0.15">
      <c r="B322" s="2"/>
      <c r="C322" s="2"/>
      <c r="D322" s="2"/>
      <c r="E322" s="3"/>
      <c r="F322" s="3"/>
    </row>
    <row r="323" spans="2:6" x14ac:dyDescent="0.15">
      <c r="B323" s="2"/>
      <c r="C323" s="2"/>
      <c r="D323" s="2"/>
      <c r="E323" s="3"/>
    </row>
    <row r="324" spans="2:6" x14ac:dyDescent="0.15">
      <c r="B324" s="2"/>
      <c r="C324" s="2"/>
      <c r="D324" s="2"/>
      <c r="E324" s="3"/>
    </row>
    <row r="325" spans="2:6" x14ac:dyDescent="0.15">
      <c r="B325" s="2"/>
      <c r="C325" s="2"/>
      <c r="D325" s="2"/>
      <c r="E325" s="3"/>
      <c r="F325" s="3"/>
    </row>
    <row r="326" spans="2:6" x14ac:dyDescent="0.15">
      <c r="B326" s="2"/>
      <c r="C326" s="2"/>
      <c r="D326" s="2"/>
      <c r="E326" s="3"/>
    </row>
    <row r="327" spans="2:6" x14ac:dyDescent="0.15">
      <c r="B327" s="2"/>
      <c r="C327" s="2"/>
      <c r="D327" s="2"/>
      <c r="E327" s="3"/>
    </row>
    <row r="328" spans="2:6" x14ac:dyDescent="0.15">
      <c r="B328" s="2"/>
      <c r="C328" s="2"/>
      <c r="D328" s="2"/>
      <c r="E328" s="3"/>
      <c r="F328" s="3"/>
    </row>
    <row r="329" spans="2:6" x14ac:dyDescent="0.15">
      <c r="B329" s="2"/>
      <c r="C329" s="2"/>
      <c r="D329" s="2"/>
      <c r="E329" s="3"/>
    </row>
    <row r="330" spans="2:6" x14ac:dyDescent="0.1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Regs</vt:lpstr>
      <vt:lpstr>28N2-O2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Duruturk, Berk</cp:lastModifiedBy>
  <cp:lastPrinted>2006-11-29T02:27:39Z</cp:lastPrinted>
  <dcterms:created xsi:type="dcterms:W3CDTF">2002-01-15T19:09:40Z</dcterms:created>
  <dcterms:modified xsi:type="dcterms:W3CDTF">2024-10-25T21:07:13Z</dcterms:modified>
</cp:coreProperties>
</file>