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"/>
    </mc:Choice>
  </mc:AlternateContent>
  <xr:revisionPtr revIDLastSave="0" documentId="13_ncr:1_{6576FE06-0386-4884-9DBB-C3C8BDDE2B6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" sheetId="1" r:id="rId1"/>
    <sheet name="Regs" sheetId="4" r:id="rId2"/>
    <sheet name="28N2-O2" sheetId="5" r:id="rId3"/>
    <sheet name="30N2" sheetId="6" r:id="rId4"/>
    <sheet name="29N2" sheetId="7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4" l="1"/>
  <c r="A9" i="4"/>
  <c r="A7" i="4"/>
  <c r="A5" i="4"/>
  <c r="A6" i="4"/>
  <c r="A4" i="4"/>
  <c r="A17" i="4"/>
  <c r="A18" i="4"/>
  <c r="A16" i="4"/>
  <c r="A14" i="4"/>
  <c r="A15" i="4"/>
  <c r="A13" i="4"/>
  <c r="A11" i="4"/>
  <c r="A12" i="4"/>
  <c r="A10" i="4"/>
  <c r="A28" i="4"/>
  <c r="A29" i="4"/>
  <c r="A30" i="4"/>
  <c r="A31" i="4"/>
  <c r="A32" i="4"/>
  <c r="A33" i="4"/>
  <c r="A34" i="4"/>
  <c r="A35" i="4"/>
  <c r="A36" i="4"/>
  <c r="A37" i="4"/>
  <c r="A38" i="4"/>
  <c r="A39" i="4"/>
  <c r="M8" i="1"/>
  <c r="H8" i="1" s="1"/>
  <c r="B4" i="4" s="1"/>
  <c r="C222" i="7" l="1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D201" i="7" s="1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A193" i="7"/>
  <c r="C192" i="7"/>
  <c r="B192" i="7"/>
  <c r="C191" i="7"/>
  <c r="B191" i="7"/>
  <c r="C190" i="7"/>
  <c r="B190" i="7"/>
  <c r="C189" i="7"/>
  <c r="D189" i="7" s="1"/>
  <c r="B189" i="7"/>
  <c r="C188" i="7"/>
  <c r="B188" i="7"/>
  <c r="C187" i="7"/>
  <c r="D187" i="7" s="1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D179" i="7" s="1"/>
  <c r="C178" i="7"/>
  <c r="B178" i="7"/>
  <c r="C177" i="7"/>
  <c r="D177" i="7" s="1"/>
  <c r="B177" i="7"/>
  <c r="C176" i="7"/>
  <c r="B176" i="7"/>
  <c r="C175" i="7"/>
  <c r="B175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C38" i="7"/>
  <c r="B39" i="7"/>
  <c r="C39" i="7"/>
  <c r="D39" i="7" s="1"/>
  <c r="B40" i="7"/>
  <c r="C40" i="7"/>
  <c r="B41" i="7"/>
  <c r="C41" i="7"/>
  <c r="B42" i="7"/>
  <c r="C42" i="7"/>
  <c r="C37" i="7"/>
  <c r="B37" i="7"/>
  <c r="B32" i="7"/>
  <c r="C32" i="7"/>
  <c r="B33" i="7"/>
  <c r="C33" i="7"/>
  <c r="D33" i="7" s="1"/>
  <c r="B34" i="7"/>
  <c r="C34" i="7"/>
  <c r="B35" i="7"/>
  <c r="C35" i="7"/>
  <c r="B36" i="7"/>
  <c r="C36" i="7"/>
  <c r="C31" i="7"/>
  <c r="B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B222" i="6"/>
  <c r="C222" i="6" s="1"/>
  <c r="D221" i="6"/>
  <c r="B221" i="6"/>
  <c r="C221" i="6" s="1"/>
  <c r="D220" i="6"/>
  <c r="B220" i="6"/>
  <c r="C220" i="6" s="1"/>
  <c r="E220" i="6" s="1"/>
  <c r="A220" i="6"/>
  <c r="A220" i="7" s="1"/>
  <c r="D219" i="6"/>
  <c r="B219" i="6"/>
  <c r="C219" i="6" s="1"/>
  <c r="D218" i="6"/>
  <c r="B218" i="6"/>
  <c r="C218" i="6" s="1"/>
  <c r="D217" i="6"/>
  <c r="B217" i="6"/>
  <c r="C217" i="6" s="1"/>
  <c r="A217" i="6"/>
  <c r="A217" i="7" s="1"/>
  <c r="D216" i="6"/>
  <c r="B216" i="6"/>
  <c r="C216" i="6" s="1"/>
  <c r="D215" i="6"/>
  <c r="B215" i="6"/>
  <c r="C215" i="6" s="1"/>
  <c r="D214" i="6"/>
  <c r="B214" i="6"/>
  <c r="C214" i="6" s="1"/>
  <c r="A214" i="6"/>
  <c r="A214" i="7" s="1"/>
  <c r="D213" i="6"/>
  <c r="B213" i="6"/>
  <c r="C213" i="6" s="1"/>
  <c r="D212" i="6"/>
  <c r="B212" i="6"/>
  <c r="C212" i="6" s="1"/>
  <c r="D211" i="6"/>
  <c r="B211" i="6"/>
  <c r="C211" i="6" s="1"/>
  <c r="E211" i="6" s="1"/>
  <c r="A211" i="6"/>
  <c r="A211" i="7" s="1"/>
  <c r="D210" i="6"/>
  <c r="B210" i="6"/>
  <c r="C210" i="6" s="1"/>
  <c r="D209" i="6"/>
  <c r="B209" i="6"/>
  <c r="C209" i="6" s="1"/>
  <c r="D208" i="6"/>
  <c r="B208" i="6"/>
  <c r="C208" i="6" s="1"/>
  <c r="E208" i="6" s="1"/>
  <c r="A208" i="6"/>
  <c r="A208" i="7" s="1"/>
  <c r="D207" i="6"/>
  <c r="B207" i="6"/>
  <c r="C207" i="6" s="1"/>
  <c r="D206" i="6"/>
  <c r="B206" i="6"/>
  <c r="C206" i="6" s="1"/>
  <c r="D205" i="6"/>
  <c r="B205" i="6"/>
  <c r="C205" i="6" s="1"/>
  <c r="A205" i="6"/>
  <c r="A205" i="7" s="1"/>
  <c r="D204" i="6"/>
  <c r="B204" i="6"/>
  <c r="C204" i="6" s="1"/>
  <c r="D203" i="6"/>
  <c r="B203" i="6"/>
  <c r="C203" i="6" s="1"/>
  <c r="D202" i="6"/>
  <c r="B202" i="6"/>
  <c r="C202" i="6" s="1"/>
  <c r="A202" i="6"/>
  <c r="A202" i="7" s="1"/>
  <c r="D201" i="6"/>
  <c r="B201" i="6"/>
  <c r="C201" i="6" s="1"/>
  <c r="D200" i="6"/>
  <c r="B200" i="6"/>
  <c r="C200" i="6" s="1"/>
  <c r="D199" i="6"/>
  <c r="B199" i="6"/>
  <c r="C199" i="6" s="1"/>
  <c r="A199" i="6"/>
  <c r="A199" i="7" s="1"/>
  <c r="D198" i="6"/>
  <c r="B198" i="6"/>
  <c r="C198" i="6" s="1"/>
  <c r="D197" i="6"/>
  <c r="B197" i="6"/>
  <c r="C197" i="6" s="1"/>
  <c r="D196" i="6"/>
  <c r="B196" i="6"/>
  <c r="C196" i="6" s="1"/>
  <c r="A196" i="6"/>
  <c r="A196" i="7" s="1"/>
  <c r="D195" i="6"/>
  <c r="B195" i="6"/>
  <c r="C195" i="6" s="1"/>
  <c r="E195" i="6" s="1"/>
  <c r="D194" i="6"/>
  <c r="B194" i="6"/>
  <c r="C194" i="6" s="1"/>
  <c r="D193" i="6"/>
  <c r="B193" i="6"/>
  <c r="C193" i="6" s="1"/>
  <c r="A193" i="6"/>
  <c r="D192" i="6"/>
  <c r="B192" i="6"/>
  <c r="C192" i="6" s="1"/>
  <c r="D191" i="6"/>
  <c r="B191" i="6"/>
  <c r="C191" i="6" s="1"/>
  <c r="D190" i="6"/>
  <c r="B190" i="6"/>
  <c r="C190" i="6" s="1"/>
  <c r="E190" i="6" s="1"/>
  <c r="A190" i="6"/>
  <c r="A190" i="7" s="1"/>
  <c r="D189" i="6"/>
  <c r="B189" i="6"/>
  <c r="C189" i="6" s="1"/>
  <c r="D188" i="6"/>
  <c r="B188" i="6"/>
  <c r="C188" i="6" s="1"/>
  <c r="E188" i="6" s="1"/>
  <c r="D187" i="6"/>
  <c r="B187" i="6"/>
  <c r="C187" i="6" s="1"/>
  <c r="A187" i="6"/>
  <c r="A187" i="7" s="1"/>
  <c r="D186" i="6"/>
  <c r="B186" i="6"/>
  <c r="C186" i="6" s="1"/>
  <c r="D185" i="6"/>
  <c r="B185" i="6"/>
  <c r="C185" i="6" s="1"/>
  <c r="D184" i="6"/>
  <c r="B184" i="6"/>
  <c r="C184" i="6" s="1"/>
  <c r="A184" i="6"/>
  <c r="A184" i="7" s="1"/>
  <c r="D183" i="6"/>
  <c r="B183" i="6"/>
  <c r="C183" i="6" s="1"/>
  <c r="D182" i="6"/>
  <c r="B182" i="6"/>
  <c r="C182" i="6" s="1"/>
  <c r="D181" i="6"/>
  <c r="B181" i="6"/>
  <c r="C181" i="6" s="1"/>
  <c r="A181" i="6"/>
  <c r="A181" i="7" s="1"/>
  <c r="D180" i="6"/>
  <c r="B180" i="6"/>
  <c r="C180" i="6" s="1"/>
  <c r="D179" i="6"/>
  <c r="B179" i="6"/>
  <c r="C179" i="6" s="1"/>
  <c r="D178" i="6"/>
  <c r="B178" i="6"/>
  <c r="C178" i="6" s="1"/>
  <c r="A178" i="6"/>
  <c r="A178" i="7" s="1"/>
  <c r="D177" i="6"/>
  <c r="B177" i="6"/>
  <c r="C177" i="6" s="1"/>
  <c r="D176" i="6"/>
  <c r="B176" i="6"/>
  <c r="C176" i="6" s="1"/>
  <c r="E176" i="6" s="1"/>
  <c r="D175" i="6"/>
  <c r="B175" i="6"/>
  <c r="C175" i="6" s="1"/>
  <c r="A175" i="6"/>
  <c r="A175" i="7" s="1"/>
  <c r="D162" i="6"/>
  <c r="B162" i="6"/>
  <c r="C162" i="6" s="1"/>
  <c r="D161" i="6"/>
  <c r="B161" i="6"/>
  <c r="C161" i="6" s="1"/>
  <c r="D160" i="6"/>
  <c r="B160" i="6"/>
  <c r="C160" i="6" s="1"/>
  <c r="A160" i="6"/>
  <c r="A160" i="7" s="1"/>
  <c r="D159" i="6"/>
  <c r="B159" i="6"/>
  <c r="C159" i="6" s="1"/>
  <c r="D158" i="6"/>
  <c r="B158" i="6"/>
  <c r="C158" i="6" s="1"/>
  <c r="D157" i="6"/>
  <c r="B157" i="6"/>
  <c r="C157" i="6" s="1"/>
  <c r="A157" i="6"/>
  <c r="A157" i="7" s="1"/>
  <c r="D114" i="6"/>
  <c r="B114" i="6"/>
  <c r="C114" i="6" s="1"/>
  <c r="D113" i="6"/>
  <c r="B113" i="6"/>
  <c r="C113" i="6" s="1"/>
  <c r="D112" i="6"/>
  <c r="B112" i="6"/>
  <c r="C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E49" i="6" s="1"/>
  <c r="B50" i="6"/>
  <c r="C50" i="6" s="1"/>
  <c r="B51" i="6"/>
  <c r="C51" i="6" s="1"/>
  <c r="B52" i="6"/>
  <c r="C52" i="6" s="1"/>
  <c r="E52" i="6" s="1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A52" i="6"/>
  <c r="A49" i="6"/>
  <c r="A46" i="6"/>
  <c r="A43" i="6"/>
  <c r="A40" i="6"/>
  <c r="A40" i="7" s="1"/>
  <c r="A37" i="6"/>
  <c r="A37" i="7" s="1"/>
  <c r="A34" i="6"/>
  <c r="A34" i="7" s="1"/>
  <c r="A31" i="6"/>
  <c r="A31" i="7" s="1"/>
  <c r="A28" i="6"/>
  <c r="A25" i="6"/>
  <c r="A22" i="6"/>
  <c r="A19" i="6"/>
  <c r="A2" i="6"/>
  <c r="F220" i="5"/>
  <c r="F219" i="5"/>
  <c r="D225" i="5"/>
  <c r="E228" i="5"/>
  <c r="F228" i="5" s="1"/>
  <c r="C228" i="5"/>
  <c r="D228" i="5" s="1"/>
  <c r="B228" i="5"/>
  <c r="E227" i="5"/>
  <c r="F227" i="5" s="1"/>
  <c r="C227" i="5"/>
  <c r="D227" i="5" s="1"/>
  <c r="B227" i="5"/>
  <c r="O226" i="5"/>
  <c r="E226" i="5"/>
  <c r="F226" i="5" s="1"/>
  <c r="C226" i="5"/>
  <c r="D226" i="5" s="1"/>
  <c r="B226" i="5"/>
  <c r="A226" i="5"/>
  <c r="E225" i="5"/>
  <c r="C225" i="5"/>
  <c r="B225" i="5"/>
  <c r="E224" i="5"/>
  <c r="C224" i="5"/>
  <c r="D224" i="5" s="1"/>
  <c r="B224" i="5"/>
  <c r="O223" i="5"/>
  <c r="E223" i="5"/>
  <c r="C223" i="5"/>
  <c r="D223" i="5" s="1"/>
  <c r="B223" i="5"/>
  <c r="A223" i="5"/>
  <c r="E222" i="5"/>
  <c r="F222" i="5" s="1"/>
  <c r="C222" i="5"/>
  <c r="B222" i="5"/>
  <c r="E221" i="5"/>
  <c r="C221" i="5"/>
  <c r="B221" i="5"/>
  <c r="O220" i="5"/>
  <c r="E220" i="5"/>
  <c r="C220" i="5"/>
  <c r="D220" i="5" s="1"/>
  <c r="B220" i="5"/>
  <c r="A220" i="5"/>
  <c r="E219" i="5"/>
  <c r="C219" i="5"/>
  <c r="D219" i="5" s="1"/>
  <c r="B219" i="5"/>
  <c r="E218" i="5"/>
  <c r="F218" i="5" s="1"/>
  <c r="C218" i="5"/>
  <c r="D218" i="5" s="1"/>
  <c r="B218" i="5"/>
  <c r="O217" i="5"/>
  <c r="E217" i="5"/>
  <c r="F217" i="5" s="1"/>
  <c r="C217" i="5"/>
  <c r="B217" i="5"/>
  <c r="A217" i="5"/>
  <c r="E216" i="5"/>
  <c r="C216" i="5"/>
  <c r="B216" i="5"/>
  <c r="E215" i="5"/>
  <c r="C215" i="5"/>
  <c r="B215" i="5"/>
  <c r="O214" i="5"/>
  <c r="E214" i="5"/>
  <c r="C214" i="5"/>
  <c r="B214" i="5"/>
  <c r="A214" i="5"/>
  <c r="E213" i="5"/>
  <c r="C213" i="5"/>
  <c r="B213" i="5"/>
  <c r="E212" i="5"/>
  <c r="C212" i="5"/>
  <c r="B212" i="5"/>
  <c r="O211" i="5"/>
  <c r="E211" i="5"/>
  <c r="C211" i="5"/>
  <c r="B211" i="5"/>
  <c r="A211" i="5"/>
  <c r="E210" i="5"/>
  <c r="C210" i="5"/>
  <c r="B210" i="5"/>
  <c r="E209" i="5"/>
  <c r="C209" i="5"/>
  <c r="B209" i="5"/>
  <c r="O208" i="5"/>
  <c r="E208" i="5"/>
  <c r="C208" i="5"/>
  <c r="B208" i="5"/>
  <c r="A208" i="5"/>
  <c r="E207" i="5"/>
  <c r="C207" i="5"/>
  <c r="B207" i="5"/>
  <c r="E206" i="5"/>
  <c r="C206" i="5"/>
  <c r="B206" i="5"/>
  <c r="O205" i="5"/>
  <c r="E205" i="5"/>
  <c r="C205" i="5"/>
  <c r="B205" i="5"/>
  <c r="A205" i="5"/>
  <c r="E204" i="5"/>
  <c r="C204" i="5"/>
  <c r="B204" i="5"/>
  <c r="E203" i="5"/>
  <c r="C203" i="5"/>
  <c r="B203" i="5"/>
  <c r="O202" i="5"/>
  <c r="E202" i="5"/>
  <c r="C202" i="5"/>
  <c r="B202" i="5"/>
  <c r="A202" i="5"/>
  <c r="E201" i="5"/>
  <c r="C201" i="5"/>
  <c r="B201" i="5"/>
  <c r="E200" i="5"/>
  <c r="C200" i="5"/>
  <c r="B200" i="5"/>
  <c r="O199" i="5"/>
  <c r="E199" i="5"/>
  <c r="C199" i="5"/>
  <c r="B199" i="5"/>
  <c r="A199" i="5"/>
  <c r="E198" i="5"/>
  <c r="C198" i="5"/>
  <c r="B198" i="5"/>
  <c r="E197" i="5"/>
  <c r="C197" i="5"/>
  <c r="B197" i="5"/>
  <c r="O196" i="5"/>
  <c r="E196" i="5"/>
  <c r="C196" i="5"/>
  <c r="B196" i="5"/>
  <c r="A196" i="5"/>
  <c r="E195" i="5"/>
  <c r="C195" i="5"/>
  <c r="B195" i="5"/>
  <c r="E194" i="5"/>
  <c r="C194" i="5"/>
  <c r="B194" i="5"/>
  <c r="O193" i="5"/>
  <c r="E193" i="5"/>
  <c r="C193" i="5"/>
  <c r="B193" i="5"/>
  <c r="A193" i="5"/>
  <c r="E192" i="5"/>
  <c r="C192" i="5"/>
  <c r="B192" i="5"/>
  <c r="E191" i="5"/>
  <c r="C191" i="5"/>
  <c r="B191" i="5"/>
  <c r="O190" i="5"/>
  <c r="E190" i="5"/>
  <c r="C190" i="5"/>
  <c r="B190" i="5"/>
  <c r="A190" i="5"/>
  <c r="E189" i="5"/>
  <c r="C189" i="5"/>
  <c r="B189" i="5"/>
  <c r="E188" i="5"/>
  <c r="C188" i="5"/>
  <c r="B188" i="5"/>
  <c r="O187" i="5"/>
  <c r="E187" i="5"/>
  <c r="C187" i="5"/>
  <c r="B187" i="5"/>
  <c r="A187" i="5"/>
  <c r="E186" i="5"/>
  <c r="C186" i="5"/>
  <c r="B186" i="5"/>
  <c r="E185" i="5"/>
  <c r="C185" i="5"/>
  <c r="B185" i="5"/>
  <c r="O184" i="5"/>
  <c r="E184" i="5"/>
  <c r="C184" i="5"/>
  <c r="B184" i="5"/>
  <c r="A184" i="5"/>
  <c r="E183" i="5"/>
  <c r="C183" i="5"/>
  <c r="B183" i="5"/>
  <c r="E182" i="5"/>
  <c r="C182" i="5"/>
  <c r="B182" i="5"/>
  <c r="O181" i="5"/>
  <c r="E181" i="5"/>
  <c r="C181" i="5"/>
  <c r="B181" i="5"/>
  <c r="A181" i="5"/>
  <c r="B6" i="5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A138" i="4"/>
  <c r="A136" i="4"/>
  <c r="A134" i="4"/>
  <c r="A135" i="4"/>
  <c r="A133" i="4"/>
  <c r="A131" i="4"/>
  <c r="A132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A98" i="4"/>
  <c r="A96" i="4"/>
  <c r="A94" i="4"/>
  <c r="A95" i="4"/>
  <c r="A93" i="4"/>
  <c r="A91" i="4"/>
  <c r="A92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A58" i="4"/>
  <c r="A56" i="4"/>
  <c r="A54" i="4"/>
  <c r="A55" i="4"/>
  <c r="A53" i="4"/>
  <c r="A51" i="4"/>
  <c r="A52" i="4"/>
  <c r="A50" i="4"/>
  <c r="E197" i="6" l="1"/>
  <c r="E216" i="6"/>
  <c r="E158" i="6"/>
  <c r="E198" i="6"/>
  <c r="E200" i="6"/>
  <c r="F200" i="6" s="1"/>
  <c r="D199" i="7"/>
  <c r="D211" i="7"/>
  <c r="D221" i="7"/>
  <c r="E185" i="6"/>
  <c r="F185" i="6" s="1"/>
  <c r="E213" i="6"/>
  <c r="F213" i="6" s="1"/>
  <c r="E51" i="6"/>
  <c r="F51" i="6" s="1"/>
  <c r="D176" i="7"/>
  <c r="D194" i="7"/>
  <c r="E160" i="6"/>
  <c r="D195" i="7"/>
  <c r="D188" i="7"/>
  <c r="D217" i="7"/>
  <c r="E112" i="6"/>
  <c r="E193" i="6"/>
  <c r="D41" i="7"/>
  <c r="D193" i="7"/>
  <c r="D181" i="7"/>
  <c r="D200" i="7"/>
  <c r="D159" i="7"/>
  <c r="D219" i="7"/>
  <c r="E206" i="6"/>
  <c r="D183" i="7"/>
  <c r="D212" i="7"/>
  <c r="E183" i="6"/>
  <c r="F183" i="6" s="1"/>
  <c r="D197" i="7"/>
  <c r="E210" i="6"/>
  <c r="F210" i="6" s="1"/>
  <c r="D182" i="7"/>
  <c r="E203" i="6"/>
  <c r="F203" i="6" s="1"/>
  <c r="D205" i="7"/>
  <c r="E187" i="6"/>
  <c r="F187" i="6" s="1"/>
  <c r="E180" i="6"/>
  <c r="F180" i="6" s="1"/>
  <c r="D206" i="7"/>
  <c r="E196" i="6"/>
  <c r="F196" i="6" s="1"/>
  <c r="G196" i="6" s="1"/>
  <c r="E212" i="6"/>
  <c r="F212" i="6" s="1"/>
  <c r="D207" i="7"/>
  <c r="D192" i="7"/>
  <c r="D208" i="7"/>
  <c r="E175" i="6"/>
  <c r="F175" i="6" s="1"/>
  <c r="D185" i="7"/>
  <c r="D209" i="7"/>
  <c r="E191" i="6"/>
  <c r="E214" i="6"/>
  <c r="E222" i="6"/>
  <c r="D218" i="7"/>
  <c r="E199" i="6"/>
  <c r="E207" i="6"/>
  <c r="F207" i="6" s="1"/>
  <c r="E215" i="6"/>
  <c r="F215" i="6" s="1"/>
  <c r="D186" i="7"/>
  <c r="D210" i="7"/>
  <c r="D214" i="7"/>
  <c r="E219" i="6"/>
  <c r="D162" i="7"/>
  <c r="D190" i="7"/>
  <c r="D215" i="7"/>
  <c r="D175" i="7"/>
  <c r="D191" i="7"/>
  <c r="D216" i="7"/>
  <c r="E221" i="6"/>
  <c r="F221" i="6" s="1"/>
  <c r="D184" i="7"/>
  <c r="E184" i="6"/>
  <c r="F184" i="6" s="1"/>
  <c r="E192" i="6"/>
  <c r="F192" i="6" s="1"/>
  <c r="D158" i="7"/>
  <c r="D178" i="7"/>
  <c r="D217" i="5"/>
  <c r="E177" i="6"/>
  <c r="F177" i="6" s="1"/>
  <c r="D202" i="7"/>
  <c r="D220" i="7"/>
  <c r="F223" i="5"/>
  <c r="E201" i="6"/>
  <c r="F201" i="6" s="1"/>
  <c r="D38" i="7"/>
  <c r="D180" i="7"/>
  <c r="D203" i="7"/>
  <c r="F221" i="5"/>
  <c r="D221" i="5"/>
  <c r="F225" i="5"/>
  <c r="E217" i="6"/>
  <c r="D204" i="7"/>
  <c r="D198" i="7"/>
  <c r="E204" i="6"/>
  <c r="F204" i="6" s="1"/>
  <c r="E189" i="6"/>
  <c r="F189" i="6" s="1"/>
  <c r="E205" i="6"/>
  <c r="F205" i="6" s="1"/>
  <c r="F224" i="5"/>
  <c r="E209" i="6"/>
  <c r="F209" i="6" s="1"/>
  <c r="D222" i="5"/>
  <c r="E179" i="6"/>
  <c r="F179" i="6" s="1"/>
  <c r="E194" i="6"/>
  <c r="F194" i="6" s="1"/>
  <c r="E218" i="6"/>
  <c r="D160" i="7"/>
  <c r="D196" i="7"/>
  <c r="D213" i="7"/>
  <c r="D222" i="7"/>
  <c r="F220" i="6"/>
  <c r="F197" i="6"/>
  <c r="F198" i="6"/>
  <c r="F206" i="6"/>
  <c r="F193" i="6"/>
  <c r="F217" i="6"/>
  <c r="F218" i="6"/>
  <c r="F195" i="6"/>
  <c r="F190" i="6"/>
  <c r="D35" i="7"/>
  <c r="F188" i="6"/>
  <c r="F211" i="6"/>
  <c r="F219" i="6"/>
  <c r="D34" i="7"/>
  <c r="F176" i="6"/>
  <c r="F191" i="6"/>
  <c r="F214" i="6"/>
  <c r="F222" i="6"/>
  <c r="G220" i="6" s="1"/>
  <c r="F199" i="6"/>
  <c r="F208" i="6"/>
  <c r="G208" i="6" s="1"/>
  <c r="F216" i="6"/>
  <c r="D161" i="7"/>
  <c r="D157" i="7"/>
  <c r="D36" i="7"/>
  <c r="D32" i="7"/>
  <c r="D42" i="7"/>
  <c r="D40" i="7"/>
  <c r="D37" i="7"/>
  <c r="D31" i="7"/>
  <c r="E202" i="6"/>
  <c r="F202" i="6" s="1"/>
  <c r="G202" i="6" s="1"/>
  <c r="E181" i="6"/>
  <c r="F181" i="6" s="1"/>
  <c r="E182" i="6"/>
  <c r="F182" i="6" s="1"/>
  <c r="E186" i="6"/>
  <c r="F186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E111" i="6"/>
  <c r="F111" i="6" s="1"/>
  <c r="E109" i="6"/>
  <c r="F109" i="6" s="1"/>
  <c r="E114" i="6"/>
  <c r="F114" i="6" s="1"/>
  <c r="F49" i="6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G205" i="6" l="1"/>
  <c r="G112" i="6"/>
  <c r="G184" i="6"/>
  <c r="G214" i="6"/>
  <c r="G190" i="6"/>
  <c r="G193" i="6"/>
  <c r="G187" i="6"/>
  <c r="G217" i="6"/>
  <c r="G175" i="6"/>
  <c r="G211" i="6"/>
  <c r="G199" i="6"/>
  <c r="G181" i="6"/>
  <c r="G157" i="6"/>
  <c r="G160" i="6"/>
  <c r="G109" i="6"/>
  <c r="B23" i="4" l="1"/>
  <c r="B24" i="4"/>
  <c r="B22" i="4"/>
  <c r="M9" i="1"/>
  <c r="H9" i="1" s="1"/>
  <c r="B5" i="4" s="1"/>
  <c r="M10" i="1"/>
  <c r="H10" i="1" s="1"/>
  <c r="B6" i="4" s="1"/>
  <c r="M11" i="1"/>
  <c r="H11" i="1" s="1"/>
  <c r="M12" i="1"/>
  <c r="H12" i="1" s="1"/>
  <c r="M13" i="1"/>
  <c r="H13" i="1" s="1"/>
  <c r="M14" i="1"/>
  <c r="H14" i="1" s="1"/>
  <c r="M15" i="1"/>
  <c r="H15" i="1" s="1"/>
  <c r="M16" i="1"/>
  <c r="H16" i="1" s="1"/>
  <c r="M17" i="1"/>
  <c r="H17" i="1" s="1"/>
  <c r="M18" i="1"/>
  <c r="H18" i="1" s="1"/>
  <c r="M19" i="1"/>
  <c r="H19" i="1" s="1"/>
  <c r="M20" i="1"/>
  <c r="H20" i="1" s="1"/>
  <c r="M21" i="1"/>
  <c r="H21" i="1" s="1"/>
  <c r="M22" i="1"/>
  <c r="H22" i="1" s="1"/>
  <c r="M23" i="1"/>
  <c r="H23" i="1" s="1"/>
  <c r="B7" i="4" s="1"/>
  <c r="M24" i="1"/>
  <c r="H24" i="1" s="1"/>
  <c r="B8" i="4" s="1"/>
  <c r="M25" i="1"/>
  <c r="H25" i="1" s="1"/>
  <c r="B9" i="4" s="1"/>
  <c r="M26" i="1"/>
  <c r="H26" i="1" s="1"/>
  <c r="M27" i="1"/>
  <c r="H27" i="1" s="1"/>
  <c r="M28" i="1"/>
  <c r="H28" i="1" s="1"/>
  <c r="B10" i="4"/>
  <c r="B11" i="4"/>
  <c r="B12" i="4"/>
  <c r="B13" i="4"/>
  <c r="B14" i="4"/>
  <c r="B15" i="4"/>
  <c r="B90" i="4"/>
  <c r="B91" i="4"/>
  <c r="B92" i="4"/>
  <c r="B16" i="4"/>
  <c r="B17" i="4"/>
  <c r="B18" i="4"/>
  <c r="B19" i="4"/>
  <c r="B20" i="4"/>
  <c r="B21" i="4"/>
  <c r="B93" i="4"/>
  <c r="B94" i="4"/>
  <c r="B95" i="4"/>
  <c r="B96" i="4"/>
  <c r="B97" i="4"/>
  <c r="B98" i="4"/>
  <c r="B164" i="7"/>
  <c r="C164" i="7"/>
  <c r="B165" i="7"/>
  <c r="C165" i="7"/>
  <c r="D165" i="7" s="1"/>
  <c r="B166" i="7"/>
  <c r="C166" i="7"/>
  <c r="D166" i="7" s="1"/>
  <c r="B167" i="7"/>
  <c r="C167" i="7"/>
  <c r="D167" i="7" s="1"/>
  <c r="B168" i="7"/>
  <c r="C168" i="7"/>
  <c r="B169" i="7"/>
  <c r="C169" i="7"/>
  <c r="D169" i="7" s="1"/>
  <c r="B170" i="7"/>
  <c r="C170" i="7"/>
  <c r="B171" i="7"/>
  <c r="C171" i="7"/>
  <c r="B172" i="7"/>
  <c r="C172" i="7"/>
  <c r="B173" i="7"/>
  <c r="C173" i="7"/>
  <c r="D173" i="7" s="1"/>
  <c r="B174" i="7"/>
  <c r="C174" i="7"/>
  <c r="C163" i="7"/>
  <c r="B163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D171" i="7" l="1"/>
  <c r="B136" i="4"/>
  <c r="B56" i="4"/>
  <c r="E171" i="6"/>
  <c r="F171" i="6" s="1"/>
  <c r="B137" i="4"/>
  <c r="B57" i="4"/>
  <c r="B133" i="4"/>
  <c r="B53" i="4"/>
  <c r="B52" i="4"/>
  <c r="B132" i="4"/>
  <c r="B131" i="4"/>
  <c r="B51" i="4"/>
  <c r="B50" i="4"/>
  <c r="B130" i="4"/>
  <c r="B55" i="4"/>
  <c r="B135" i="4"/>
  <c r="B134" i="4"/>
  <c r="B54" i="4"/>
  <c r="B58" i="4"/>
  <c r="B138" i="4"/>
  <c r="E115" i="6"/>
  <c r="F115" i="6" s="1"/>
  <c r="D117" i="7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F136" i="6" s="1"/>
  <c r="E145" i="6"/>
  <c r="F145" i="6" s="1"/>
  <c r="E120" i="6"/>
  <c r="F120" i="6" s="1"/>
  <c r="E132" i="6"/>
  <c r="F132" i="6" s="1"/>
  <c r="E142" i="6"/>
  <c r="F142" i="6" s="1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D115" i="7"/>
  <c r="E153" i="6"/>
  <c r="F153" i="6" s="1"/>
  <c r="E170" i="6"/>
  <c r="F170" i="6" s="1"/>
  <c r="D116" i="7"/>
  <c r="D137" i="7"/>
  <c r="D155" i="7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E146" i="6"/>
  <c r="F146" i="6" s="1"/>
  <c r="E156" i="6"/>
  <c r="F156" i="6" s="1"/>
  <c r="E116" i="6"/>
  <c r="F116" i="6" s="1"/>
  <c r="E123" i="6"/>
  <c r="F123" i="6" s="1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E180" i="5" l="1"/>
  <c r="C180" i="5"/>
  <c r="E179" i="5"/>
  <c r="C179" i="5"/>
  <c r="O178" i="5"/>
  <c r="E178" i="5"/>
  <c r="C178" i="5"/>
  <c r="A178" i="5"/>
  <c r="E177" i="5"/>
  <c r="C177" i="5"/>
  <c r="E176" i="5"/>
  <c r="C176" i="5"/>
  <c r="O175" i="5"/>
  <c r="E175" i="5"/>
  <c r="C175" i="5"/>
  <c r="A175" i="5"/>
  <c r="E174" i="5"/>
  <c r="C174" i="5"/>
  <c r="E173" i="5"/>
  <c r="C173" i="5"/>
  <c r="O172" i="5"/>
  <c r="E172" i="5"/>
  <c r="C172" i="5"/>
  <c r="A172" i="5"/>
  <c r="E171" i="5"/>
  <c r="C171" i="5"/>
  <c r="E170" i="5"/>
  <c r="C170" i="5"/>
  <c r="O169" i="5"/>
  <c r="E169" i="5"/>
  <c r="C169" i="5"/>
  <c r="A169" i="5"/>
  <c r="E168" i="5"/>
  <c r="C168" i="5"/>
  <c r="E167" i="5"/>
  <c r="C167" i="5"/>
  <c r="O166" i="5"/>
  <c r="E166" i="5"/>
  <c r="C166" i="5"/>
  <c r="A166" i="5"/>
  <c r="E165" i="5"/>
  <c r="C165" i="5"/>
  <c r="E164" i="5"/>
  <c r="C164" i="5"/>
  <c r="O163" i="5"/>
  <c r="E163" i="5"/>
  <c r="C163" i="5"/>
  <c r="A163" i="5"/>
  <c r="E162" i="5"/>
  <c r="F162" i="5" s="1"/>
  <c r="C162" i="5"/>
  <c r="D162" i="5" s="1"/>
  <c r="E161" i="5"/>
  <c r="F161" i="5" s="1"/>
  <c r="C161" i="5"/>
  <c r="D161" i="5" s="1"/>
  <c r="O160" i="5"/>
  <c r="E160" i="5"/>
  <c r="F160" i="5" s="1"/>
  <c r="C160" i="5"/>
  <c r="D160" i="5" s="1"/>
  <c r="A160" i="5"/>
  <c r="E159" i="5"/>
  <c r="F159" i="5" s="1"/>
  <c r="C159" i="5"/>
  <c r="D159" i="5" s="1"/>
  <c r="E158" i="5"/>
  <c r="F158" i="5" s="1"/>
  <c r="C158" i="5"/>
  <c r="D158" i="5" s="1"/>
  <c r="O157" i="5"/>
  <c r="E157" i="5"/>
  <c r="F157" i="5" s="1"/>
  <c r="C157" i="5"/>
  <c r="D157" i="5" s="1"/>
  <c r="A157" i="5"/>
  <c r="E156" i="5"/>
  <c r="C156" i="5"/>
  <c r="E155" i="5"/>
  <c r="C155" i="5"/>
  <c r="O154" i="5"/>
  <c r="E154" i="5"/>
  <c r="C154" i="5"/>
  <c r="A154" i="5"/>
  <c r="E153" i="5"/>
  <c r="C153" i="5"/>
  <c r="E152" i="5"/>
  <c r="C152" i="5"/>
  <c r="O151" i="5"/>
  <c r="E151" i="5"/>
  <c r="C151" i="5"/>
  <c r="A151" i="5"/>
  <c r="E150" i="5"/>
  <c r="C150" i="5"/>
  <c r="E149" i="5"/>
  <c r="C149" i="5"/>
  <c r="O148" i="5"/>
  <c r="E148" i="5"/>
  <c r="C148" i="5"/>
  <c r="A148" i="5"/>
  <c r="E147" i="5"/>
  <c r="C147" i="5"/>
  <c r="E146" i="5"/>
  <c r="C146" i="5"/>
  <c r="O145" i="5"/>
  <c r="E145" i="5"/>
  <c r="C145" i="5"/>
  <c r="A145" i="5"/>
  <c r="E144" i="5"/>
  <c r="C144" i="5"/>
  <c r="E143" i="5"/>
  <c r="C143" i="5"/>
  <c r="O142" i="5"/>
  <c r="E142" i="5"/>
  <c r="C142" i="5"/>
  <c r="A142" i="5"/>
  <c r="E141" i="5"/>
  <c r="C141" i="5"/>
  <c r="E140" i="5"/>
  <c r="C140" i="5"/>
  <c r="O139" i="5"/>
  <c r="E139" i="5"/>
  <c r="C139" i="5"/>
  <c r="A139" i="5"/>
  <c r="E138" i="5"/>
  <c r="C138" i="5"/>
  <c r="E137" i="5"/>
  <c r="C137" i="5"/>
  <c r="O136" i="5"/>
  <c r="E136" i="5"/>
  <c r="C136" i="5"/>
  <c r="A136" i="5"/>
  <c r="E135" i="5"/>
  <c r="C135" i="5"/>
  <c r="E134" i="5"/>
  <c r="C134" i="5"/>
  <c r="O133" i="5"/>
  <c r="E133" i="5"/>
  <c r="C133" i="5"/>
  <c r="A133" i="5"/>
  <c r="E132" i="5"/>
  <c r="C132" i="5"/>
  <c r="E131" i="5"/>
  <c r="C131" i="5"/>
  <c r="O130" i="5"/>
  <c r="E130" i="5"/>
  <c r="C130" i="5"/>
  <c r="A130" i="5"/>
  <c r="E129" i="5"/>
  <c r="C129" i="5"/>
  <c r="E128" i="5"/>
  <c r="C128" i="5"/>
  <c r="O127" i="5"/>
  <c r="E127" i="5"/>
  <c r="C127" i="5"/>
  <c r="A127" i="5"/>
  <c r="E126" i="5"/>
  <c r="C126" i="5"/>
  <c r="E125" i="5"/>
  <c r="C125" i="5"/>
  <c r="O124" i="5"/>
  <c r="E124" i="5"/>
  <c r="C124" i="5"/>
  <c r="A124" i="5"/>
  <c r="E123" i="5"/>
  <c r="C123" i="5"/>
  <c r="E122" i="5"/>
  <c r="C122" i="5"/>
  <c r="O121" i="5"/>
  <c r="E121" i="5"/>
  <c r="C121" i="5"/>
  <c r="A121" i="5"/>
  <c r="E120" i="5"/>
  <c r="C120" i="5"/>
  <c r="E119" i="5"/>
  <c r="C119" i="5"/>
  <c r="O118" i="5"/>
  <c r="E118" i="5"/>
  <c r="C118" i="5"/>
  <c r="A118" i="5"/>
  <c r="E117" i="5"/>
  <c r="C117" i="5"/>
  <c r="E116" i="5"/>
  <c r="C116" i="5"/>
  <c r="O115" i="5"/>
  <c r="E115" i="5"/>
  <c r="C115" i="5"/>
  <c r="A115" i="5"/>
  <c r="E114" i="5"/>
  <c r="C114" i="5"/>
  <c r="E113" i="5"/>
  <c r="C113" i="5"/>
  <c r="O112" i="5"/>
  <c r="E112" i="5"/>
  <c r="C112" i="5"/>
  <c r="A112" i="5"/>
  <c r="E111" i="5"/>
  <c r="C111" i="5"/>
  <c r="E110" i="5"/>
  <c r="C110" i="5"/>
  <c r="O109" i="5"/>
  <c r="E109" i="5"/>
  <c r="C109" i="5"/>
  <c r="A109" i="5"/>
  <c r="B109" i="5" l="1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O76" i="5"/>
  <c r="O79" i="5"/>
  <c r="B177" i="5" l="1"/>
  <c r="B173" i="5"/>
  <c r="B180" i="5"/>
  <c r="B176" i="5"/>
  <c r="B172" i="5"/>
  <c r="B148" i="5"/>
  <c r="B179" i="5"/>
  <c r="B175" i="5"/>
  <c r="B171" i="5"/>
  <c r="B147" i="5"/>
  <c r="B178" i="5"/>
  <c r="B174" i="5"/>
  <c r="B170" i="5"/>
  <c r="B150" i="5"/>
  <c r="B146" i="5"/>
  <c r="B169" i="5"/>
  <c r="B149" i="5"/>
  <c r="B145" i="5"/>
  <c r="D114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C102" i="7" l="1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E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5" i="6" l="1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F76" i="6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E108" i="5"/>
  <c r="C108" i="5"/>
  <c r="B108" i="5"/>
  <c r="E107" i="5"/>
  <c r="C107" i="5"/>
  <c r="B107" i="5"/>
  <c r="O106" i="5"/>
  <c r="E106" i="5"/>
  <c r="C106" i="5"/>
  <c r="B106" i="5"/>
  <c r="A106" i="5"/>
  <c r="E105" i="5"/>
  <c r="C105" i="5"/>
  <c r="B105" i="5"/>
  <c r="E104" i="5"/>
  <c r="C104" i="5"/>
  <c r="B104" i="5"/>
  <c r="O103" i="5"/>
  <c r="E103" i="5"/>
  <c r="C103" i="5"/>
  <c r="B103" i="5"/>
  <c r="A103" i="5"/>
  <c r="E102" i="5"/>
  <c r="F102" i="5" s="1"/>
  <c r="C102" i="5"/>
  <c r="D102" i="5" s="1"/>
  <c r="B102" i="5"/>
  <c r="E101" i="5"/>
  <c r="F101" i="5" s="1"/>
  <c r="C101" i="5"/>
  <c r="D101" i="5" s="1"/>
  <c r="B101" i="5"/>
  <c r="O100" i="5"/>
  <c r="E100" i="5"/>
  <c r="F100" i="5" s="1"/>
  <c r="C100" i="5"/>
  <c r="D100" i="5" s="1"/>
  <c r="B100" i="5"/>
  <c r="A100" i="5"/>
  <c r="E99" i="5"/>
  <c r="F99" i="5" s="1"/>
  <c r="C99" i="5"/>
  <c r="D99" i="5" s="1"/>
  <c r="B99" i="5"/>
  <c r="E98" i="5"/>
  <c r="F98" i="5" s="1"/>
  <c r="C98" i="5"/>
  <c r="D98" i="5" s="1"/>
  <c r="B98" i="5"/>
  <c r="O97" i="5"/>
  <c r="E97" i="5"/>
  <c r="F97" i="5" s="1"/>
  <c r="C97" i="5"/>
  <c r="D97" i="5" s="1"/>
  <c r="B97" i="5"/>
  <c r="A97" i="5"/>
  <c r="E96" i="5"/>
  <c r="F96" i="5" s="1"/>
  <c r="C96" i="5"/>
  <c r="D96" i="5" s="1"/>
  <c r="B96" i="5"/>
  <c r="E95" i="5"/>
  <c r="F95" i="5" s="1"/>
  <c r="C95" i="5"/>
  <c r="D95" i="5" s="1"/>
  <c r="B95" i="5"/>
  <c r="O94" i="5"/>
  <c r="E94" i="5"/>
  <c r="F94" i="5" s="1"/>
  <c r="C94" i="5"/>
  <c r="D94" i="5" s="1"/>
  <c r="B94" i="5"/>
  <c r="A94" i="5"/>
  <c r="E93" i="5"/>
  <c r="F93" i="5" s="1"/>
  <c r="C93" i="5"/>
  <c r="D93" i="5" s="1"/>
  <c r="B93" i="5"/>
  <c r="E92" i="5"/>
  <c r="F92" i="5" s="1"/>
  <c r="C92" i="5"/>
  <c r="D92" i="5" s="1"/>
  <c r="B92" i="5"/>
  <c r="O91" i="5"/>
  <c r="E91" i="5"/>
  <c r="F91" i="5" s="1"/>
  <c r="C91" i="5"/>
  <c r="D91" i="5" s="1"/>
  <c r="B91" i="5"/>
  <c r="A91" i="5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9" i="5"/>
  <c r="B53" i="5"/>
  <c r="B60" i="5"/>
  <c r="B61" i="5"/>
  <c r="B64" i="5"/>
  <c r="B65" i="5"/>
  <c r="B69" i="5"/>
  <c r="B73" i="5"/>
  <c r="B48" i="5"/>
  <c r="B52" i="5"/>
  <c r="B72" i="5"/>
  <c r="B76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B28" i="4"/>
  <c r="B86" i="4"/>
  <c r="B125" i="4"/>
  <c r="B27" i="5"/>
  <c r="B31" i="5"/>
  <c r="B32" i="5"/>
  <c r="B35" i="5"/>
  <c r="B39" i="5"/>
  <c r="B44" i="5"/>
  <c r="B47" i="5"/>
  <c r="B51" i="5"/>
  <c r="B55" i="5"/>
  <c r="B59" i="5"/>
  <c r="B63" i="5"/>
  <c r="B67" i="5"/>
  <c r="B71" i="5"/>
  <c r="B75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B38" i="4"/>
  <c r="B39" i="4"/>
  <c r="B37" i="4"/>
  <c r="B35" i="4"/>
  <c r="B36" i="4"/>
  <c r="B34" i="4"/>
  <c r="B32" i="4"/>
  <c r="B33" i="4"/>
  <c r="B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48" i="4"/>
  <c r="B38" i="5"/>
  <c r="B41" i="5"/>
  <c r="B42" i="5"/>
  <c r="B43" i="5"/>
  <c r="B46" i="5"/>
  <c r="B50" i="5"/>
  <c r="B54" i="5"/>
  <c r="B68" i="5"/>
  <c r="B70" i="5"/>
  <c r="B74" i="5"/>
  <c r="B13" i="5"/>
  <c r="E13" i="5"/>
  <c r="F13" i="5" s="1"/>
  <c r="E14" i="5"/>
  <c r="F14" i="5" s="1"/>
  <c r="E15" i="5"/>
  <c r="F15" i="5" s="1"/>
  <c r="E19" i="5"/>
  <c r="E20" i="5"/>
  <c r="F20" i="5" s="1"/>
  <c r="E21" i="5"/>
  <c r="F21" i="5" s="1"/>
  <c r="E79" i="5"/>
  <c r="E80" i="5"/>
  <c r="E81" i="5"/>
  <c r="C13" i="5"/>
  <c r="D13" i="5" s="1"/>
  <c r="C14" i="5"/>
  <c r="D14" i="5" s="1"/>
  <c r="C15" i="5"/>
  <c r="D15" i="5" s="1"/>
  <c r="C19" i="5"/>
  <c r="D19" i="5" s="1"/>
  <c r="C20" i="5"/>
  <c r="D20" i="5" s="1"/>
  <c r="C21" i="5"/>
  <c r="D21" i="5" s="1"/>
  <c r="C79" i="5"/>
  <c r="C80" i="5"/>
  <c r="C81" i="5"/>
  <c r="E84" i="5"/>
  <c r="E83" i="5"/>
  <c r="E82" i="5"/>
  <c r="C84" i="5"/>
  <c r="C83" i="5"/>
  <c r="C82" i="5"/>
  <c r="H3" i="5"/>
  <c r="H4" i="5"/>
  <c r="G3" i="5"/>
  <c r="G4" i="5"/>
  <c r="E67" i="5"/>
  <c r="E68" i="5"/>
  <c r="E69" i="5"/>
  <c r="C67" i="5"/>
  <c r="C68" i="5"/>
  <c r="C69" i="5"/>
  <c r="E64" i="5"/>
  <c r="F64" i="5" s="1"/>
  <c r="E65" i="5"/>
  <c r="F65" i="5" s="1"/>
  <c r="E66" i="5"/>
  <c r="F66" i="5" s="1"/>
  <c r="C64" i="5"/>
  <c r="D64" i="5" s="1"/>
  <c r="C65" i="5"/>
  <c r="D65" i="5" s="1"/>
  <c r="C66" i="5"/>
  <c r="D66" i="5" s="1"/>
  <c r="E61" i="5"/>
  <c r="F61" i="5" s="1"/>
  <c r="E62" i="5"/>
  <c r="F62" i="5" s="1"/>
  <c r="E63" i="5"/>
  <c r="F63" i="5" s="1"/>
  <c r="C61" i="5"/>
  <c r="D61" i="5" s="1"/>
  <c r="C62" i="5"/>
  <c r="D62" i="5" s="1"/>
  <c r="C63" i="5"/>
  <c r="D63" i="5" s="1"/>
  <c r="E76" i="5"/>
  <c r="E77" i="5"/>
  <c r="E78" i="5"/>
  <c r="C76" i="5"/>
  <c r="C77" i="5"/>
  <c r="C78" i="5"/>
  <c r="E73" i="5"/>
  <c r="E74" i="5"/>
  <c r="E75" i="5"/>
  <c r="C73" i="5"/>
  <c r="C74" i="5"/>
  <c r="C75" i="5"/>
  <c r="O16" i="5"/>
  <c r="O19" i="5"/>
  <c r="O22" i="5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82" i="5"/>
  <c r="O85" i="5"/>
  <c r="O88" i="5"/>
  <c r="O13" i="5"/>
  <c r="E88" i="5"/>
  <c r="E89" i="5"/>
  <c r="E90" i="5"/>
  <c r="C88" i="5"/>
  <c r="C89" i="5"/>
  <c r="C90" i="5"/>
  <c r="E85" i="5"/>
  <c r="E86" i="5"/>
  <c r="E87" i="5"/>
  <c r="C85" i="5"/>
  <c r="C86" i="5"/>
  <c r="C87" i="5"/>
  <c r="E70" i="5"/>
  <c r="E71" i="5"/>
  <c r="E72" i="5"/>
  <c r="C70" i="5"/>
  <c r="C71" i="5"/>
  <c r="C72" i="5"/>
  <c r="E58" i="5"/>
  <c r="E59" i="5"/>
  <c r="E60" i="5"/>
  <c r="C58" i="5"/>
  <c r="C59" i="5"/>
  <c r="C60" i="5"/>
  <c r="E55" i="5"/>
  <c r="E56" i="5"/>
  <c r="E57" i="5"/>
  <c r="C55" i="5"/>
  <c r="C56" i="5"/>
  <c r="C57" i="5"/>
  <c r="E52" i="5"/>
  <c r="E53" i="5"/>
  <c r="E54" i="5"/>
  <c r="C52" i="5"/>
  <c r="C53" i="5"/>
  <c r="C54" i="5"/>
  <c r="E49" i="5"/>
  <c r="E50" i="5"/>
  <c r="E51" i="5"/>
  <c r="C49" i="5"/>
  <c r="C50" i="5"/>
  <c r="C51" i="5"/>
  <c r="E46" i="5"/>
  <c r="E47" i="5"/>
  <c r="E48" i="5"/>
  <c r="C46" i="5"/>
  <c r="C47" i="5"/>
  <c r="C48" i="5"/>
  <c r="E43" i="5"/>
  <c r="E44" i="5"/>
  <c r="E45" i="5"/>
  <c r="C43" i="5"/>
  <c r="C44" i="5"/>
  <c r="C45" i="5"/>
  <c r="E40" i="5"/>
  <c r="E41" i="5"/>
  <c r="E42" i="5"/>
  <c r="C40" i="5"/>
  <c r="C41" i="5"/>
  <c r="C42" i="5"/>
  <c r="E37" i="5"/>
  <c r="E38" i="5"/>
  <c r="E39" i="5"/>
  <c r="C37" i="5"/>
  <c r="C38" i="5"/>
  <c r="C39" i="5"/>
  <c r="E34" i="5"/>
  <c r="E35" i="5"/>
  <c r="E36" i="5"/>
  <c r="C34" i="5"/>
  <c r="C35" i="5"/>
  <c r="C36" i="5"/>
  <c r="E31" i="5"/>
  <c r="E32" i="5"/>
  <c r="E33" i="5"/>
  <c r="C31" i="5"/>
  <c r="C32" i="5"/>
  <c r="C33" i="5"/>
  <c r="E28" i="5"/>
  <c r="E29" i="5"/>
  <c r="E30" i="5"/>
  <c r="C28" i="5"/>
  <c r="C29" i="5"/>
  <c r="C30" i="5"/>
  <c r="E25" i="5"/>
  <c r="E26" i="5"/>
  <c r="E27" i="5"/>
  <c r="C25" i="5"/>
  <c r="C26" i="5"/>
  <c r="C27" i="5"/>
  <c r="C16" i="5"/>
  <c r="D16" i="5" s="1"/>
  <c r="C17" i="5"/>
  <c r="D17" i="5" s="1"/>
  <c r="C18" i="5"/>
  <c r="D18" i="5" s="1"/>
  <c r="C22" i="5"/>
  <c r="D22" i="5" s="1"/>
  <c r="C23" i="5"/>
  <c r="D23" i="5" s="1"/>
  <c r="C24" i="5"/>
  <c r="D24" i="5" s="1"/>
  <c r="G2" i="5"/>
  <c r="E16" i="5"/>
  <c r="F16" i="5" s="1"/>
  <c r="E17" i="5"/>
  <c r="F17" i="5" s="1"/>
  <c r="E18" i="5"/>
  <c r="F18" i="5" s="1"/>
  <c r="E22" i="5"/>
  <c r="F22" i="5" s="1"/>
  <c r="E23" i="5"/>
  <c r="F23" i="5" s="1"/>
  <c r="E24" i="5"/>
  <c r="F24" i="5" s="1"/>
  <c r="H2" i="5"/>
  <c r="A16" i="5"/>
  <c r="A19" i="5"/>
  <c r="A22" i="5"/>
  <c r="A25" i="5"/>
  <c r="A28" i="5"/>
  <c r="A31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A13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A48" i="4"/>
  <c r="A49" i="4"/>
  <c r="A47" i="4"/>
  <c r="A45" i="4"/>
  <c r="A46" i="4"/>
  <c r="A44" i="4"/>
  <c r="B150" i="4"/>
  <c r="B70" i="4"/>
  <c r="B109" i="4"/>
  <c r="B29" i="4"/>
  <c r="B68" i="4"/>
  <c r="B148" i="4"/>
  <c r="B30" i="4"/>
  <c r="B69" i="4"/>
  <c r="A2" i="7"/>
  <c r="D74" i="7"/>
  <c r="B127" i="4"/>
  <c r="B30" i="5"/>
  <c r="B56" i="5"/>
  <c r="B58" i="5"/>
  <c r="B66" i="5"/>
  <c r="B78" i="5"/>
  <c r="B126" i="4"/>
  <c r="B26" i="5"/>
  <c r="B34" i="5"/>
  <c r="B36" i="5"/>
  <c r="B62" i="5"/>
  <c r="B77" i="5"/>
  <c r="B57" i="5"/>
  <c r="B89" i="4"/>
  <c r="D72" i="7"/>
  <c r="B47" i="4"/>
  <c r="H187" i="5" l="1"/>
  <c r="H217" i="5"/>
  <c r="H203" i="5"/>
  <c r="H183" i="5"/>
  <c r="H182" i="5"/>
  <c r="H212" i="5"/>
  <c r="H190" i="5"/>
  <c r="H194" i="5"/>
  <c r="H224" i="5"/>
  <c r="H218" i="5"/>
  <c r="H195" i="5"/>
  <c r="H201" i="5"/>
  <c r="H200" i="5"/>
  <c r="H208" i="5"/>
  <c r="H216" i="5"/>
  <c r="H198" i="5"/>
  <c r="H225" i="5"/>
  <c r="H181" i="5"/>
  <c r="H206" i="5"/>
  <c r="H185" i="5"/>
  <c r="H209" i="5"/>
  <c r="H228" i="5"/>
  <c r="H184" i="5"/>
  <c r="H213" i="5"/>
  <c r="H222" i="5"/>
  <c r="H211" i="5"/>
  <c r="H223" i="5"/>
  <c r="H220" i="5"/>
  <c r="H221" i="5"/>
  <c r="H197" i="5"/>
  <c r="H227" i="5"/>
  <c r="H205" i="5"/>
  <c r="H192" i="5"/>
  <c r="H214" i="5"/>
  <c r="H196" i="5"/>
  <c r="H189" i="5"/>
  <c r="H199" i="5"/>
  <c r="H202" i="5"/>
  <c r="H207" i="5"/>
  <c r="H210" i="5"/>
  <c r="H191" i="5"/>
  <c r="H186" i="5"/>
  <c r="H215" i="5"/>
  <c r="H204" i="5"/>
  <c r="H188" i="5"/>
  <c r="H219" i="5"/>
  <c r="H193" i="5"/>
  <c r="H226" i="5"/>
  <c r="G202" i="5"/>
  <c r="G207" i="5"/>
  <c r="G181" i="5"/>
  <c r="G188" i="5"/>
  <c r="G223" i="5"/>
  <c r="G221" i="5"/>
  <c r="G220" i="5"/>
  <c r="G206" i="5"/>
  <c r="G193" i="5"/>
  <c r="G186" i="5"/>
  <c r="G183" i="5"/>
  <c r="G185" i="5"/>
  <c r="G195" i="5"/>
  <c r="G182" i="5"/>
  <c r="G196" i="5"/>
  <c r="G224" i="5"/>
  <c r="G219" i="5"/>
  <c r="G210" i="5"/>
  <c r="G213" i="5"/>
  <c r="G199" i="5"/>
  <c r="G197" i="5"/>
  <c r="G190" i="5"/>
  <c r="G216" i="5"/>
  <c r="G214" i="5"/>
  <c r="G205" i="5"/>
  <c r="G194" i="5"/>
  <c r="G191" i="5"/>
  <c r="G200" i="5"/>
  <c r="G184" i="5"/>
  <c r="G203" i="5"/>
  <c r="G222" i="5"/>
  <c r="G201" i="5"/>
  <c r="G227" i="5"/>
  <c r="G189" i="5"/>
  <c r="G208" i="5"/>
  <c r="G192" i="5"/>
  <c r="G209" i="5"/>
  <c r="G215" i="5"/>
  <c r="G225" i="5"/>
  <c r="G198" i="5"/>
  <c r="G218" i="5"/>
  <c r="G204" i="5"/>
  <c r="G226" i="5"/>
  <c r="G228" i="5"/>
  <c r="G217" i="5"/>
  <c r="G187" i="5"/>
  <c r="G211" i="5"/>
  <c r="G212" i="5"/>
  <c r="E205" i="7"/>
  <c r="E176" i="7"/>
  <c r="E214" i="7"/>
  <c r="E184" i="7"/>
  <c r="E188" i="7"/>
  <c r="E192" i="7"/>
  <c r="E200" i="7"/>
  <c r="E194" i="7"/>
  <c r="E208" i="7"/>
  <c r="E217" i="7"/>
  <c r="E202" i="7"/>
  <c r="E196" i="7"/>
  <c r="E209" i="7"/>
  <c r="E220" i="7"/>
  <c r="E213" i="7"/>
  <c r="E178" i="7"/>
  <c r="E218" i="7"/>
  <c r="E203" i="7"/>
  <c r="E179" i="7"/>
  <c r="E221" i="7"/>
  <c r="E204" i="7"/>
  <c r="E195" i="7"/>
  <c r="E187" i="7"/>
  <c r="E185" i="7"/>
  <c r="E222" i="7"/>
  <c r="E211" i="7"/>
  <c r="E181" i="7"/>
  <c r="E197" i="7"/>
  <c r="E177" i="7"/>
  <c r="E193" i="7"/>
  <c r="E189" i="7"/>
  <c r="E182" i="7"/>
  <c r="E190" i="7"/>
  <c r="E206" i="7"/>
  <c r="E198" i="7"/>
  <c r="E215" i="7"/>
  <c r="E216" i="7"/>
  <c r="E186" i="7"/>
  <c r="E199" i="7"/>
  <c r="E201" i="7"/>
  <c r="E210" i="7"/>
  <c r="E219" i="7"/>
  <c r="E180" i="7"/>
  <c r="E175" i="7"/>
  <c r="E212" i="7"/>
  <c r="E183" i="7"/>
  <c r="E191" i="7"/>
  <c r="E207" i="7"/>
  <c r="B7" i="5"/>
  <c r="E158" i="7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H111" i="5"/>
  <c r="H160" i="5"/>
  <c r="H132" i="5"/>
  <c r="H116" i="5"/>
  <c r="H159" i="5"/>
  <c r="H143" i="5"/>
  <c r="H127" i="5"/>
  <c r="H154" i="5"/>
  <c r="H142" i="5"/>
  <c r="H126" i="5"/>
  <c r="H110" i="5"/>
  <c r="H157" i="5"/>
  <c r="H129" i="5"/>
  <c r="H113" i="5"/>
  <c r="H156" i="5"/>
  <c r="H144" i="5"/>
  <c r="H128" i="5"/>
  <c r="H112" i="5"/>
  <c r="H155" i="5"/>
  <c r="H139" i="5"/>
  <c r="H123" i="5"/>
  <c r="H166" i="5"/>
  <c r="H138" i="5"/>
  <c r="H122" i="5"/>
  <c r="H153" i="5"/>
  <c r="H141" i="5"/>
  <c r="H125" i="5"/>
  <c r="H109" i="5"/>
  <c r="H168" i="5"/>
  <c r="H152" i="5"/>
  <c r="H140" i="5"/>
  <c r="H124" i="5"/>
  <c r="H167" i="5"/>
  <c r="H151" i="5"/>
  <c r="H135" i="5"/>
  <c r="H119" i="5"/>
  <c r="H162" i="5"/>
  <c r="H134" i="5"/>
  <c r="H118" i="5"/>
  <c r="H165" i="5"/>
  <c r="H137" i="5"/>
  <c r="H121" i="5"/>
  <c r="H164" i="5"/>
  <c r="H136" i="5"/>
  <c r="H120" i="5"/>
  <c r="H163" i="5"/>
  <c r="H131" i="5"/>
  <c r="H115" i="5"/>
  <c r="H158" i="5"/>
  <c r="H130" i="5"/>
  <c r="H114" i="5"/>
  <c r="H161" i="5"/>
  <c r="H133" i="5"/>
  <c r="H117" i="5"/>
  <c r="H180" i="5"/>
  <c r="H171" i="5"/>
  <c r="H169" i="5"/>
  <c r="H172" i="5"/>
  <c r="H177" i="5"/>
  <c r="H179" i="5"/>
  <c r="H150" i="5"/>
  <c r="H173" i="5"/>
  <c r="H146" i="5"/>
  <c r="H145" i="5"/>
  <c r="H148" i="5"/>
  <c r="H170" i="5"/>
  <c r="H174" i="5"/>
  <c r="H175" i="5"/>
  <c r="H147" i="5"/>
  <c r="H149" i="5"/>
  <c r="H178" i="5"/>
  <c r="H176" i="5"/>
  <c r="G111" i="5"/>
  <c r="G160" i="5"/>
  <c r="G152" i="5"/>
  <c r="G140" i="5"/>
  <c r="G163" i="5"/>
  <c r="G131" i="5"/>
  <c r="G123" i="5"/>
  <c r="G115" i="5"/>
  <c r="G142" i="5"/>
  <c r="G126" i="5"/>
  <c r="G118" i="5"/>
  <c r="G110" i="5"/>
  <c r="G165" i="5"/>
  <c r="G157" i="5"/>
  <c r="G141" i="5"/>
  <c r="G133" i="5"/>
  <c r="G125" i="5"/>
  <c r="G132" i="5"/>
  <c r="G116" i="5"/>
  <c r="G135" i="5"/>
  <c r="G158" i="5"/>
  <c r="G129" i="5"/>
  <c r="G168" i="5"/>
  <c r="G144" i="5"/>
  <c r="G136" i="5"/>
  <c r="G128" i="5"/>
  <c r="G120" i="5"/>
  <c r="G155" i="5"/>
  <c r="G139" i="5"/>
  <c r="G162" i="5"/>
  <c r="G154" i="5"/>
  <c r="G138" i="5"/>
  <c r="G114" i="5"/>
  <c r="G117" i="5"/>
  <c r="G109" i="5"/>
  <c r="G166" i="5"/>
  <c r="G137" i="5"/>
  <c r="G164" i="5"/>
  <c r="G112" i="5"/>
  <c r="G167" i="5"/>
  <c r="G151" i="5"/>
  <c r="G143" i="5"/>
  <c r="G127" i="5"/>
  <c r="G130" i="5"/>
  <c r="G122" i="5"/>
  <c r="G161" i="5"/>
  <c r="G153" i="5"/>
  <c r="G121" i="5"/>
  <c r="G156" i="5"/>
  <c r="G124" i="5"/>
  <c r="G159" i="5"/>
  <c r="G119" i="5"/>
  <c r="G134" i="5"/>
  <c r="G113" i="5"/>
  <c r="G146" i="5"/>
  <c r="G180" i="5"/>
  <c r="G145" i="5"/>
  <c r="G169" i="5"/>
  <c r="G174" i="5"/>
  <c r="G147" i="5"/>
  <c r="G173" i="5"/>
  <c r="G171" i="5"/>
  <c r="G148" i="5"/>
  <c r="G170" i="5"/>
  <c r="G172" i="5"/>
  <c r="G176" i="5"/>
  <c r="G177" i="5"/>
  <c r="G149" i="5"/>
  <c r="G150" i="5"/>
  <c r="G178" i="5"/>
  <c r="G175" i="5"/>
  <c r="G179" i="5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H106" i="5"/>
  <c r="H96" i="5"/>
  <c r="H92" i="5"/>
  <c r="H108" i="5"/>
  <c r="H107" i="5"/>
  <c r="H97" i="5"/>
  <c r="H99" i="5"/>
  <c r="H103" i="5"/>
  <c r="H98" i="5"/>
  <c r="H95" i="5"/>
  <c r="H102" i="5"/>
  <c r="H93" i="5"/>
  <c r="H100" i="5"/>
  <c r="H101" i="5"/>
  <c r="H94" i="5"/>
  <c r="H91" i="5"/>
  <c r="H105" i="5"/>
  <c r="H104" i="5"/>
  <c r="G108" i="5"/>
  <c r="G106" i="5"/>
  <c r="G100" i="5"/>
  <c r="G92" i="5"/>
  <c r="G93" i="5"/>
  <c r="G104" i="5"/>
  <c r="G94" i="5"/>
  <c r="G97" i="5"/>
  <c r="G102" i="5"/>
  <c r="G96" i="5"/>
  <c r="G98" i="5"/>
  <c r="G95" i="5"/>
  <c r="G103" i="5"/>
  <c r="G91" i="5"/>
  <c r="G107" i="5"/>
  <c r="G99" i="5"/>
  <c r="G105" i="5"/>
  <c r="G101" i="5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H66" i="5"/>
  <c r="E56" i="6"/>
  <c r="F56" i="6" s="1"/>
  <c r="D86" i="7"/>
  <c r="E86" i="7" s="1"/>
  <c r="D78" i="7"/>
  <c r="E78" i="7" s="1"/>
  <c r="D76" i="7"/>
  <c r="E76" i="7" s="1"/>
  <c r="H77" i="5"/>
  <c r="E13" i="6"/>
  <c r="F13" i="6" s="1"/>
  <c r="D75" i="7"/>
  <c r="E75" i="7" s="1"/>
  <c r="D73" i="7"/>
  <c r="E73" i="7" s="1"/>
  <c r="D71" i="7"/>
  <c r="E71" i="7" s="1"/>
  <c r="D69" i="7"/>
  <c r="E69" i="7" s="1"/>
  <c r="H78" i="5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H70" i="5"/>
  <c r="B85" i="5"/>
  <c r="H85" i="5" s="1"/>
  <c r="B90" i="5"/>
  <c r="H90" i="5" s="1"/>
  <c r="B80" i="5"/>
  <c r="H80" i="5" s="1"/>
  <c r="B22" i="5"/>
  <c r="H22" i="5" s="1"/>
  <c r="H31" i="5"/>
  <c r="B87" i="5"/>
  <c r="G87" i="5" s="1"/>
  <c r="B83" i="5"/>
  <c r="G83" i="5" s="1"/>
  <c r="B84" i="5"/>
  <c r="H84" i="5" s="1"/>
  <c r="B82" i="5"/>
  <c r="G82" i="5" s="1"/>
  <c r="B89" i="5"/>
  <c r="G89" i="5" s="1"/>
  <c r="H55" i="5"/>
  <c r="B86" i="5"/>
  <c r="H86" i="5" s="1"/>
  <c r="B79" i="5"/>
  <c r="H79" i="5" s="1"/>
  <c r="B88" i="5"/>
  <c r="H88" i="5" s="1"/>
  <c r="B81" i="5"/>
  <c r="H81" i="5" s="1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71" i="5"/>
  <c r="H36" i="5"/>
  <c r="H56" i="5"/>
  <c r="H35" i="5"/>
  <c r="H68" i="5"/>
  <c r="H43" i="5"/>
  <c r="H73" i="5"/>
  <c r="H69" i="5"/>
  <c r="H65" i="5"/>
  <c r="H61" i="5"/>
  <c r="H29" i="5"/>
  <c r="H25" i="5"/>
  <c r="H54" i="5"/>
  <c r="H27" i="5"/>
  <c r="H13" i="5"/>
  <c r="H74" i="5"/>
  <c r="H41" i="5"/>
  <c r="H67" i="5"/>
  <c r="H51" i="5"/>
  <c r="H76" i="5"/>
  <c r="H46" i="5"/>
  <c r="H63" i="5"/>
  <c r="H32" i="5"/>
  <c r="G39" i="5"/>
  <c r="B20" i="5"/>
  <c r="H20" i="5" s="1"/>
  <c r="B88" i="4"/>
  <c r="B49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H60" i="5"/>
  <c r="B16" i="5"/>
  <c r="H75" i="5"/>
  <c r="G75" i="5"/>
  <c r="B18" i="5"/>
  <c r="H18" i="5" s="1"/>
  <c r="H50" i="5"/>
  <c r="H45" i="5"/>
  <c r="H49" i="5"/>
  <c r="H53" i="5"/>
  <c r="G53" i="5"/>
  <c r="H34" i="5"/>
  <c r="H38" i="5"/>
  <c r="H52" i="5"/>
  <c r="H58" i="5"/>
  <c r="B44" i="4"/>
  <c r="B15" i="5"/>
  <c r="H15" i="5" s="1"/>
  <c r="B23" i="5"/>
  <c r="H23" i="5" s="1"/>
  <c r="H64" i="5"/>
  <c r="D20" i="7"/>
  <c r="E20" i="7" s="1"/>
  <c r="H57" i="5"/>
  <c r="H62" i="5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H72" i="5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85" i="4"/>
  <c r="F19" i="5"/>
  <c r="C7" i="5" s="1"/>
  <c r="H19" i="5"/>
  <c r="G65" i="5"/>
  <c r="G44" i="5"/>
  <c r="G61" i="5"/>
  <c r="G58" i="5"/>
  <c r="G25" i="5"/>
  <c r="G45" i="5"/>
  <c r="H44" i="5"/>
  <c r="G46" i="5"/>
  <c r="G36" i="5"/>
  <c r="G56" i="5"/>
  <c r="G30" i="5"/>
  <c r="G51" i="5"/>
  <c r="G52" i="5"/>
  <c r="G64" i="5"/>
  <c r="G63" i="5"/>
  <c r="G67" i="5"/>
  <c r="G47" i="5"/>
  <c r="G68" i="5"/>
  <c r="G69" i="5"/>
  <c r="G26" i="5"/>
  <c r="G19" i="5"/>
  <c r="G78" i="5"/>
  <c r="G70" i="5"/>
  <c r="G32" i="5"/>
  <c r="G42" i="5"/>
  <c r="G60" i="5"/>
  <c r="G38" i="5"/>
  <c r="G34" i="5"/>
  <c r="G72" i="5"/>
  <c r="G59" i="5"/>
  <c r="G33" i="5"/>
  <c r="G41" i="5"/>
  <c r="G13" i="5"/>
  <c r="G76" i="5"/>
  <c r="G49" i="5"/>
  <c r="G77" i="5"/>
  <c r="G54" i="5"/>
  <c r="G50" i="5"/>
  <c r="G74" i="5"/>
  <c r="G57" i="5"/>
  <c r="G55" i="5"/>
  <c r="G66" i="5"/>
  <c r="G62" i="5"/>
  <c r="G73" i="5"/>
  <c r="G43" i="5"/>
  <c r="G71" i="5"/>
  <c r="G29" i="5"/>
  <c r="G35" i="5"/>
  <c r="E17" i="6"/>
  <c r="F17" i="6" s="1"/>
  <c r="D12" i="7"/>
  <c r="E12" i="7" s="1"/>
  <c r="G31" i="5"/>
  <c r="G37" i="5"/>
  <c r="G27" i="5"/>
  <c r="H59" i="5"/>
  <c r="H47" i="5"/>
  <c r="F181" i="7" l="1"/>
  <c r="F175" i="7"/>
  <c r="J228" i="5"/>
  <c r="L228" i="5" s="1"/>
  <c r="J193" i="5"/>
  <c r="L193" i="5" s="1"/>
  <c r="J210" i="5"/>
  <c r="L210" i="5" s="1"/>
  <c r="J205" i="5"/>
  <c r="L205" i="5" s="1"/>
  <c r="J217" i="5"/>
  <c r="L217" i="5" s="1"/>
  <c r="J188" i="5"/>
  <c r="L188" i="5" s="1"/>
  <c r="J214" i="5"/>
  <c r="L214" i="5" s="1"/>
  <c r="J191" i="5"/>
  <c r="L191" i="5" s="1"/>
  <c r="J184" i="5"/>
  <c r="L184" i="5" s="1"/>
  <c r="J220" i="5"/>
  <c r="L220" i="5" s="1"/>
  <c r="J208" i="5"/>
  <c r="L208" i="5" s="1"/>
  <c r="J218" i="5"/>
  <c r="L218" i="5" s="1"/>
  <c r="J223" i="5"/>
  <c r="L223" i="5" s="1"/>
  <c r="J221" i="5"/>
  <c r="L221" i="5" s="1"/>
  <c r="J224" i="5"/>
  <c r="L224" i="5" s="1"/>
  <c r="J185" i="5"/>
  <c r="L185" i="5" s="1"/>
  <c r="J200" i="5"/>
  <c r="L200" i="5" s="1"/>
  <c r="J225" i="5"/>
  <c r="L225" i="5" s="1"/>
  <c r="J196" i="5"/>
  <c r="L196" i="5" s="1"/>
  <c r="J211" i="5"/>
  <c r="L211" i="5" s="1"/>
  <c r="J197" i="5"/>
  <c r="L197" i="5" s="1"/>
  <c r="J207" i="5"/>
  <c r="L207" i="5" s="1"/>
  <c r="J181" i="5"/>
  <c r="L181" i="5" s="1"/>
  <c r="J212" i="5"/>
  <c r="L212" i="5" s="1"/>
  <c r="J192" i="5"/>
  <c r="L192" i="5" s="1"/>
  <c r="J187" i="5"/>
  <c r="L187" i="5" s="1"/>
  <c r="J215" i="5"/>
  <c r="L215" i="5" s="1"/>
  <c r="J198" i="5"/>
  <c r="L198" i="5" s="1"/>
  <c r="J189" i="5"/>
  <c r="L189" i="5" s="1"/>
  <c r="J216" i="5"/>
  <c r="L216" i="5" s="1"/>
  <c r="J203" i="5"/>
  <c r="L203" i="5" s="1"/>
  <c r="J199" i="5"/>
  <c r="L199" i="5" s="1"/>
  <c r="J209" i="5"/>
  <c r="L209" i="5" s="1"/>
  <c r="J201" i="5"/>
  <c r="L201" i="5" s="1"/>
  <c r="J222" i="5"/>
  <c r="L222" i="5" s="1"/>
  <c r="J206" i="5"/>
  <c r="L206" i="5" s="1"/>
  <c r="J182" i="5"/>
  <c r="L182" i="5" s="1"/>
  <c r="J194" i="5"/>
  <c r="L194" i="5" s="1"/>
  <c r="J202" i="5"/>
  <c r="L202" i="5" s="1"/>
  <c r="J204" i="5"/>
  <c r="L204" i="5" s="1"/>
  <c r="J213" i="5"/>
  <c r="L213" i="5" s="1"/>
  <c r="J186" i="5"/>
  <c r="L186" i="5" s="1"/>
  <c r="J183" i="5"/>
  <c r="L183" i="5" s="1"/>
  <c r="J190" i="5"/>
  <c r="L190" i="5" s="1"/>
  <c r="J226" i="5"/>
  <c r="L226" i="5" s="1"/>
  <c r="J227" i="5"/>
  <c r="L227" i="5" s="1"/>
  <c r="J219" i="5"/>
  <c r="L219" i="5" s="1"/>
  <c r="J195" i="5"/>
  <c r="L195" i="5" s="1"/>
  <c r="F196" i="7"/>
  <c r="F202" i="7"/>
  <c r="F208" i="7"/>
  <c r="F199" i="7"/>
  <c r="F220" i="7"/>
  <c r="F190" i="7"/>
  <c r="F217" i="7"/>
  <c r="F193" i="7"/>
  <c r="F178" i="7"/>
  <c r="F211" i="7"/>
  <c r="F184" i="7"/>
  <c r="F214" i="7"/>
  <c r="F187" i="7"/>
  <c r="F205" i="7"/>
  <c r="F157" i="7"/>
  <c r="F166" i="7"/>
  <c r="F160" i="7"/>
  <c r="F148" i="7"/>
  <c r="F121" i="7"/>
  <c r="F163" i="7"/>
  <c r="F169" i="7"/>
  <c r="F172" i="7"/>
  <c r="J149" i="5"/>
  <c r="L149" i="5" s="1"/>
  <c r="J173" i="5"/>
  <c r="L173" i="5" s="1"/>
  <c r="J160" i="5"/>
  <c r="L160" i="5" s="1"/>
  <c r="J125" i="5"/>
  <c r="L125" i="5" s="1"/>
  <c r="J155" i="5"/>
  <c r="L155" i="5" s="1"/>
  <c r="J144" i="5"/>
  <c r="L144" i="5" s="1"/>
  <c r="J130" i="5"/>
  <c r="L130" i="5" s="1"/>
  <c r="J142" i="5"/>
  <c r="L142" i="5" s="1"/>
  <c r="J164" i="5"/>
  <c r="L164" i="5" s="1"/>
  <c r="J110" i="5"/>
  <c r="L110" i="5" s="1"/>
  <c r="J112" i="5"/>
  <c r="L112" i="5" s="1"/>
  <c r="J140" i="5"/>
  <c r="L140" i="5" s="1"/>
  <c r="J138" i="5"/>
  <c r="L138" i="5" s="1"/>
  <c r="J169" i="5"/>
  <c r="L169" i="5" s="1"/>
  <c r="J170" i="5"/>
  <c r="L170" i="5" s="1"/>
  <c r="J179" i="5"/>
  <c r="L179" i="5" s="1"/>
  <c r="J150" i="5"/>
  <c r="L150" i="5" s="1"/>
  <c r="J134" i="5"/>
  <c r="L134" i="5" s="1"/>
  <c r="J129" i="5"/>
  <c r="L129" i="5" s="1"/>
  <c r="J141" i="5"/>
  <c r="L141" i="5" s="1"/>
  <c r="J133" i="5"/>
  <c r="L133" i="5" s="1"/>
  <c r="J168" i="5"/>
  <c r="L168" i="5" s="1"/>
  <c r="J178" i="5"/>
  <c r="L178" i="5" s="1"/>
  <c r="J148" i="5"/>
  <c r="L148" i="5" s="1"/>
  <c r="J109" i="5"/>
  <c r="L109" i="5" s="1"/>
  <c r="J136" i="5"/>
  <c r="L136" i="5" s="1"/>
  <c r="J157" i="5"/>
  <c r="L157" i="5" s="1"/>
  <c r="J113" i="5"/>
  <c r="L113" i="5" s="1"/>
  <c r="J156" i="5"/>
  <c r="L156" i="5" s="1"/>
  <c r="J131" i="5"/>
  <c r="L131" i="5" s="1"/>
  <c r="J143" i="5"/>
  <c r="L143" i="5" s="1"/>
  <c r="J161" i="5"/>
  <c r="L161" i="5" s="1"/>
  <c r="J167" i="5"/>
  <c r="L167" i="5" s="1"/>
  <c r="J120" i="5"/>
  <c r="L120" i="5" s="1"/>
  <c r="J116" i="5"/>
  <c r="L116" i="5" s="1"/>
  <c r="J154" i="5"/>
  <c r="L154" i="5" s="1"/>
  <c r="J127" i="5"/>
  <c r="L127" i="5" s="1"/>
  <c r="J139" i="5"/>
  <c r="L139" i="5" s="1"/>
  <c r="J175" i="5"/>
  <c r="L175" i="5" s="1"/>
  <c r="J171" i="5"/>
  <c r="L171" i="5" s="1"/>
  <c r="J124" i="5"/>
  <c r="L124" i="5" s="1"/>
  <c r="J163" i="5"/>
  <c r="L163" i="5" s="1"/>
  <c r="J153" i="5"/>
  <c r="L153" i="5" s="1"/>
  <c r="J115" i="5"/>
  <c r="L115" i="5" s="1"/>
  <c r="J137" i="5"/>
  <c r="L137" i="5" s="1"/>
  <c r="J159" i="5"/>
  <c r="L159" i="5" s="1"/>
  <c r="J117" i="5"/>
  <c r="L117" i="5" s="1"/>
  <c r="J166" i="5"/>
  <c r="L166" i="5" s="1"/>
  <c r="J146" i="5"/>
  <c r="L146" i="5" s="1"/>
  <c r="J162" i="5"/>
  <c r="L162" i="5" s="1"/>
  <c r="J158" i="5"/>
  <c r="L158" i="5" s="1"/>
  <c r="J126" i="5"/>
  <c r="L126" i="5" s="1"/>
  <c r="J128" i="5"/>
  <c r="L128" i="5" s="1"/>
  <c r="J176" i="5"/>
  <c r="L176" i="5" s="1"/>
  <c r="J174" i="5"/>
  <c r="L174" i="5" s="1"/>
  <c r="J145" i="5"/>
  <c r="L145" i="5" s="1"/>
  <c r="J172" i="5"/>
  <c r="L172" i="5" s="1"/>
  <c r="J180" i="5"/>
  <c r="L180" i="5" s="1"/>
  <c r="J121" i="5"/>
  <c r="L121" i="5" s="1"/>
  <c r="J132" i="5"/>
  <c r="L132" i="5" s="1"/>
  <c r="J152" i="5"/>
  <c r="L152" i="5" s="1"/>
  <c r="J122" i="5"/>
  <c r="L122" i="5" s="1"/>
  <c r="J118" i="5"/>
  <c r="L118" i="5" s="1"/>
  <c r="J119" i="5"/>
  <c r="L119" i="5" s="1"/>
  <c r="J151" i="5"/>
  <c r="L151" i="5" s="1"/>
  <c r="J177" i="5"/>
  <c r="L177" i="5" s="1"/>
  <c r="J111" i="5"/>
  <c r="L111" i="5" s="1"/>
  <c r="J147" i="5"/>
  <c r="L147" i="5" s="1"/>
  <c r="J123" i="5"/>
  <c r="L123" i="5" s="1"/>
  <c r="J135" i="5"/>
  <c r="L135" i="5" s="1"/>
  <c r="J114" i="5"/>
  <c r="L114" i="5" s="1"/>
  <c r="J165" i="5"/>
  <c r="L165" i="5" s="1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J105" i="5"/>
  <c r="L105" i="5" s="1"/>
  <c r="J103" i="5"/>
  <c r="L103" i="5" s="1"/>
  <c r="J93" i="5"/>
  <c r="L93" i="5" s="1"/>
  <c r="J100" i="5"/>
  <c r="L100" i="5" s="1"/>
  <c r="J106" i="5"/>
  <c r="L106" i="5" s="1"/>
  <c r="J94" i="5"/>
  <c r="L94" i="5" s="1"/>
  <c r="J95" i="5"/>
  <c r="L95" i="5" s="1"/>
  <c r="J102" i="5"/>
  <c r="L102" i="5" s="1"/>
  <c r="J92" i="5"/>
  <c r="L92" i="5" s="1"/>
  <c r="J96" i="5"/>
  <c r="L96" i="5" s="1"/>
  <c r="J98" i="5"/>
  <c r="L98" i="5" s="1"/>
  <c r="J97" i="5"/>
  <c r="L97" i="5" s="1"/>
  <c r="J107" i="5"/>
  <c r="L107" i="5" s="1"/>
  <c r="J99" i="5"/>
  <c r="L99" i="5" s="1"/>
  <c r="J104" i="5"/>
  <c r="L104" i="5" s="1"/>
  <c r="J108" i="5"/>
  <c r="L108" i="5" s="1"/>
  <c r="J101" i="5"/>
  <c r="L101" i="5" s="1"/>
  <c r="J91" i="5"/>
  <c r="L91" i="5" s="1"/>
  <c r="G86" i="5"/>
  <c r="G22" i="5"/>
  <c r="G88" i="5"/>
  <c r="G17" i="5"/>
  <c r="G85" i="5"/>
  <c r="G55" i="6"/>
  <c r="G40" i="5"/>
  <c r="G20" i="5"/>
  <c r="H82" i="5"/>
  <c r="F73" i="7"/>
  <c r="B24" i="5"/>
  <c r="H24" i="5" s="1"/>
  <c r="G79" i="5"/>
  <c r="G84" i="5"/>
  <c r="F70" i="7"/>
  <c r="F85" i="7"/>
  <c r="F76" i="7"/>
  <c r="F55" i="7"/>
  <c r="F79" i="7"/>
  <c r="B129" i="4"/>
  <c r="G81" i="5"/>
  <c r="H83" i="5"/>
  <c r="G14" i="5"/>
  <c r="H28" i="5"/>
  <c r="H89" i="5"/>
  <c r="H87" i="5"/>
  <c r="G80" i="5"/>
  <c r="G90" i="5"/>
  <c r="F58" i="7"/>
  <c r="F88" i="7"/>
  <c r="F64" i="7"/>
  <c r="F61" i="7"/>
  <c r="F67" i="7"/>
  <c r="G15" i="5"/>
  <c r="G18" i="5"/>
  <c r="G21" i="5"/>
  <c r="G23" i="5"/>
  <c r="H16" i="5"/>
  <c r="G16" i="5"/>
  <c r="F82" i="7"/>
  <c r="B8" i="5"/>
  <c r="B9" i="5" s="1"/>
  <c r="J19" i="5"/>
  <c r="L19" i="5" s="1"/>
  <c r="N181" i="5" l="1"/>
  <c r="N214" i="5"/>
  <c r="N190" i="5"/>
  <c r="N196" i="5"/>
  <c r="N199" i="5"/>
  <c r="N184" i="5"/>
  <c r="N202" i="5"/>
  <c r="N208" i="5"/>
  <c r="N193" i="5"/>
  <c r="N187" i="5"/>
  <c r="N205" i="5"/>
  <c r="N211" i="5"/>
  <c r="N109" i="5"/>
  <c r="N169" i="5"/>
  <c r="N148" i="5"/>
  <c r="N151" i="5"/>
  <c r="N175" i="5"/>
  <c r="N178" i="5"/>
  <c r="N172" i="5"/>
  <c r="I186" i="5"/>
  <c r="K186" i="5" s="1"/>
  <c r="I227" i="5"/>
  <c r="K227" i="5" s="1"/>
  <c r="I191" i="5"/>
  <c r="K191" i="5" s="1"/>
  <c r="I213" i="5"/>
  <c r="K213" i="5" s="1"/>
  <c r="I183" i="5"/>
  <c r="K183" i="5" s="1"/>
  <c r="I222" i="5"/>
  <c r="K222" i="5" s="1"/>
  <c r="I187" i="5"/>
  <c r="K187" i="5" s="1"/>
  <c r="I205" i="5"/>
  <c r="K205" i="5" s="1"/>
  <c r="I212" i="5"/>
  <c r="K212" i="5" s="1"/>
  <c r="I223" i="5"/>
  <c r="K223" i="5" s="1"/>
  <c r="I188" i="5"/>
  <c r="K188" i="5" s="1"/>
  <c r="I207" i="5"/>
  <c r="K207" i="5" s="1"/>
  <c r="I215" i="5"/>
  <c r="K215" i="5" s="1"/>
  <c r="I203" i="5"/>
  <c r="K203" i="5" s="1"/>
  <c r="I218" i="5"/>
  <c r="K218" i="5" s="1"/>
  <c r="I206" i="5"/>
  <c r="K206" i="5" s="1"/>
  <c r="I198" i="5"/>
  <c r="K198" i="5" s="1"/>
  <c r="I184" i="5"/>
  <c r="K184" i="5" s="1"/>
  <c r="I196" i="5"/>
  <c r="K196" i="5" s="1"/>
  <c r="I220" i="5"/>
  <c r="K220" i="5" s="1"/>
  <c r="I195" i="5"/>
  <c r="K195" i="5" s="1"/>
  <c r="I226" i="5"/>
  <c r="K226" i="5" s="1"/>
  <c r="I193" i="5"/>
  <c r="K193" i="5" s="1"/>
  <c r="I208" i="5"/>
  <c r="K208" i="5" s="1"/>
  <c r="I216" i="5"/>
  <c r="K216" i="5" s="1"/>
  <c r="I228" i="5"/>
  <c r="K228" i="5" s="1"/>
  <c r="I192" i="5"/>
  <c r="K192" i="5" s="1"/>
  <c r="I210" i="5"/>
  <c r="K210" i="5" s="1"/>
  <c r="I204" i="5"/>
  <c r="K204" i="5" s="1"/>
  <c r="I185" i="5"/>
  <c r="K185" i="5" s="1"/>
  <c r="I197" i="5"/>
  <c r="K197" i="5" s="1"/>
  <c r="I221" i="5"/>
  <c r="K221" i="5" s="1"/>
  <c r="I199" i="5"/>
  <c r="K199" i="5" s="1"/>
  <c r="I181" i="5"/>
  <c r="K181" i="5" s="1"/>
  <c r="I194" i="5"/>
  <c r="K194" i="5" s="1"/>
  <c r="I209" i="5"/>
  <c r="K209" i="5" s="1"/>
  <c r="I217" i="5"/>
  <c r="K217" i="5" s="1"/>
  <c r="I190" i="5"/>
  <c r="K190" i="5" s="1"/>
  <c r="I201" i="5"/>
  <c r="K201" i="5" s="1"/>
  <c r="I214" i="5"/>
  <c r="K214" i="5" s="1"/>
  <c r="I219" i="5"/>
  <c r="K219" i="5" s="1"/>
  <c r="I189" i="5"/>
  <c r="K189" i="5" s="1"/>
  <c r="I202" i="5"/>
  <c r="K202" i="5" s="1"/>
  <c r="M202" i="5" s="1"/>
  <c r="I225" i="5"/>
  <c r="K225" i="5" s="1"/>
  <c r="I182" i="5"/>
  <c r="K182" i="5" s="1"/>
  <c r="I211" i="5"/>
  <c r="K211" i="5" s="1"/>
  <c r="I200" i="5"/>
  <c r="K200" i="5" s="1"/>
  <c r="I224" i="5"/>
  <c r="K224" i="5" s="1"/>
  <c r="N145" i="5"/>
  <c r="N121" i="5"/>
  <c r="N118" i="5"/>
  <c r="N139" i="5"/>
  <c r="N124" i="5"/>
  <c r="N115" i="5"/>
  <c r="N154" i="5"/>
  <c r="N142" i="5"/>
  <c r="N112" i="5"/>
  <c r="N130" i="5"/>
  <c r="N163" i="5"/>
  <c r="N136" i="5"/>
  <c r="N166" i="5"/>
  <c r="N127" i="5"/>
  <c r="N133" i="5"/>
  <c r="N103" i="5"/>
  <c r="N106" i="5"/>
  <c r="I150" i="5"/>
  <c r="K150" i="5" s="1"/>
  <c r="I158" i="5"/>
  <c r="K158" i="5" s="1"/>
  <c r="I116" i="5"/>
  <c r="K116" i="5" s="1"/>
  <c r="I139" i="5"/>
  <c r="K139" i="5" s="1"/>
  <c r="I111" i="5"/>
  <c r="K111" i="5" s="1"/>
  <c r="I165" i="5"/>
  <c r="K165" i="5" s="1"/>
  <c r="I117" i="5"/>
  <c r="K117" i="5" s="1"/>
  <c r="I133" i="5"/>
  <c r="K133" i="5" s="1"/>
  <c r="I145" i="5"/>
  <c r="K145" i="5" s="1"/>
  <c r="I154" i="5"/>
  <c r="K154" i="5" s="1"/>
  <c r="I164" i="5"/>
  <c r="K164" i="5" s="1"/>
  <c r="I173" i="5"/>
  <c r="K173" i="5" s="1"/>
  <c r="I127" i="5"/>
  <c r="K127" i="5" s="1"/>
  <c r="I156" i="5"/>
  <c r="K156" i="5" s="1"/>
  <c r="I124" i="5"/>
  <c r="K124" i="5" s="1"/>
  <c r="I177" i="5"/>
  <c r="K177" i="5" s="1"/>
  <c r="I120" i="5"/>
  <c r="K120" i="5" s="1"/>
  <c r="I142" i="5"/>
  <c r="K142" i="5" s="1"/>
  <c r="I159" i="5"/>
  <c r="K159" i="5" s="1"/>
  <c r="I176" i="5"/>
  <c r="K176" i="5" s="1"/>
  <c r="I174" i="5"/>
  <c r="K174" i="5" s="1"/>
  <c r="I137" i="5"/>
  <c r="K137" i="5" s="1"/>
  <c r="I109" i="5"/>
  <c r="K109" i="5" s="1"/>
  <c r="I129" i="5"/>
  <c r="K129" i="5" s="1"/>
  <c r="I143" i="5"/>
  <c r="K143" i="5" s="1"/>
  <c r="I166" i="5"/>
  <c r="K166" i="5" s="1"/>
  <c r="I128" i="5"/>
  <c r="K128" i="5" s="1"/>
  <c r="I161" i="5"/>
  <c r="K161" i="5" s="1"/>
  <c r="I125" i="5"/>
  <c r="K125" i="5" s="1"/>
  <c r="I112" i="5"/>
  <c r="K112" i="5" s="1"/>
  <c r="I122" i="5"/>
  <c r="K122" i="5" s="1"/>
  <c r="I141" i="5"/>
  <c r="K141" i="5" s="1"/>
  <c r="I149" i="5"/>
  <c r="K149" i="5" s="1"/>
  <c r="I162" i="5"/>
  <c r="K162" i="5" s="1"/>
  <c r="I171" i="5"/>
  <c r="K171" i="5" s="1"/>
  <c r="I179" i="5"/>
  <c r="K179" i="5" s="1"/>
  <c r="I140" i="5"/>
  <c r="K140" i="5" s="1"/>
  <c r="I114" i="5"/>
  <c r="K114" i="5" s="1"/>
  <c r="I152" i="5"/>
  <c r="K152" i="5" s="1"/>
  <c r="I110" i="5"/>
  <c r="K110" i="5" s="1"/>
  <c r="I130" i="5"/>
  <c r="K130" i="5" s="1"/>
  <c r="I146" i="5"/>
  <c r="K146" i="5" s="1"/>
  <c r="I169" i="5"/>
  <c r="K169" i="5" s="1"/>
  <c r="I138" i="5"/>
  <c r="K138" i="5" s="1"/>
  <c r="I170" i="5"/>
  <c r="K170" i="5" s="1"/>
  <c r="I135" i="5"/>
  <c r="K135" i="5" s="1"/>
  <c r="I113" i="5"/>
  <c r="K113" i="5" s="1"/>
  <c r="I132" i="5"/>
  <c r="K132" i="5" s="1"/>
  <c r="I144" i="5"/>
  <c r="K144" i="5" s="1"/>
  <c r="I153" i="5"/>
  <c r="K153" i="5" s="1"/>
  <c r="I163" i="5"/>
  <c r="K163" i="5" s="1"/>
  <c r="I172" i="5"/>
  <c r="K172" i="5" s="1"/>
  <c r="I123" i="5"/>
  <c r="K123" i="5" s="1"/>
  <c r="I148" i="5"/>
  <c r="K148" i="5" s="1"/>
  <c r="I118" i="5"/>
  <c r="K118" i="5" s="1"/>
  <c r="I168" i="5"/>
  <c r="K168" i="5" s="1"/>
  <c r="I115" i="5"/>
  <c r="K115" i="5" s="1"/>
  <c r="I131" i="5"/>
  <c r="K131" i="5" s="1"/>
  <c r="I157" i="5"/>
  <c r="K157" i="5" s="1"/>
  <c r="I175" i="5"/>
  <c r="K175" i="5" s="1"/>
  <c r="I126" i="5"/>
  <c r="K126" i="5" s="1"/>
  <c r="I151" i="5"/>
  <c r="K151" i="5" s="1"/>
  <c r="I119" i="5"/>
  <c r="K119" i="5" s="1"/>
  <c r="I180" i="5"/>
  <c r="K180" i="5" s="1"/>
  <c r="I121" i="5"/>
  <c r="K121" i="5" s="1"/>
  <c r="I134" i="5"/>
  <c r="K134" i="5" s="1"/>
  <c r="I147" i="5"/>
  <c r="K147" i="5" s="1"/>
  <c r="I160" i="5"/>
  <c r="K160" i="5" s="1"/>
  <c r="I167" i="5"/>
  <c r="K167" i="5" s="1"/>
  <c r="I178" i="5"/>
  <c r="K178" i="5" s="1"/>
  <c r="I136" i="5"/>
  <c r="K136" i="5" s="1"/>
  <c r="I155" i="5"/>
  <c r="K155" i="5" s="1"/>
  <c r="I22" i="5"/>
  <c r="K22" i="5" s="1"/>
  <c r="I94" i="5"/>
  <c r="K94" i="5" s="1"/>
  <c r="I104" i="5"/>
  <c r="K104" i="5" s="1"/>
  <c r="I93" i="5"/>
  <c r="K93" i="5" s="1"/>
  <c r="I108" i="5"/>
  <c r="K108" i="5" s="1"/>
  <c r="I98" i="5"/>
  <c r="K98" i="5" s="1"/>
  <c r="I107" i="5"/>
  <c r="K107" i="5" s="1"/>
  <c r="I95" i="5"/>
  <c r="K95" i="5" s="1"/>
  <c r="I101" i="5"/>
  <c r="K101" i="5" s="1"/>
  <c r="I100" i="5"/>
  <c r="K100" i="5" s="1"/>
  <c r="I92" i="5"/>
  <c r="K92" i="5" s="1"/>
  <c r="I105" i="5"/>
  <c r="K105" i="5" s="1"/>
  <c r="I103" i="5"/>
  <c r="K103" i="5" s="1"/>
  <c r="I106" i="5"/>
  <c r="K106" i="5" s="1"/>
  <c r="I91" i="5"/>
  <c r="K91" i="5" s="1"/>
  <c r="I99" i="5"/>
  <c r="K99" i="5" s="1"/>
  <c r="I96" i="5"/>
  <c r="K96" i="5" s="1"/>
  <c r="I97" i="5"/>
  <c r="K97" i="5" s="1"/>
  <c r="I102" i="5"/>
  <c r="K102" i="5" s="1"/>
  <c r="G24" i="5"/>
  <c r="I24" i="5" s="1"/>
  <c r="K24" i="5" s="1"/>
  <c r="I33" i="5"/>
  <c r="K33" i="5" s="1"/>
  <c r="I19" i="5"/>
  <c r="K19" i="5" s="1"/>
  <c r="I40" i="5"/>
  <c r="K40" i="5" s="1"/>
  <c r="I58" i="5"/>
  <c r="K58" i="5" s="1"/>
  <c r="J44" i="5"/>
  <c r="L44" i="5" s="1"/>
  <c r="J14" i="5"/>
  <c r="L14" i="5" s="1"/>
  <c r="I64" i="5"/>
  <c r="K64" i="5" s="1"/>
  <c r="I32" i="5"/>
  <c r="K32" i="5" s="1"/>
  <c r="I76" i="5"/>
  <c r="K76" i="5" s="1"/>
  <c r="I79" i="5"/>
  <c r="K79" i="5" s="1"/>
  <c r="I45" i="5"/>
  <c r="K45" i="5" s="1"/>
  <c r="I47" i="5"/>
  <c r="K47" i="5" s="1"/>
  <c r="I38" i="5"/>
  <c r="K38" i="5" s="1"/>
  <c r="I54" i="5"/>
  <c r="K54" i="5" s="1"/>
  <c r="I27" i="5"/>
  <c r="K27" i="5" s="1"/>
  <c r="I65" i="5"/>
  <c r="K65" i="5" s="1"/>
  <c r="I36" i="5"/>
  <c r="K36" i="5" s="1"/>
  <c r="I80" i="5"/>
  <c r="K80" i="5" s="1"/>
  <c r="I55" i="5"/>
  <c r="K55" i="5" s="1"/>
  <c r="I83" i="5"/>
  <c r="K83" i="5" s="1"/>
  <c r="I85" i="5"/>
  <c r="K85" i="5" s="1"/>
  <c r="I66" i="5"/>
  <c r="K66" i="5" s="1"/>
  <c r="I37" i="5"/>
  <c r="K37" i="5" s="1"/>
  <c r="I57" i="5"/>
  <c r="K57" i="5" s="1"/>
  <c r="I41" i="5"/>
  <c r="K41" i="5" s="1"/>
  <c r="I73" i="5"/>
  <c r="K73" i="5" s="1"/>
  <c r="I71" i="5"/>
  <c r="K71" i="5" s="1"/>
  <c r="I67" i="5"/>
  <c r="K67" i="5" s="1"/>
  <c r="I56" i="5"/>
  <c r="K56" i="5" s="1"/>
  <c r="I69" i="5"/>
  <c r="K69" i="5" s="1"/>
  <c r="I25" i="5"/>
  <c r="K25" i="5" s="1"/>
  <c r="I51" i="5"/>
  <c r="K51" i="5" s="1"/>
  <c r="I78" i="5"/>
  <c r="K78" i="5" s="1"/>
  <c r="I28" i="5"/>
  <c r="K28" i="5" s="1"/>
  <c r="M28" i="5" s="1"/>
  <c r="I35" i="5"/>
  <c r="K35" i="5" s="1"/>
  <c r="I63" i="5"/>
  <c r="K63" i="5" s="1"/>
  <c r="I42" i="5"/>
  <c r="K42" i="5" s="1"/>
  <c r="I86" i="5"/>
  <c r="K86" i="5" s="1"/>
  <c r="I82" i="5"/>
  <c r="K82" i="5" s="1"/>
  <c r="I18" i="5"/>
  <c r="K18" i="5" s="1"/>
  <c r="I59" i="5"/>
  <c r="K59" i="5" s="1"/>
  <c r="I21" i="5"/>
  <c r="K21" i="5" s="1"/>
  <c r="I62" i="5"/>
  <c r="K62" i="5" s="1"/>
  <c r="I15" i="5"/>
  <c r="K15" i="5" s="1"/>
  <c r="I13" i="5"/>
  <c r="K13" i="5" s="1"/>
  <c r="I77" i="5"/>
  <c r="K77" i="5" s="1"/>
  <c r="I52" i="5"/>
  <c r="K52" i="5" s="1"/>
  <c r="I74" i="5"/>
  <c r="K74" i="5" s="1"/>
  <c r="I68" i="5"/>
  <c r="K68" i="5" s="1"/>
  <c r="I87" i="5"/>
  <c r="K87" i="5" s="1"/>
  <c r="I84" i="5"/>
  <c r="K84" i="5" s="1"/>
  <c r="I50" i="5"/>
  <c r="K50" i="5" s="1"/>
  <c r="I29" i="5"/>
  <c r="K29" i="5" s="1"/>
  <c r="I46" i="5"/>
  <c r="K46" i="5" s="1"/>
  <c r="I60" i="5"/>
  <c r="K60" i="5" s="1"/>
  <c r="I20" i="5"/>
  <c r="K20" i="5" s="1"/>
  <c r="I34" i="5"/>
  <c r="K34" i="5" s="1"/>
  <c r="I81" i="5"/>
  <c r="K81" i="5" s="1"/>
  <c r="I61" i="5"/>
  <c r="K61" i="5" s="1"/>
  <c r="I43" i="5"/>
  <c r="K43" i="5" s="1"/>
  <c r="I30" i="5"/>
  <c r="K30" i="5" s="1"/>
  <c r="I16" i="5"/>
  <c r="K16" i="5" s="1"/>
  <c r="I23" i="5"/>
  <c r="K23" i="5" s="1"/>
  <c r="I70" i="5"/>
  <c r="K70" i="5" s="1"/>
  <c r="I49" i="5"/>
  <c r="K49" i="5" s="1"/>
  <c r="I48" i="5"/>
  <c r="K48" i="5" s="1"/>
  <c r="I88" i="5"/>
  <c r="K88" i="5" s="1"/>
  <c r="I90" i="5"/>
  <c r="K90" i="5" s="1"/>
  <c r="I44" i="5"/>
  <c r="K44" i="5" s="1"/>
  <c r="I26" i="5"/>
  <c r="K26" i="5" s="1"/>
  <c r="I72" i="5"/>
  <c r="K72" i="5" s="1"/>
  <c r="I14" i="5"/>
  <c r="K14" i="5" s="1"/>
  <c r="I89" i="5"/>
  <c r="K89" i="5" s="1"/>
  <c r="I17" i="5"/>
  <c r="K17" i="5" s="1"/>
  <c r="I39" i="5"/>
  <c r="K39" i="5" s="1"/>
  <c r="J59" i="5"/>
  <c r="L59" i="5" s="1"/>
  <c r="I31" i="5"/>
  <c r="K31" i="5" s="1"/>
  <c r="J60" i="5"/>
  <c r="L60" i="5" s="1"/>
  <c r="J35" i="5"/>
  <c r="L35" i="5" s="1"/>
  <c r="J67" i="5"/>
  <c r="L67" i="5" s="1"/>
  <c r="J49" i="5"/>
  <c r="L49" i="5" s="1"/>
  <c r="J28" i="5"/>
  <c r="L28" i="5" s="1"/>
  <c r="J76" i="5"/>
  <c r="L76" i="5" s="1"/>
  <c r="J86" i="5"/>
  <c r="L86" i="5" s="1"/>
  <c r="J27" i="5"/>
  <c r="L27" i="5" s="1"/>
  <c r="J45" i="5"/>
  <c r="L45" i="5" s="1"/>
  <c r="J17" i="5"/>
  <c r="L17" i="5" s="1"/>
  <c r="J48" i="5"/>
  <c r="L48" i="5" s="1"/>
  <c r="J64" i="5"/>
  <c r="L64" i="5" s="1"/>
  <c r="J41" i="5"/>
  <c r="L41" i="5" s="1"/>
  <c r="J50" i="5"/>
  <c r="L50" i="5" s="1"/>
  <c r="J74" i="5"/>
  <c r="L74" i="5" s="1"/>
  <c r="J42" i="5"/>
  <c r="L42" i="5" s="1"/>
  <c r="J85" i="5"/>
  <c r="L85" i="5" s="1"/>
  <c r="J46" i="5"/>
  <c r="L46" i="5" s="1"/>
  <c r="J88" i="5"/>
  <c r="L88" i="5" s="1"/>
  <c r="J20" i="5"/>
  <c r="L20" i="5" s="1"/>
  <c r="J39" i="5"/>
  <c r="L39" i="5" s="1"/>
  <c r="J55" i="5"/>
  <c r="L55" i="5" s="1"/>
  <c r="J54" i="5"/>
  <c r="L54" i="5" s="1"/>
  <c r="J69" i="5"/>
  <c r="L69" i="5" s="1"/>
  <c r="J33" i="5"/>
  <c r="L33" i="5" s="1"/>
  <c r="J24" i="5"/>
  <c r="L24" i="5" s="1"/>
  <c r="J78" i="5"/>
  <c r="L78" i="5" s="1"/>
  <c r="J66" i="5"/>
  <c r="L66" i="5" s="1"/>
  <c r="J87" i="5"/>
  <c r="L87" i="5" s="1"/>
  <c r="J31" i="5"/>
  <c r="L31" i="5" s="1"/>
  <c r="J84" i="5"/>
  <c r="L84" i="5" s="1"/>
  <c r="J37" i="5"/>
  <c r="L37" i="5" s="1"/>
  <c r="J71" i="5"/>
  <c r="L71" i="5" s="1"/>
  <c r="J61" i="5"/>
  <c r="L61" i="5" s="1"/>
  <c r="J22" i="5"/>
  <c r="L22" i="5" s="1"/>
  <c r="J68" i="5"/>
  <c r="L68" i="5" s="1"/>
  <c r="J53" i="5"/>
  <c r="L53" i="5" s="1"/>
  <c r="J26" i="5"/>
  <c r="L26" i="5" s="1"/>
  <c r="J70" i="5"/>
  <c r="L70" i="5" s="1"/>
  <c r="J34" i="5"/>
  <c r="L34" i="5" s="1"/>
  <c r="J56" i="5"/>
  <c r="L56" i="5" s="1"/>
  <c r="J21" i="5"/>
  <c r="L21" i="5" s="1"/>
  <c r="J15" i="5"/>
  <c r="L15" i="5" s="1"/>
  <c r="J29" i="5"/>
  <c r="L29" i="5" s="1"/>
  <c r="J81" i="5"/>
  <c r="L81" i="5" s="1"/>
  <c r="J40" i="5"/>
  <c r="L40" i="5" s="1"/>
  <c r="J58" i="5"/>
  <c r="L58" i="5" s="1"/>
  <c r="J52" i="5"/>
  <c r="L52" i="5" s="1"/>
  <c r="J79" i="5"/>
  <c r="L79" i="5" s="1"/>
  <c r="J90" i="5"/>
  <c r="L90" i="5" s="1"/>
  <c r="J57" i="5"/>
  <c r="L57" i="5" s="1"/>
  <c r="J65" i="5"/>
  <c r="L65" i="5" s="1"/>
  <c r="J43" i="5"/>
  <c r="L43" i="5" s="1"/>
  <c r="J32" i="5"/>
  <c r="L32" i="5" s="1"/>
  <c r="J62" i="5"/>
  <c r="L62" i="5" s="1"/>
  <c r="J13" i="5"/>
  <c r="L13" i="5" s="1"/>
  <c r="J89" i="5"/>
  <c r="L89" i="5" s="1"/>
  <c r="J82" i="5"/>
  <c r="L82" i="5" s="1"/>
  <c r="J72" i="5"/>
  <c r="L72" i="5" s="1"/>
  <c r="J77" i="5"/>
  <c r="L77" i="5" s="1"/>
  <c r="J30" i="5"/>
  <c r="L30" i="5" s="1"/>
  <c r="J38" i="5"/>
  <c r="L38" i="5" s="1"/>
  <c r="J73" i="5"/>
  <c r="L73" i="5" s="1"/>
  <c r="J25" i="5"/>
  <c r="L25" i="5" s="1"/>
  <c r="J63" i="5"/>
  <c r="L63" i="5" s="1"/>
  <c r="J18" i="5"/>
  <c r="L18" i="5" s="1"/>
  <c r="J23" i="5"/>
  <c r="L23" i="5" s="1"/>
  <c r="J36" i="5"/>
  <c r="L36" i="5" s="1"/>
  <c r="J75" i="5"/>
  <c r="L75" i="5" s="1"/>
  <c r="J80" i="5"/>
  <c r="L80" i="5" s="1"/>
  <c r="J16" i="5"/>
  <c r="L16" i="5" s="1"/>
  <c r="J51" i="5"/>
  <c r="L51" i="5" s="1"/>
  <c r="J83" i="5"/>
  <c r="L83" i="5" s="1"/>
  <c r="J47" i="5"/>
  <c r="L47" i="5" s="1"/>
  <c r="I75" i="5"/>
  <c r="K75" i="5" s="1"/>
  <c r="I53" i="5"/>
  <c r="K53" i="5" s="1"/>
  <c r="M214" i="5" l="1"/>
  <c r="M175" i="5"/>
  <c r="M205" i="5"/>
  <c r="M187" i="5"/>
  <c r="M172" i="5"/>
  <c r="M178" i="5"/>
  <c r="M169" i="5"/>
  <c r="M196" i="5"/>
  <c r="M211" i="5"/>
  <c r="M190" i="5"/>
  <c r="M181" i="5"/>
  <c r="M184" i="5"/>
  <c r="M208" i="5"/>
  <c r="M193" i="5"/>
  <c r="M199" i="5"/>
  <c r="N79" i="5"/>
  <c r="M148" i="5"/>
  <c r="M145" i="5"/>
  <c r="N82" i="5"/>
  <c r="M79" i="5"/>
  <c r="M82" i="5"/>
  <c r="N88" i="5"/>
  <c r="N85" i="5"/>
  <c r="M85" i="5"/>
  <c r="M88" i="5"/>
  <c r="M121" i="5"/>
  <c r="M115" i="5"/>
  <c r="M163" i="5"/>
  <c r="M130" i="5"/>
  <c r="M133" i="5"/>
  <c r="M106" i="5"/>
  <c r="M139" i="5"/>
  <c r="M103" i="5"/>
  <c r="M136" i="5"/>
  <c r="M118" i="5"/>
  <c r="M109" i="5"/>
  <c r="M124" i="5"/>
  <c r="M151" i="5"/>
  <c r="M112" i="5"/>
  <c r="M166" i="5"/>
  <c r="M142" i="5"/>
  <c r="M154" i="5"/>
  <c r="M127" i="5"/>
  <c r="N25" i="5"/>
  <c r="M40" i="5"/>
  <c r="M49" i="5"/>
  <c r="M76" i="5"/>
  <c r="M43" i="5"/>
  <c r="N52" i="5"/>
  <c r="M31" i="5"/>
  <c r="M25" i="5"/>
  <c r="M55" i="5"/>
  <c r="M34" i="5"/>
  <c r="M58" i="5"/>
  <c r="M52" i="5"/>
  <c r="M46" i="5"/>
  <c r="M37" i="5"/>
  <c r="M67" i="5"/>
  <c r="M70" i="5"/>
  <c r="M73" i="5"/>
  <c r="N40" i="5"/>
  <c r="N43" i="5"/>
  <c r="N37" i="5"/>
  <c r="N46" i="5"/>
  <c r="N49" i="5"/>
  <c r="N73" i="5"/>
  <c r="N67" i="5"/>
  <c r="N58" i="5"/>
  <c r="N34" i="5"/>
  <c r="N55" i="5"/>
  <c r="N76" i="5"/>
  <c r="N70" i="5"/>
  <c r="N31" i="5"/>
  <c r="N28" i="5"/>
</calcChain>
</file>

<file path=xl/sharedStrings.xml><?xml version="1.0" encoding="utf-8"?>
<sst xmlns="http://schemas.openxmlformats.org/spreadsheetml/2006/main" count="237" uniqueCount="87">
  <si>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</si>
  <si>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</si>
  <si>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</si>
  <si>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</si>
  <si>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</si>
  <si>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</si>
  <si>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</si>
  <si>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</si>
  <si>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</si>
  <si>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</si>
  <si>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</si>
  <si>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</si>
  <si>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</si>
  <si>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</si>
  <si>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</si>
  <si>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</si>
  <si>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</si>
  <si>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</si>
  <si>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</si>
  <si>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</si>
  <si>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</si>
  <si>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</si>
  <si>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</si>
  <si>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</si>
  <si>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</si>
  <si>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</si>
  <si>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</si>
  <si>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</si>
  <si>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</si>
  <si>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</si>
  <si>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</si>
  <si>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</si>
  <si>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</si>
  <si>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</si>
  <si>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</si>
  <si>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</si>
  <si>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</si>
  <si>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</si>
  <si>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</si>
  <si>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</si>
  <si>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</si>
  <si>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</si>
  <si>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</si>
  <si>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</si>
  <si>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</si>
  <si>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</si>
  <si>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</si>
  <si>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</si>
  <si>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</si>
  <si>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</si>
  <si>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</si>
  <si>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</si>
  <si>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</si>
  <si>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</si>
  <si>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</si>
  <si>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</si>
  <si>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</si>
  <si>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</si>
  <si>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</si>
  <si>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</si>
  <si>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</si>
  <si>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</si>
  <si>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</si>
  <si>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</si>
  <si>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</si>
  <si>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</si>
  <si>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</si>
  <si>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</si>
  <si>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</si>
  <si>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</si>
  <si>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</si>
  <si>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</si>
  <si>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</si>
  <si>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</si>
  <si>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</si>
  <si>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Hardwoods_IN_T1_1</t>
  </si>
  <si>
    <t>Hardwoods_IN_T1_2</t>
  </si>
  <si>
    <t>Hardwoods_IN_T1_3</t>
  </si>
  <si>
    <t>Hardwoods_13_T1_1</t>
  </si>
  <si>
    <t>Hardwoods_13_T1_2</t>
  </si>
  <si>
    <t>Hardwoods_13_T1_3</t>
  </si>
  <si>
    <t>Hardwoods_14_T1_1</t>
  </si>
  <si>
    <t>Hardwoods_14_T1_2</t>
  </si>
  <si>
    <t>Hardwoods_14_T1_3</t>
  </si>
  <si>
    <t>N2</t>
  </si>
  <si>
    <t>N2_Ar</t>
  </si>
  <si>
    <t>O2_Ar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</si>
</sst>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E+00"/>
    <numFmt numFmtId="166" formatCode="[$-409]h&quot;:&quot;mm&quot;:&quot;ss&quot; &quot;AM/PM"/>
    <numFmt numFmtId="167" formatCode="[$-409]0.00E+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Regs!$B$4:$B$9</c:f>
              <c:numCache>
                <c:formatCode>0.0000</c:formatCode>
                <c:ptCount val="6"/>
                <c:pt idx="0">
                  <c:v>0</c:v>
                </c:pt>
                <c:pt idx="1">
                  <c:v>0.13333333333332575</c:v>
                </c:pt>
                <c:pt idx="2">
                  <c:v>0.29999999999995453</c:v>
                </c:pt>
                <c:pt idx="3">
                  <c:v>28.716666666666583</c:v>
                </c:pt>
                <c:pt idx="4">
                  <c:v>28.799999999999955</c:v>
                </c:pt>
                <c:pt idx="5">
                  <c:v>29.016666666666652</c:v>
                </c:pt>
              </c:numCache>
            </c:numRef>
          </c:xVal>
          <c:yVal>
            <c:numRef>
              <c:f>Regs!$A$4:$A$9</c:f>
              <c:numCache>
                <c:formatCode>0.0000</c:formatCode>
                <c:ptCount val="6"/>
                <c:pt idx="0">
                  <c:v>26.70852</c:v>
                </c:pt>
                <c:pt idx="1">
                  <c:v>26.697610000000001</c:v>
                </c:pt>
                <c:pt idx="2">
                  <c:v>26.700669999999999</c:v>
                </c:pt>
                <c:pt idx="3">
                  <c:v>26.692240000000002</c:v>
                </c:pt>
                <c:pt idx="4">
                  <c:v>26.698229999999999</c:v>
                </c:pt>
                <c:pt idx="5">
                  <c:v>26.70026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7-434C-829B-500B9985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4911"/>
        <c:axId val="1447015391"/>
      </c:scatterChart>
      <c:valAx>
        <c:axId val="144701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5391"/>
        <c:crosses val="autoZero"/>
        <c:crossBetween val="midCat"/>
      </c:valAx>
      <c:valAx>
        <c:axId val="14470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18</xdr:row>
      <xdr:rowOff>64770</xdr:rowOff>
    </xdr:from>
    <xdr:to>
      <xdr:col>12</xdr:col>
      <xdr:colOff>403860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AB9B-F740-8D44-7910-060E139C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3"/>
  <sheetViews>
    <sheetView zoomScaleNormal="100" workbookViewId="0">
      <selection activeCell="A29" sqref="A29:XFD104"/>
    </sheetView>
  </sheetViews>
  <sheetFormatPr defaultColWidth="8.77734375" defaultRowHeight="13.2" x14ac:dyDescent="0.25"/>
  <cols>
    <col min="1" max="1" width="10.109375" bestFit="1" customWidth="1"/>
    <col min="2" max="2" width="14" customWidth="1"/>
    <col min="3" max="3" width="10.33203125" customWidth="1"/>
    <col min="4" max="4" width="11.109375" customWidth="1"/>
    <col min="5" max="5" width="10.44140625" customWidth="1"/>
    <col min="6" max="7" width="10.109375" customWidth="1"/>
    <col min="8" max="8" width="9.109375" customWidth="1"/>
    <col min="9" max="9" width="13.44140625" customWidth="1"/>
    <col min="10" max="10" width="3.44140625" customWidth="1"/>
    <col min="11" max="12" width="5.33203125" customWidth="1"/>
  </cols>
  <sheetData>
    <row r="1" spans="1:13" x14ac:dyDescent="0.25">
      <c r="A1" t="s">
        <v>74</v>
      </c>
      <c r="B1" s="15"/>
    </row>
    <row r="3" spans="1:13" x14ac:dyDescent="0.25">
      <c r="A3" s="12"/>
    </row>
    <row r="6" spans="1:13" x14ac:dyDescent="0.25">
      <c r="A6" t="s">
        <v>0</v>
      </c>
      <c r="B6" t="s">
        <v>1</v>
      </c>
      <c r="C6" t="s">
        <v>84</v>
      </c>
      <c r="D6" t="s">
        <v>6</v>
      </c>
      <c r="E6" t="s">
        <v>5</v>
      </c>
      <c r="F6" t="s">
        <v>85</v>
      </c>
      <c r="G6" t="s">
        <v>86</v>
      </c>
      <c r="H6" t="s">
        <v>1</v>
      </c>
    </row>
    <row r="8" spans="1:13" x14ac:dyDescent="0.25">
      <c r="A8">
        <v>20</v>
      </c>
      <c r="B8" s="22">
        <v>0.54027777777777775</v>
      </c>
      <c r="C8" s="23">
        <v>1.6906340000000001E-10</v>
      </c>
      <c r="D8" s="23">
        <v>7.9966549999999995E-11</v>
      </c>
      <c r="E8" s="23">
        <v>6.3299420000000003E-12</v>
      </c>
      <c r="F8">
        <v>26.70852</v>
      </c>
      <c r="G8">
        <v>12.63306</v>
      </c>
      <c r="H8" s="3">
        <f>M8-M$8</f>
        <v>0</v>
      </c>
      <c r="I8" s="22">
        <v>0.46233796296296292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25">
      <c r="A9">
        <v>20</v>
      </c>
      <c r="B9" s="22">
        <v>0.5404282407407407</v>
      </c>
      <c r="C9" s="23">
        <v>1.689836E-10</v>
      </c>
      <c r="D9" s="23">
        <v>7.9988289999999995E-11</v>
      </c>
      <c r="E9" s="23">
        <v>6.3295419999999996E-12</v>
      </c>
      <c r="F9">
        <v>26.697610000000001</v>
      </c>
      <c r="G9">
        <v>12.63729</v>
      </c>
      <c r="H9" s="3">
        <f t="shared" ref="H9:H28" si="0">M9-M$8</f>
        <v>0.13333333333332575</v>
      </c>
      <c r="I9" s="22">
        <v>0.46243055555555551</v>
      </c>
      <c r="J9">
        <v>10</v>
      </c>
      <c r="K9">
        <v>16</v>
      </c>
      <c r="L9">
        <v>51</v>
      </c>
      <c r="M9">
        <f t="shared" ref="M9:M28" si="1">J9*60+K9+L9/60</f>
        <v>616.85</v>
      </c>
    </row>
    <row r="10" spans="1:13" x14ac:dyDescent="0.25">
      <c r="A10">
        <v>20</v>
      </c>
      <c r="B10" s="22">
        <v>0.54047453703703696</v>
      </c>
      <c r="C10" s="23">
        <v>1.6897859999999999E-10</v>
      </c>
      <c r="D10" s="23">
        <v>7.9996399999999998E-11</v>
      </c>
      <c r="E10" s="23">
        <v>6.3286290000000001E-12</v>
      </c>
      <c r="F10">
        <v>26.700669999999999</v>
      </c>
      <c r="G10">
        <v>12.6404</v>
      </c>
      <c r="H10" s="3">
        <f t="shared" si="0"/>
        <v>0.29999999999995453</v>
      </c>
      <c r="I10" s="22">
        <v>0.46253472222222219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25">
      <c r="A11">
        <v>30</v>
      </c>
      <c r="B11" s="22">
        <v>0.54293981481481479</v>
      </c>
      <c r="C11" s="23">
        <v>1.464004E-10</v>
      </c>
      <c r="D11" s="23">
        <v>6.8473019999999996E-11</v>
      </c>
      <c r="E11" s="23">
        <v>5.3617570000000003E-12</v>
      </c>
      <c r="F11">
        <v>27.304549999999999</v>
      </c>
      <c r="G11">
        <v>12.770630000000001</v>
      </c>
      <c r="H11" s="3">
        <f t="shared" si="0"/>
        <v>5.0833333333332575</v>
      </c>
      <c r="I11" s="22">
        <v>0.4665393518518518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25">
      <c r="A12">
        <v>30</v>
      </c>
      <c r="B12" s="22">
        <v>0.5429976851851851</v>
      </c>
      <c r="C12" s="23">
        <v>1.4638890000000001E-10</v>
      </c>
      <c r="D12" s="23">
        <v>6.8463790000000005E-11</v>
      </c>
      <c r="E12" s="23">
        <v>5.3627149999999999E-12</v>
      </c>
      <c r="F12">
        <v>27.297529999999998</v>
      </c>
      <c r="G12">
        <v>12.766629999999999</v>
      </c>
      <c r="H12" s="3">
        <f t="shared" si="0"/>
        <v>5.2166666666665833</v>
      </c>
      <c r="I12" s="22">
        <v>0.46664351851851849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25">
      <c r="A13">
        <v>30</v>
      </c>
      <c r="B13" s="22">
        <v>0.54326388888888888</v>
      </c>
      <c r="C13" s="23">
        <v>1.462323E-10</v>
      </c>
      <c r="D13" s="23">
        <v>6.8398959999999998E-11</v>
      </c>
      <c r="E13" s="23">
        <v>5.3556850000000001E-12</v>
      </c>
      <c r="F13">
        <v>27.304120000000001</v>
      </c>
      <c r="G13">
        <v>12.771280000000001</v>
      </c>
      <c r="H13" s="3">
        <f t="shared" si="0"/>
        <v>5.3500000000000227</v>
      </c>
      <c r="I13" s="22">
        <v>0.46677083333333336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25">
      <c r="A14" t="s">
        <v>75</v>
      </c>
      <c r="B14" s="22">
        <v>0.54819444444444443</v>
      </c>
      <c r="C14" s="23">
        <v>1.7036469999999999E-10</v>
      </c>
      <c r="D14" s="23">
        <v>6.0020090000000003E-11</v>
      </c>
      <c r="E14" s="23">
        <v>6.3480149999999998E-12</v>
      </c>
      <c r="F14">
        <v>26.83747</v>
      </c>
      <c r="G14">
        <v>9.4549380000000003</v>
      </c>
      <c r="H14" s="3">
        <f t="shared" si="0"/>
        <v>9.6833333333332803</v>
      </c>
      <c r="I14" s="22">
        <v>0.46967592592592594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25">
      <c r="A15" t="s">
        <v>76</v>
      </c>
      <c r="B15" s="22">
        <v>0.548298611111111</v>
      </c>
      <c r="C15" s="23">
        <v>1.7039339999999999E-10</v>
      </c>
      <c r="D15" s="23">
        <v>6.0020969999999994E-11</v>
      </c>
      <c r="E15" s="23">
        <v>6.3501659999999999E-12</v>
      </c>
      <c r="F15">
        <v>26.832899999999999</v>
      </c>
      <c r="G15">
        <v>9.4518749999999994</v>
      </c>
      <c r="H15" s="3">
        <f t="shared" si="0"/>
        <v>9.816666666666606</v>
      </c>
      <c r="I15" s="22">
        <v>0.46969907407407407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25">
      <c r="A16" t="s">
        <v>77</v>
      </c>
      <c r="B16" s="22">
        <v>0.54835648148148142</v>
      </c>
      <c r="C16" s="23">
        <v>1.7040759999999999E-10</v>
      </c>
      <c r="D16" s="23">
        <v>6.0019820000000003E-11</v>
      </c>
      <c r="E16" s="23">
        <v>6.352163E-12</v>
      </c>
      <c r="F16">
        <v>26.826699999999999</v>
      </c>
      <c r="G16">
        <v>9.4487210000000008</v>
      </c>
      <c r="H16" s="3">
        <f t="shared" si="0"/>
        <v>10.033333333333303</v>
      </c>
      <c r="I16" s="22">
        <v>0.46976851851851853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25">
      <c r="A17" t="s">
        <v>78</v>
      </c>
      <c r="B17" s="22">
        <v>0.55128472222222213</v>
      </c>
      <c r="C17" s="23">
        <v>1.6828949999999999E-10</v>
      </c>
      <c r="D17" s="23">
        <v>4.9410830000000001E-11</v>
      </c>
      <c r="E17" s="23">
        <v>6.2757240000000001E-12</v>
      </c>
      <c r="F17">
        <v>26.815940000000001</v>
      </c>
      <c r="G17">
        <v>7.8733269999999997</v>
      </c>
      <c r="H17" s="3">
        <f t="shared" si="0"/>
        <v>16.416666666666629</v>
      </c>
      <c r="I17" s="22">
        <v>0.47162037037037036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25">
      <c r="A18" t="s">
        <v>79</v>
      </c>
      <c r="B18" s="22">
        <v>0.55138888888888882</v>
      </c>
      <c r="C18" s="23">
        <v>1.6833220000000001E-10</v>
      </c>
      <c r="D18" s="23">
        <v>4.9400589999999997E-11</v>
      </c>
      <c r="E18" s="23">
        <v>6.2774550000000001E-12</v>
      </c>
      <c r="F18">
        <v>26.815359999999998</v>
      </c>
      <c r="G18">
        <v>7.8695259999999996</v>
      </c>
      <c r="H18" s="3">
        <f t="shared" si="0"/>
        <v>16.549999999999955</v>
      </c>
      <c r="I18" s="22">
        <v>0.47168981481481481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25">
      <c r="A19" t="s">
        <v>80</v>
      </c>
      <c r="B19" s="22">
        <v>0.55151620370370358</v>
      </c>
      <c r="C19" s="23">
        <v>1.6832719999999999E-10</v>
      </c>
      <c r="D19" s="23">
        <v>4.9383280000000002E-11</v>
      </c>
      <c r="E19" s="23">
        <v>6.276681E-12</v>
      </c>
      <c r="F19">
        <v>26.817869999999999</v>
      </c>
      <c r="G19">
        <v>7.867737</v>
      </c>
      <c r="H19" s="3">
        <f t="shared" si="0"/>
        <v>16.68333333333328</v>
      </c>
      <c r="I19" s="22">
        <v>0.47184027777777776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25">
      <c r="A20" t="s">
        <v>81</v>
      </c>
      <c r="B20" s="22">
        <v>0.55454861111111098</v>
      </c>
      <c r="C20" s="23">
        <v>1.678446E-10</v>
      </c>
      <c r="D20" s="23">
        <v>5.7839080000000003E-11</v>
      </c>
      <c r="E20" s="23">
        <v>6.2592960000000003E-12</v>
      </c>
      <c r="F20">
        <v>26.815249999999999</v>
      </c>
      <c r="G20">
        <v>9.2405080000000002</v>
      </c>
      <c r="H20" s="3">
        <f t="shared" si="0"/>
        <v>22.199999999999932</v>
      </c>
      <c r="I20" s="22">
        <v>0.47496527777777775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25">
      <c r="A21" t="s">
        <v>82</v>
      </c>
      <c r="B21" s="22">
        <v>0.55473379629629627</v>
      </c>
      <c r="C21" s="23">
        <v>1.6786520000000001E-10</v>
      </c>
      <c r="D21" s="23">
        <v>5.7858559999999997E-11</v>
      </c>
      <c r="E21" s="23">
        <v>6.2621800000000003E-12</v>
      </c>
      <c r="F21">
        <v>26.8062</v>
      </c>
      <c r="G21">
        <v>9.2393640000000001</v>
      </c>
      <c r="H21" s="3">
        <f t="shared" si="0"/>
        <v>22.333333333333258</v>
      </c>
      <c r="I21" s="22">
        <v>0.47513888888888889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25">
      <c r="A22" t="s">
        <v>83</v>
      </c>
      <c r="B22" s="22">
        <v>0.55480324074074061</v>
      </c>
      <c r="C22" s="23">
        <v>1.6786409999999999E-10</v>
      </c>
      <c r="D22" s="23">
        <v>5.7862060000000001E-11</v>
      </c>
      <c r="E22" s="23">
        <v>6.2624150000000002E-12</v>
      </c>
      <c r="F22">
        <v>26.805009999999999</v>
      </c>
      <c r="G22">
        <v>9.2395750000000003</v>
      </c>
      <c r="H22" s="3">
        <f t="shared" si="0"/>
        <v>22.466666666666583</v>
      </c>
      <c r="I22" s="22">
        <v>0.4753356481481481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25">
      <c r="A23">
        <v>20</v>
      </c>
      <c r="B23" s="22">
        <v>0.55832175925925931</v>
      </c>
      <c r="C23" s="23">
        <v>1.6687129999999999E-10</v>
      </c>
      <c r="D23" s="23">
        <v>7.8909760000000006E-11</v>
      </c>
      <c r="E23" s="23">
        <v>6.2516780000000003E-12</v>
      </c>
      <c r="F23">
        <v>26.692240000000002</v>
      </c>
      <c r="G23">
        <v>12.622170000000001</v>
      </c>
      <c r="H23" s="3">
        <f t="shared" si="0"/>
        <v>28.716666666666583</v>
      </c>
      <c r="I23" s="22">
        <v>0.4776273148148148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25">
      <c r="A24">
        <v>20</v>
      </c>
      <c r="B24" s="22">
        <v>0.55844907407407407</v>
      </c>
      <c r="C24" s="23">
        <v>1.66814E-10</v>
      </c>
      <c r="D24" s="23">
        <v>7.8914619999999994E-11</v>
      </c>
      <c r="E24" s="23">
        <v>6.2481290000000002E-12</v>
      </c>
      <c r="F24">
        <v>26.698229999999999</v>
      </c>
      <c r="G24">
        <v>12.63012</v>
      </c>
      <c r="H24" s="3">
        <f t="shared" si="0"/>
        <v>28.799999999999955</v>
      </c>
      <c r="I24" s="22">
        <v>0.47770833333333329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25">
      <c r="A25">
        <v>20</v>
      </c>
      <c r="B25" s="22">
        <v>0.55849537037037034</v>
      </c>
      <c r="C25" s="23">
        <v>1.667948E-10</v>
      </c>
      <c r="D25" s="23">
        <v>7.8919830000000003E-11</v>
      </c>
      <c r="E25" s="23">
        <v>6.2469359999999997E-12</v>
      </c>
      <c r="F25">
        <v>26.70026</v>
      </c>
      <c r="G25">
        <v>12.633369999999999</v>
      </c>
      <c r="H25" s="3">
        <f t="shared" si="0"/>
        <v>29.016666666666652</v>
      </c>
      <c r="I25" s="22">
        <v>0.47782407407407407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25">
      <c r="A26">
        <v>30</v>
      </c>
      <c r="B26" s="22">
        <v>0.56089120370370371</v>
      </c>
      <c r="C26" s="23">
        <v>1.4497110000000001E-10</v>
      </c>
      <c r="D26" s="23">
        <v>6.7649399999999996E-11</v>
      </c>
      <c r="E26" s="23">
        <v>5.3023630000000002E-12</v>
      </c>
      <c r="F26">
        <v>27.34084</v>
      </c>
      <c r="G26">
        <v>12.75835</v>
      </c>
      <c r="H26" s="3">
        <f t="shared" si="0"/>
        <v>35.483333333333348</v>
      </c>
      <c r="I26" s="22">
        <v>0.48113425925925923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25">
      <c r="A27">
        <v>30</v>
      </c>
      <c r="B27" s="22">
        <v>0.56115740740740738</v>
      </c>
      <c r="C27" s="23">
        <v>1.4471260000000001E-10</v>
      </c>
      <c r="D27" s="23">
        <v>6.7547679999999994E-11</v>
      </c>
      <c r="E27" s="23">
        <v>5.2952150000000001E-12</v>
      </c>
      <c r="F27">
        <v>27.328939999999999</v>
      </c>
      <c r="G27">
        <v>12.756360000000001</v>
      </c>
      <c r="H27" s="3">
        <f t="shared" si="0"/>
        <v>35.616666666666674</v>
      </c>
      <c r="I27" s="22">
        <v>0.48121527777777773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25">
      <c r="A28">
        <v>30</v>
      </c>
      <c r="B28" s="22">
        <v>0.5612731481481481</v>
      </c>
      <c r="C28" s="23">
        <v>1.4465649999999999E-10</v>
      </c>
      <c r="D28" s="23">
        <v>6.7525200000000006E-11</v>
      </c>
      <c r="E28" s="23">
        <v>5.293078E-12</v>
      </c>
      <c r="F28">
        <v>27.32938</v>
      </c>
      <c r="G28">
        <v>12.75726</v>
      </c>
      <c r="H28" s="3">
        <f t="shared" si="0"/>
        <v>35.699999999999932</v>
      </c>
      <c r="I28" s="22">
        <v>0.48129629629629628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25">
      <c r="B29" s="1"/>
      <c r="C29" s="2"/>
      <c r="D29" s="2"/>
      <c r="E29" s="2"/>
      <c r="F29" s="2"/>
      <c r="G29" s="2"/>
      <c r="H29" s="3"/>
      <c r="I29" s="1"/>
    </row>
    <row r="30" spans="1:13" x14ac:dyDescent="0.25">
      <c r="B30" s="1"/>
      <c r="C30" s="2"/>
      <c r="D30" s="2"/>
      <c r="E30" s="2"/>
      <c r="F30" s="2"/>
      <c r="G30" s="2"/>
      <c r="H30" s="3"/>
      <c r="I30" s="1"/>
    </row>
    <row r="31" spans="1:13" x14ac:dyDescent="0.25">
      <c r="B31" s="1"/>
      <c r="C31" s="2"/>
      <c r="D31" s="2"/>
      <c r="E31" s="2"/>
      <c r="F31" s="2"/>
      <c r="G31" s="2"/>
      <c r="H31" s="3"/>
      <c r="I31" s="1"/>
    </row>
    <row r="32" spans="1:13" x14ac:dyDescent="0.25">
      <c r="B32" s="1"/>
      <c r="C32" s="2"/>
      <c r="D32" s="2"/>
      <c r="E32" s="2"/>
      <c r="F32" s="2"/>
      <c r="G32" s="2"/>
      <c r="H32" s="3"/>
      <c r="I32" s="1"/>
    </row>
    <row r="33" spans="2:9" x14ac:dyDescent="0.25">
      <c r="B33" s="1"/>
      <c r="C33" s="2"/>
      <c r="D33" s="2"/>
      <c r="E33" s="2"/>
      <c r="F33" s="2"/>
      <c r="G33" s="2"/>
      <c r="H33" s="3"/>
      <c r="I33" s="1"/>
    </row>
    <row r="34" spans="2:9" x14ac:dyDescent="0.25">
      <c r="B34" s="1"/>
      <c r="C34" s="2"/>
      <c r="D34" s="2"/>
      <c r="E34" s="2"/>
      <c r="F34" s="2"/>
      <c r="G34" s="2"/>
      <c r="H34" s="3"/>
      <c r="I34" s="1"/>
    </row>
    <row r="35" spans="2:9" x14ac:dyDescent="0.25">
      <c r="B35" s="1"/>
      <c r="C35" s="2"/>
      <c r="D35" s="2"/>
      <c r="E35" s="2"/>
      <c r="F35" s="2"/>
      <c r="G35" s="2"/>
      <c r="H35" s="3"/>
      <c r="I35" s="1"/>
    </row>
    <row r="36" spans="2:9" x14ac:dyDescent="0.25">
      <c r="B36" s="1"/>
      <c r="C36" s="2"/>
      <c r="D36" s="2"/>
      <c r="E36" s="2"/>
      <c r="F36" s="2"/>
      <c r="G36" s="2"/>
      <c r="H36" s="3"/>
      <c r="I36" s="1"/>
    </row>
    <row r="37" spans="2:9" x14ac:dyDescent="0.25">
      <c r="B37" s="1"/>
      <c r="C37" s="2"/>
      <c r="D37" s="2"/>
      <c r="E37" s="2"/>
      <c r="F37" s="2"/>
      <c r="G37" s="2"/>
      <c r="H37" s="3"/>
      <c r="I37" s="1"/>
    </row>
    <row r="38" spans="2:9" x14ac:dyDescent="0.25">
      <c r="B38" s="1"/>
      <c r="C38" s="2"/>
      <c r="D38" s="2"/>
      <c r="E38" s="2"/>
      <c r="F38" s="2"/>
      <c r="G38" s="2"/>
      <c r="H38" s="3"/>
      <c r="I38" s="1"/>
    </row>
    <row r="39" spans="2:9" x14ac:dyDescent="0.25">
      <c r="B39" s="1"/>
      <c r="C39" s="2"/>
      <c r="D39" s="2"/>
      <c r="E39" s="2"/>
      <c r="F39" s="2"/>
      <c r="G39" s="2"/>
      <c r="H39" s="3"/>
      <c r="I39" s="1"/>
    </row>
    <row r="40" spans="2:9" x14ac:dyDescent="0.25">
      <c r="B40" s="1"/>
      <c r="C40" s="2"/>
      <c r="D40" s="2"/>
      <c r="E40" s="2"/>
      <c r="F40" s="2"/>
      <c r="G40" s="2"/>
      <c r="H40" s="3"/>
      <c r="I40" s="1"/>
    </row>
    <row r="41" spans="2:9" x14ac:dyDescent="0.25">
      <c r="B41" s="1"/>
      <c r="C41" s="2"/>
      <c r="D41" s="2"/>
      <c r="E41" s="2"/>
      <c r="F41" s="2"/>
      <c r="G41" s="2"/>
      <c r="H41" s="3"/>
      <c r="I41" s="1"/>
    </row>
    <row r="42" spans="2:9" x14ac:dyDescent="0.25">
      <c r="B42" s="1"/>
      <c r="C42" s="2"/>
      <c r="D42" s="2"/>
      <c r="E42" s="2"/>
      <c r="F42" s="2"/>
      <c r="G42" s="2"/>
      <c r="H42" s="3"/>
      <c r="I42" s="1"/>
    </row>
    <row r="43" spans="2:9" x14ac:dyDescent="0.25">
      <c r="B43" s="1"/>
      <c r="C43" s="2"/>
      <c r="D43" s="2"/>
      <c r="E43" s="2"/>
      <c r="F43" s="2"/>
      <c r="G43" s="2"/>
      <c r="H43" s="3"/>
      <c r="I43" s="1"/>
    </row>
    <row r="44" spans="2:9" x14ac:dyDescent="0.25">
      <c r="B44" s="1"/>
      <c r="C44" s="2"/>
      <c r="D44" s="2"/>
      <c r="E44" s="2"/>
      <c r="F44" s="2"/>
      <c r="G44" s="2"/>
      <c r="H44" s="3"/>
      <c r="I44" s="1"/>
    </row>
    <row r="45" spans="2:9" x14ac:dyDescent="0.25">
      <c r="B45" s="1"/>
      <c r="C45" s="2"/>
      <c r="D45" s="2"/>
      <c r="E45" s="2"/>
      <c r="F45" s="2"/>
      <c r="G45" s="2"/>
      <c r="H45" s="3"/>
      <c r="I45" s="1"/>
    </row>
    <row r="46" spans="2:9" x14ac:dyDescent="0.25">
      <c r="B46" s="1"/>
      <c r="C46" s="2"/>
      <c r="D46" s="2"/>
      <c r="E46" s="2"/>
      <c r="F46" s="2"/>
      <c r="G46" s="2"/>
      <c r="H46" s="3"/>
      <c r="I46" s="1"/>
    </row>
    <row r="47" spans="2:9" x14ac:dyDescent="0.25">
      <c r="B47" s="1"/>
      <c r="C47" s="2"/>
      <c r="D47" s="2"/>
      <c r="E47" s="2"/>
      <c r="F47" s="2"/>
      <c r="G47" s="2"/>
      <c r="H47" s="3"/>
      <c r="I47" s="1"/>
    </row>
    <row r="48" spans="2:9" x14ac:dyDescent="0.25">
      <c r="B48" s="1"/>
      <c r="C48" s="2"/>
      <c r="D48" s="2"/>
      <c r="E48" s="2"/>
      <c r="F48" s="2"/>
      <c r="G48" s="2"/>
      <c r="H48" s="3"/>
      <c r="I48" s="1"/>
    </row>
    <row r="49" spans="2:9" x14ac:dyDescent="0.25">
      <c r="B49" s="1"/>
      <c r="C49" s="2"/>
      <c r="D49" s="2"/>
      <c r="E49" s="2"/>
      <c r="F49" s="2"/>
      <c r="G49" s="2"/>
      <c r="H49" s="3"/>
      <c r="I49" s="1"/>
    </row>
    <row r="50" spans="2:9" x14ac:dyDescent="0.25">
      <c r="B50" s="1"/>
      <c r="C50" s="2"/>
      <c r="D50" s="2"/>
      <c r="E50" s="2"/>
      <c r="F50" s="2"/>
      <c r="G50" s="2"/>
      <c r="H50" s="3"/>
      <c r="I50" s="1"/>
    </row>
    <row r="51" spans="2:9" x14ac:dyDescent="0.25">
      <c r="B51" s="1"/>
      <c r="C51" s="2"/>
      <c r="D51" s="2"/>
      <c r="E51" s="2"/>
      <c r="F51" s="2"/>
      <c r="G51" s="2"/>
      <c r="H51" s="3"/>
      <c r="I51" s="1"/>
    </row>
    <row r="52" spans="2:9" x14ac:dyDescent="0.25">
      <c r="B52" s="1"/>
      <c r="C52" s="2"/>
      <c r="D52" s="2"/>
      <c r="E52" s="2"/>
      <c r="F52" s="2"/>
      <c r="G52" s="2"/>
      <c r="H52" s="3"/>
      <c r="I52" s="1"/>
    </row>
    <row r="53" spans="2:9" x14ac:dyDescent="0.25">
      <c r="B53" s="1"/>
      <c r="C53" s="2"/>
      <c r="D53" s="2"/>
      <c r="E53" s="2"/>
      <c r="F53" s="2"/>
      <c r="G53" s="2"/>
      <c r="H53" s="3"/>
      <c r="I53" s="1"/>
    </row>
    <row r="54" spans="2:9" x14ac:dyDescent="0.25">
      <c r="B54" s="1"/>
      <c r="C54" s="2"/>
      <c r="D54" s="2"/>
      <c r="E54" s="2"/>
      <c r="F54" s="2"/>
      <c r="G54" s="2"/>
      <c r="H54" s="3"/>
      <c r="I54" s="1"/>
    </row>
    <row r="55" spans="2:9" x14ac:dyDescent="0.25">
      <c r="B55" s="1"/>
      <c r="C55" s="2"/>
      <c r="D55" s="2"/>
      <c r="E55" s="2"/>
      <c r="F55" s="2"/>
      <c r="G55" s="2"/>
      <c r="H55" s="3"/>
      <c r="I55" s="1"/>
    </row>
    <row r="56" spans="2:9" x14ac:dyDescent="0.25">
      <c r="B56" s="1"/>
      <c r="C56" s="2"/>
      <c r="D56" s="2"/>
      <c r="E56" s="2"/>
      <c r="F56" s="2"/>
      <c r="G56" s="2"/>
      <c r="H56" s="3"/>
      <c r="I56" s="1"/>
    </row>
    <row r="57" spans="2:9" x14ac:dyDescent="0.25">
      <c r="B57" s="1"/>
      <c r="C57" s="2"/>
      <c r="D57" s="2"/>
      <c r="E57" s="2"/>
      <c r="F57" s="2"/>
      <c r="G57" s="2"/>
      <c r="H57" s="3"/>
      <c r="I57" s="1"/>
    </row>
    <row r="58" spans="2:9" x14ac:dyDescent="0.25">
      <c r="B58" s="1"/>
      <c r="C58" s="2"/>
      <c r="D58" s="2"/>
      <c r="E58" s="2"/>
      <c r="F58" s="2"/>
      <c r="G58" s="2"/>
      <c r="H58" s="3"/>
      <c r="I58" s="1"/>
    </row>
    <row r="59" spans="2:9" x14ac:dyDescent="0.25">
      <c r="B59" s="1"/>
      <c r="C59" s="2"/>
      <c r="D59" s="2"/>
      <c r="E59" s="2"/>
      <c r="F59" s="2"/>
      <c r="G59" s="2"/>
      <c r="H59" s="3"/>
      <c r="I59" s="1"/>
    </row>
    <row r="60" spans="2:9" x14ac:dyDescent="0.25">
      <c r="B60" s="1"/>
      <c r="C60" s="2"/>
      <c r="D60" s="2"/>
      <c r="E60" s="2"/>
      <c r="F60" s="2"/>
      <c r="G60" s="2"/>
      <c r="H60" s="3"/>
      <c r="I60" s="1"/>
    </row>
    <row r="61" spans="2:9" x14ac:dyDescent="0.25">
      <c r="B61" s="1"/>
      <c r="C61" s="2"/>
      <c r="D61" s="2"/>
      <c r="E61" s="2"/>
      <c r="F61" s="2"/>
      <c r="G61" s="2"/>
      <c r="H61" s="3"/>
      <c r="I61" s="1"/>
    </row>
    <row r="62" spans="2:9" x14ac:dyDescent="0.25">
      <c r="B62" s="1"/>
      <c r="C62" s="2"/>
      <c r="D62" s="2"/>
      <c r="E62" s="2"/>
      <c r="F62" s="2"/>
      <c r="G62" s="2"/>
      <c r="H62" s="3"/>
      <c r="I62" s="1"/>
    </row>
    <row r="63" spans="2:9" x14ac:dyDescent="0.25">
      <c r="B63" s="1"/>
      <c r="C63" s="2"/>
      <c r="D63" s="2"/>
      <c r="E63" s="2"/>
      <c r="F63" s="2"/>
      <c r="G63" s="2"/>
      <c r="H63" s="3"/>
      <c r="I63" s="1"/>
    </row>
    <row r="64" spans="2:9" x14ac:dyDescent="0.25">
      <c r="B64" s="1"/>
      <c r="C64" s="2"/>
      <c r="D64" s="2"/>
      <c r="E64" s="2"/>
      <c r="F64" s="2"/>
      <c r="G64" s="2"/>
      <c r="H64" s="3"/>
      <c r="I64" s="1"/>
    </row>
    <row r="65" spans="2:9" x14ac:dyDescent="0.25">
      <c r="B65" s="1"/>
      <c r="C65" s="2"/>
      <c r="D65" s="2"/>
      <c r="E65" s="2"/>
      <c r="F65" s="2"/>
      <c r="G65" s="2"/>
      <c r="H65" s="3"/>
      <c r="I65" s="1"/>
    </row>
    <row r="66" spans="2:9" x14ac:dyDescent="0.25">
      <c r="B66" s="1"/>
      <c r="C66" s="2"/>
      <c r="D66" s="2"/>
      <c r="E66" s="2"/>
      <c r="F66" s="2"/>
      <c r="G66" s="2"/>
      <c r="H66" s="3"/>
      <c r="I66" s="1"/>
    </row>
    <row r="67" spans="2:9" x14ac:dyDescent="0.25">
      <c r="B67" s="1"/>
      <c r="C67" s="2"/>
      <c r="D67" s="2"/>
      <c r="E67" s="2"/>
      <c r="F67" s="2"/>
      <c r="G67" s="2"/>
      <c r="H67" s="3"/>
      <c r="I67" s="1"/>
    </row>
    <row r="68" spans="2:9" x14ac:dyDescent="0.25">
      <c r="B68" s="1"/>
      <c r="C68" s="2"/>
      <c r="D68" s="2"/>
      <c r="E68" s="2"/>
      <c r="F68" s="2"/>
      <c r="G68" s="2"/>
      <c r="H68" s="3"/>
      <c r="I68" s="1"/>
    </row>
    <row r="69" spans="2:9" x14ac:dyDescent="0.25">
      <c r="B69" s="1"/>
      <c r="C69" s="2"/>
      <c r="D69" s="2"/>
      <c r="E69" s="2"/>
      <c r="F69" s="2"/>
      <c r="G69" s="2"/>
      <c r="H69" s="3"/>
      <c r="I69" s="1"/>
    </row>
    <row r="70" spans="2:9" x14ac:dyDescent="0.25">
      <c r="B70" s="1"/>
      <c r="C70" s="2"/>
      <c r="D70" s="2"/>
      <c r="E70" s="2"/>
      <c r="F70" s="2"/>
      <c r="G70" s="2"/>
      <c r="H70" s="3"/>
      <c r="I70" s="1"/>
    </row>
    <row r="71" spans="2:9" x14ac:dyDescent="0.25">
      <c r="B71" s="1"/>
      <c r="C71" s="2"/>
      <c r="D71" s="2"/>
      <c r="E71" s="2"/>
      <c r="F71" s="2"/>
      <c r="G71" s="2"/>
      <c r="H71" s="3"/>
      <c r="I71" s="1"/>
    </row>
    <row r="72" spans="2:9" x14ac:dyDescent="0.25">
      <c r="B72" s="1"/>
      <c r="C72" s="2"/>
      <c r="D72" s="2"/>
      <c r="E72" s="2"/>
      <c r="F72" s="2"/>
      <c r="G72" s="2"/>
      <c r="H72" s="3"/>
      <c r="I72" s="1"/>
    </row>
    <row r="73" spans="2:9" x14ac:dyDescent="0.25">
      <c r="B73" s="1"/>
      <c r="C73" s="2"/>
      <c r="D73" s="2"/>
      <c r="E73" s="2"/>
      <c r="F73" s="2"/>
      <c r="G73" s="2"/>
      <c r="H73" s="3"/>
      <c r="I73" s="1"/>
    </row>
    <row r="74" spans="2:9" x14ac:dyDescent="0.25">
      <c r="B74" s="1"/>
      <c r="C74" s="2"/>
      <c r="D74" s="2"/>
      <c r="E74" s="2"/>
      <c r="F74" s="2"/>
      <c r="G74" s="2"/>
      <c r="H74" s="3"/>
      <c r="I74" s="1"/>
    </row>
    <row r="75" spans="2:9" x14ac:dyDescent="0.25">
      <c r="B75" s="1"/>
      <c r="C75" s="2"/>
      <c r="D75" s="2"/>
      <c r="E75" s="2"/>
      <c r="F75" s="2"/>
      <c r="G75" s="2"/>
      <c r="H75" s="3"/>
      <c r="I75" s="1"/>
    </row>
    <row r="76" spans="2:9" x14ac:dyDescent="0.25">
      <c r="B76" s="1"/>
      <c r="C76" s="2"/>
      <c r="D76" s="2"/>
      <c r="E76" s="2"/>
      <c r="F76" s="2"/>
      <c r="G76" s="2"/>
      <c r="H76" s="3"/>
      <c r="I76" s="1"/>
    </row>
    <row r="77" spans="2:9" x14ac:dyDescent="0.25">
      <c r="B77" s="1"/>
      <c r="C77" s="2"/>
      <c r="D77" s="2"/>
      <c r="E77" s="2"/>
      <c r="F77" s="2"/>
      <c r="G77" s="2"/>
      <c r="H77" s="3"/>
      <c r="I77" s="1"/>
    </row>
    <row r="78" spans="2:9" x14ac:dyDescent="0.25">
      <c r="B78" s="1"/>
      <c r="C78" s="2"/>
      <c r="D78" s="2"/>
      <c r="E78" s="2"/>
      <c r="F78" s="2"/>
      <c r="G78" s="2"/>
      <c r="H78" s="3"/>
      <c r="I78" s="1"/>
    </row>
    <row r="79" spans="2:9" x14ac:dyDescent="0.25">
      <c r="B79" s="1"/>
      <c r="C79" s="2"/>
      <c r="D79" s="2"/>
      <c r="E79" s="2"/>
      <c r="F79" s="2"/>
      <c r="G79" s="2"/>
      <c r="H79" s="3"/>
      <c r="I79" s="1"/>
    </row>
    <row r="80" spans="2:9" x14ac:dyDescent="0.25">
      <c r="B80" s="1"/>
      <c r="C80" s="2"/>
      <c r="D80" s="2"/>
      <c r="E80" s="2"/>
      <c r="F80" s="2"/>
      <c r="G80" s="2"/>
      <c r="H80" s="3"/>
      <c r="I80" s="1"/>
    </row>
    <row r="81" spans="2:9" x14ac:dyDescent="0.25">
      <c r="B81" s="1"/>
      <c r="C81" s="2"/>
      <c r="D81" s="2"/>
      <c r="E81" s="2"/>
      <c r="F81" s="2"/>
      <c r="G81" s="2"/>
      <c r="H81" s="3"/>
      <c r="I81" s="1"/>
    </row>
    <row r="82" spans="2:9" x14ac:dyDescent="0.25">
      <c r="B82" s="1"/>
      <c r="C82" s="2"/>
      <c r="D82" s="2"/>
      <c r="E82" s="2"/>
      <c r="F82" s="2"/>
      <c r="G82" s="2"/>
      <c r="H82" s="3"/>
      <c r="I82" s="1"/>
    </row>
    <row r="83" spans="2:9" x14ac:dyDescent="0.25">
      <c r="B83" s="1"/>
      <c r="C83" s="2"/>
      <c r="D83" s="2"/>
      <c r="E83" s="2"/>
      <c r="F83" s="2"/>
      <c r="G83" s="2"/>
      <c r="H83" s="3"/>
      <c r="I83" s="1"/>
    </row>
    <row r="84" spans="2:9" x14ac:dyDescent="0.25">
      <c r="B84" s="1"/>
      <c r="C84" s="2"/>
      <c r="D84" s="2"/>
      <c r="E84" s="2"/>
      <c r="F84" s="2"/>
      <c r="G84" s="2"/>
      <c r="H84" s="3"/>
      <c r="I84" s="1"/>
    </row>
    <row r="85" spans="2:9" x14ac:dyDescent="0.25">
      <c r="B85" s="1"/>
      <c r="C85" s="2"/>
      <c r="D85" s="2"/>
      <c r="E85" s="2"/>
      <c r="F85" s="2"/>
      <c r="G85" s="2"/>
      <c r="H85" s="3"/>
      <c r="I85" s="1"/>
    </row>
    <row r="86" spans="2:9" x14ac:dyDescent="0.25">
      <c r="B86" s="1"/>
      <c r="C86" s="2"/>
      <c r="D86" s="2"/>
      <c r="E86" s="2"/>
      <c r="F86" s="2"/>
      <c r="G86" s="2"/>
      <c r="H86" s="3"/>
      <c r="I86" s="1"/>
    </row>
    <row r="87" spans="2:9" x14ac:dyDescent="0.25">
      <c r="B87" s="1"/>
      <c r="C87" s="2"/>
      <c r="D87" s="2"/>
      <c r="E87" s="2"/>
      <c r="F87" s="2"/>
      <c r="G87" s="2"/>
      <c r="H87" s="3"/>
      <c r="I87" s="1"/>
    </row>
    <row r="88" spans="2:9" x14ac:dyDescent="0.25">
      <c r="B88" s="1"/>
      <c r="C88" s="2"/>
      <c r="D88" s="2"/>
      <c r="E88" s="2"/>
      <c r="F88" s="2"/>
      <c r="G88" s="2"/>
      <c r="H88" s="3"/>
      <c r="I88" s="1"/>
    </row>
    <row r="89" spans="2:9" x14ac:dyDescent="0.25">
      <c r="B89" s="1"/>
      <c r="C89" s="2"/>
      <c r="D89" s="2"/>
      <c r="E89" s="2"/>
      <c r="F89" s="2"/>
      <c r="G89" s="2"/>
      <c r="H89" s="3"/>
      <c r="I89" s="1"/>
    </row>
    <row r="90" spans="2:9" x14ac:dyDescent="0.25">
      <c r="B90" s="1"/>
      <c r="C90" s="2"/>
      <c r="D90" s="2"/>
      <c r="E90" s="2"/>
      <c r="F90" s="2"/>
      <c r="G90" s="2"/>
      <c r="H90" s="3"/>
      <c r="I90" s="1"/>
    </row>
    <row r="91" spans="2:9" x14ac:dyDescent="0.25">
      <c r="B91" s="1"/>
      <c r="C91" s="2"/>
      <c r="D91" s="2"/>
      <c r="E91" s="2"/>
      <c r="F91" s="2"/>
      <c r="G91" s="2"/>
      <c r="H91" s="3"/>
      <c r="I91" s="1"/>
    </row>
    <row r="92" spans="2:9" x14ac:dyDescent="0.25">
      <c r="B92" s="1"/>
      <c r="C92" s="2"/>
      <c r="D92" s="2"/>
      <c r="E92" s="2"/>
      <c r="F92" s="2"/>
      <c r="G92" s="2"/>
      <c r="H92" s="3"/>
      <c r="I92" s="1"/>
    </row>
    <row r="93" spans="2:9" x14ac:dyDescent="0.25">
      <c r="B93" s="1"/>
      <c r="C93" s="2"/>
      <c r="D93" s="2"/>
      <c r="E93" s="2"/>
      <c r="F93" s="2"/>
      <c r="G93" s="2"/>
      <c r="H93" s="3"/>
      <c r="I93" s="1"/>
    </row>
    <row r="94" spans="2:9" x14ac:dyDescent="0.25">
      <c r="B94" s="1"/>
      <c r="C94" s="2"/>
      <c r="D94" s="2"/>
      <c r="E94" s="2"/>
      <c r="F94" s="2"/>
      <c r="G94" s="2"/>
      <c r="H94" s="3"/>
      <c r="I94" s="1"/>
    </row>
    <row r="95" spans="2:9" x14ac:dyDescent="0.25">
      <c r="B95" s="1"/>
      <c r="C95" s="2"/>
      <c r="D95" s="2"/>
      <c r="E95" s="2"/>
      <c r="F95" s="2"/>
      <c r="G95" s="2"/>
      <c r="H95" s="3"/>
      <c r="I95" s="1"/>
    </row>
    <row r="96" spans="2:9" x14ac:dyDescent="0.25">
      <c r="B96" s="1"/>
      <c r="C96" s="2"/>
      <c r="D96" s="2"/>
      <c r="E96" s="2"/>
      <c r="F96" s="2"/>
      <c r="G96" s="2"/>
      <c r="H96" s="3"/>
      <c r="I96" s="1"/>
    </row>
    <row r="97" spans="1:9" x14ac:dyDescent="0.25">
      <c r="B97" s="1"/>
      <c r="C97" s="2"/>
      <c r="D97" s="2"/>
      <c r="E97" s="2"/>
      <c r="F97" s="2"/>
      <c r="G97" s="2"/>
      <c r="H97" s="3"/>
      <c r="I97" s="1"/>
    </row>
    <row r="98" spans="1:9" x14ac:dyDescent="0.25">
      <c r="B98" s="1"/>
      <c r="C98" s="2"/>
      <c r="D98" s="2"/>
      <c r="E98" s="2"/>
      <c r="F98" s="2"/>
      <c r="G98" s="2"/>
      <c r="H98" s="3"/>
      <c r="I98" s="1"/>
    </row>
    <row r="99" spans="1:9" x14ac:dyDescent="0.25">
      <c r="B99" s="1"/>
      <c r="C99" s="2"/>
      <c r="D99" s="2"/>
      <c r="E99" s="2"/>
      <c r="F99" s="2"/>
      <c r="G99" s="2"/>
      <c r="H99" s="3"/>
      <c r="I99" s="1"/>
    </row>
    <row r="100" spans="1:9" x14ac:dyDescent="0.25">
      <c r="A100" s="12"/>
      <c r="B100" s="17"/>
      <c r="C100" s="18"/>
      <c r="D100" s="18"/>
      <c r="E100" s="18"/>
      <c r="F100" s="18"/>
      <c r="G100" s="18"/>
      <c r="H100" s="3"/>
      <c r="I100" s="1"/>
    </row>
    <row r="101" spans="1:9" x14ac:dyDescent="0.25">
      <c r="B101" s="1"/>
      <c r="C101" s="2"/>
      <c r="D101" s="2"/>
      <c r="E101" s="2"/>
      <c r="F101" s="2"/>
      <c r="G101" s="2"/>
      <c r="H101" s="3"/>
      <c r="I101" s="1"/>
    </row>
    <row r="102" spans="1:9" x14ac:dyDescent="0.25">
      <c r="B102" s="1"/>
      <c r="C102" s="2"/>
      <c r="D102" s="2"/>
      <c r="E102" s="2"/>
      <c r="F102" s="2"/>
      <c r="G102" s="2"/>
      <c r="H102" s="3"/>
      <c r="I102" s="1"/>
    </row>
    <row r="103" spans="1:9" x14ac:dyDescent="0.25">
      <c r="B103" s="1"/>
      <c r="C103" s="2"/>
      <c r="D103" s="2"/>
      <c r="E103" s="2"/>
      <c r="F103" s="2"/>
      <c r="G103" s="2"/>
      <c r="H103" s="3"/>
      <c r="I103" s="1"/>
    </row>
    <row r="104" spans="1:9" x14ac:dyDescent="0.25">
      <c r="B104" s="1"/>
      <c r="C104" s="2"/>
      <c r="D104" s="2"/>
      <c r="E104" s="2"/>
      <c r="F104" s="2"/>
      <c r="G104" s="2"/>
      <c r="H104" s="3"/>
      <c r="I104" s="1"/>
    </row>
    <row r="105" spans="1:9" x14ac:dyDescent="0.25">
      <c r="B105" s="1"/>
      <c r="C105" s="2"/>
      <c r="D105" s="2"/>
      <c r="E105" s="2"/>
      <c r="F105" s="2"/>
      <c r="G105" s="2"/>
      <c r="H105" s="3"/>
      <c r="I105" s="1"/>
    </row>
    <row r="106" spans="1:9" x14ac:dyDescent="0.25">
      <c r="B106" s="1"/>
      <c r="C106" s="2"/>
      <c r="D106" s="2"/>
      <c r="E106" s="2"/>
      <c r="F106" s="2"/>
      <c r="G106" s="2"/>
      <c r="H106" s="3"/>
      <c r="I106" s="1"/>
    </row>
    <row r="107" spans="1:9" x14ac:dyDescent="0.25">
      <c r="B107" s="1"/>
      <c r="C107" s="2"/>
      <c r="D107" s="2"/>
      <c r="E107" s="2"/>
      <c r="F107" s="2"/>
      <c r="G107" s="2"/>
      <c r="H107" s="3"/>
      <c r="I107" s="1"/>
    </row>
    <row r="108" spans="1:9" x14ac:dyDescent="0.25">
      <c r="B108" s="1"/>
      <c r="C108" s="2"/>
      <c r="D108" s="2"/>
      <c r="E108" s="2"/>
      <c r="F108" s="2"/>
      <c r="G108" s="2"/>
      <c r="H108" s="3"/>
      <c r="I108" s="1"/>
    </row>
    <row r="109" spans="1:9" x14ac:dyDescent="0.25">
      <c r="B109" s="1"/>
      <c r="C109" s="2"/>
      <c r="D109" s="2"/>
      <c r="E109" s="2"/>
      <c r="F109" s="2"/>
      <c r="G109" s="2"/>
      <c r="H109" s="3"/>
      <c r="I109" s="1"/>
    </row>
    <row r="110" spans="1:9" x14ac:dyDescent="0.25">
      <c r="B110" s="1"/>
      <c r="C110" s="2"/>
      <c r="D110" s="2"/>
      <c r="E110" s="2"/>
      <c r="F110" s="2"/>
      <c r="G110" s="2"/>
      <c r="H110" s="3"/>
      <c r="I110" s="1"/>
    </row>
    <row r="111" spans="1:9" x14ac:dyDescent="0.25">
      <c r="B111" s="1"/>
      <c r="C111" s="2"/>
      <c r="D111" s="2"/>
      <c r="E111" s="2"/>
      <c r="F111" s="2"/>
      <c r="G111" s="2"/>
      <c r="H111" s="3"/>
      <c r="I111" s="1"/>
    </row>
    <row r="112" spans="1:9" x14ac:dyDescent="0.25">
      <c r="B112" s="1"/>
      <c r="C112" s="2"/>
      <c r="D112" s="2"/>
      <c r="E112" s="2"/>
      <c r="F112" s="2"/>
      <c r="G112" s="2"/>
      <c r="H112" s="3"/>
      <c r="I112" s="1"/>
    </row>
    <row r="113" spans="2:9" x14ac:dyDescent="0.25">
      <c r="B113" s="1"/>
      <c r="C113" s="2"/>
      <c r="D113" s="2"/>
      <c r="E113" s="2"/>
      <c r="F113" s="2"/>
      <c r="G113" s="2"/>
      <c r="H113" s="3"/>
      <c r="I113" s="1"/>
    </row>
    <row r="114" spans="2:9" x14ac:dyDescent="0.25">
      <c r="B114" s="1"/>
      <c r="C114" s="2"/>
      <c r="D114" s="2"/>
      <c r="E114" s="2"/>
      <c r="F114" s="2"/>
      <c r="G114" s="2"/>
      <c r="H114" s="3"/>
      <c r="I114" s="1"/>
    </row>
    <row r="115" spans="2:9" x14ac:dyDescent="0.25">
      <c r="B115" s="1"/>
      <c r="C115" s="2"/>
      <c r="D115" s="2"/>
      <c r="E115" s="2"/>
      <c r="F115" s="2"/>
      <c r="G115" s="2"/>
      <c r="H115" s="3"/>
      <c r="I115" s="1"/>
    </row>
    <row r="116" spans="2:9" x14ac:dyDescent="0.25">
      <c r="B116" s="1"/>
      <c r="C116" s="2"/>
      <c r="D116" s="2"/>
      <c r="E116" s="2"/>
      <c r="F116" s="2"/>
      <c r="G116" s="2"/>
      <c r="H116" s="3"/>
      <c r="I116" s="1"/>
    </row>
    <row r="117" spans="2:9" x14ac:dyDescent="0.25">
      <c r="B117" s="1"/>
      <c r="C117" s="2"/>
      <c r="D117" s="2"/>
      <c r="E117" s="2"/>
      <c r="F117" s="2"/>
      <c r="G117" s="2"/>
      <c r="H117" s="3"/>
      <c r="I117" s="1"/>
    </row>
    <row r="118" spans="2:9" x14ac:dyDescent="0.25">
      <c r="B118" s="1"/>
      <c r="C118" s="2"/>
      <c r="D118" s="2"/>
      <c r="E118" s="2"/>
      <c r="F118" s="2"/>
      <c r="G118" s="2"/>
      <c r="H118" s="3"/>
      <c r="I118" s="1"/>
    </row>
    <row r="119" spans="2:9" x14ac:dyDescent="0.25">
      <c r="B119" s="1"/>
      <c r="C119" s="2"/>
      <c r="D119" s="2"/>
      <c r="E119" s="2"/>
      <c r="F119" s="2"/>
      <c r="G119" s="2"/>
      <c r="H119" s="3"/>
      <c r="I119" s="1"/>
    </row>
    <row r="120" spans="2:9" x14ac:dyDescent="0.25">
      <c r="B120" s="1"/>
      <c r="C120" s="2"/>
      <c r="D120" s="2"/>
      <c r="E120" s="2"/>
      <c r="F120" s="2"/>
      <c r="G120" s="2"/>
      <c r="H120" s="3"/>
      <c r="I120" s="1"/>
    </row>
    <row r="121" spans="2:9" x14ac:dyDescent="0.25">
      <c r="B121" s="1"/>
      <c r="C121" s="2"/>
      <c r="D121" s="2"/>
      <c r="E121" s="2"/>
      <c r="F121" s="2"/>
      <c r="G121" s="2"/>
      <c r="H121" s="3"/>
      <c r="I121" s="1"/>
    </row>
    <row r="122" spans="2:9" x14ac:dyDescent="0.25">
      <c r="B122" s="1"/>
      <c r="C122" s="2"/>
      <c r="D122" s="2"/>
      <c r="E122" s="2"/>
      <c r="F122" s="2"/>
      <c r="G122" s="2"/>
      <c r="H122" s="3"/>
      <c r="I122" s="1"/>
    </row>
    <row r="123" spans="2:9" x14ac:dyDescent="0.25">
      <c r="B123" s="1"/>
      <c r="C123" s="2"/>
      <c r="D123" s="2"/>
      <c r="E123" s="2"/>
      <c r="F123" s="2"/>
      <c r="G123" s="2"/>
      <c r="H123" s="3"/>
      <c r="I123" s="1"/>
    </row>
    <row r="124" spans="2:9" x14ac:dyDescent="0.25">
      <c r="B124" s="1"/>
      <c r="C124" s="2"/>
      <c r="D124" s="2"/>
      <c r="E124" s="2"/>
      <c r="F124" s="2"/>
      <c r="G124" s="2"/>
      <c r="H124" s="3"/>
      <c r="I124" s="1"/>
    </row>
    <row r="125" spans="2:9" x14ac:dyDescent="0.25">
      <c r="B125" s="1"/>
      <c r="C125" s="2"/>
      <c r="D125" s="2"/>
      <c r="E125" s="2"/>
      <c r="F125" s="2"/>
      <c r="G125" s="2"/>
      <c r="H125" s="3"/>
      <c r="I125" s="1"/>
    </row>
    <row r="126" spans="2:9" x14ac:dyDescent="0.25">
      <c r="B126" s="1"/>
      <c r="C126" s="2"/>
      <c r="D126" s="2"/>
      <c r="E126" s="2"/>
      <c r="F126" s="2"/>
      <c r="G126" s="2"/>
      <c r="H126" s="3"/>
      <c r="I126" s="1"/>
    </row>
    <row r="127" spans="2:9" x14ac:dyDescent="0.25">
      <c r="B127" s="1"/>
      <c r="C127" s="2"/>
      <c r="D127" s="2"/>
      <c r="E127" s="2"/>
      <c r="F127" s="2"/>
      <c r="G127" s="2"/>
      <c r="H127" s="3"/>
      <c r="I127" s="1"/>
    </row>
    <row r="128" spans="2:9" x14ac:dyDescent="0.25">
      <c r="B128" s="1"/>
      <c r="C128" s="2"/>
      <c r="D128" s="2"/>
      <c r="E128" s="2"/>
      <c r="F128" s="2"/>
      <c r="G128" s="2"/>
      <c r="H128" s="3"/>
      <c r="I128" s="1"/>
    </row>
    <row r="129" spans="2:9" x14ac:dyDescent="0.25">
      <c r="B129" s="1"/>
      <c r="C129" s="2"/>
      <c r="D129" s="2"/>
      <c r="E129" s="2"/>
      <c r="F129" s="2"/>
      <c r="G129" s="2"/>
      <c r="H129" s="3"/>
      <c r="I129" s="1"/>
    </row>
    <row r="130" spans="2:9" x14ac:dyDescent="0.25">
      <c r="B130" s="1"/>
      <c r="C130" s="2"/>
      <c r="D130" s="2"/>
      <c r="E130" s="2"/>
      <c r="F130" s="2"/>
      <c r="G130" s="2"/>
      <c r="H130" s="3"/>
      <c r="I130" s="1"/>
    </row>
    <row r="131" spans="2:9" x14ac:dyDescent="0.25">
      <c r="B131" s="1"/>
      <c r="C131" s="2"/>
      <c r="D131" s="2"/>
      <c r="E131" s="2"/>
      <c r="F131" s="2"/>
      <c r="G131" s="2"/>
      <c r="H131" s="3"/>
      <c r="I131" s="1"/>
    </row>
    <row r="132" spans="2:9" x14ac:dyDescent="0.25">
      <c r="B132" s="1"/>
      <c r="C132" s="2"/>
      <c r="D132" s="2"/>
      <c r="E132" s="2"/>
      <c r="F132" s="2"/>
      <c r="G132" s="2"/>
      <c r="H132" s="3"/>
      <c r="I132" s="1"/>
    </row>
    <row r="133" spans="2:9" x14ac:dyDescent="0.25">
      <c r="B133" s="1"/>
      <c r="C133" s="2"/>
      <c r="D133" s="2"/>
      <c r="E133" s="2"/>
      <c r="F133" s="2"/>
      <c r="G133" s="2"/>
      <c r="H133" s="3"/>
      <c r="I133" s="1"/>
    </row>
    <row r="134" spans="2:9" x14ac:dyDescent="0.25">
      <c r="B134" s="1"/>
      <c r="C134" s="2"/>
      <c r="D134" s="2"/>
      <c r="E134" s="2"/>
      <c r="F134" s="2"/>
      <c r="G134" s="2"/>
      <c r="H134" s="3"/>
      <c r="I134" s="1"/>
    </row>
    <row r="135" spans="2:9" x14ac:dyDescent="0.25">
      <c r="B135" s="1"/>
      <c r="C135" s="2"/>
      <c r="D135" s="2"/>
      <c r="E135" s="2"/>
      <c r="F135" s="2"/>
      <c r="G135" s="2"/>
      <c r="H135" s="3"/>
      <c r="I135" s="1"/>
    </row>
    <row r="136" spans="2:9" x14ac:dyDescent="0.25">
      <c r="B136" s="1"/>
      <c r="C136" s="2"/>
      <c r="D136" s="2"/>
      <c r="E136" s="2"/>
      <c r="F136" s="2"/>
      <c r="G136" s="2"/>
      <c r="H136" s="3"/>
      <c r="I136" s="1"/>
    </row>
    <row r="137" spans="2:9" x14ac:dyDescent="0.25">
      <c r="B137" s="1"/>
      <c r="C137" s="2"/>
      <c r="D137" s="2"/>
      <c r="E137" s="2"/>
      <c r="F137" s="2"/>
      <c r="G137" s="2"/>
      <c r="H137" s="3"/>
      <c r="I137" s="1"/>
    </row>
    <row r="138" spans="2:9" x14ac:dyDescent="0.25">
      <c r="B138" s="1"/>
      <c r="C138" s="2"/>
      <c r="D138" s="2"/>
      <c r="E138" s="2"/>
      <c r="F138" s="2"/>
      <c r="G138" s="2"/>
      <c r="H138" s="3"/>
      <c r="I138" s="1"/>
    </row>
    <row r="139" spans="2:9" x14ac:dyDescent="0.25">
      <c r="B139" s="1"/>
      <c r="C139" s="2"/>
      <c r="D139" s="2"/>
      <c r="E139" s="2"/>
      <c r="F139" s="2"/>
      <c r="G139" s="2"/>
      <c r="H139" s="3"/>
      <c r="I139" s="1"/>
    </row>
    <row r="140" spans="2:9" x14ac:dyDescent="0.25">
      <c r="B140" s="1"/>
      <c r="C140" s="2"/>
      <c r="D140" s="2"/>
      <c r="E140" s="2"/>
      <c r="F140" s="2"/>
      <c r="G140" s="2"/>
      <c r="H140" s="3"/>
      <c r="I140" s="1"/>
    </row>
    <row r="141" spans="2:9" x14ac:dyDescent="0.25">
      <c r="B141" s="1"/>
      <c r="C141" s="2"/>
      <c r="D141" s="2"/>
      <c r="E141" s="2"/>
      <c r="F141" s="2"/>
      <c r="G141" s="2"/>
      <c r="H141" s="3"/>
      <c r="I141" s="1"/>
    </row>
    <row r="142" spans="2:9" x14ac:dyDescent="0.25">
      <c r="B142" s="1"/>
      <c r="C142" s="2"/>
      <c r="D142" s="2"/>
      <c r="E142" s="2"/>
      <c r="F142" s="2"/>
      <c r="G142" s="2"/>
      <c r="H142" s="3"/>
      <c r="I142" s="1"/>
    </row>
    <row r="143" spans="2:9" x14ac:dyDescent="0.25">
      <c r="B143" s="1"/>
      <c r="C143" s="2"/>
      <c r="D143" s="2"/>
      <c r="E143" s="2"/>
      <c r="F143" s="2"/>
      <c r="G143" s="2"/>
      <c r="H143" s="3"/>
      <c r="I143" s="1"/>
    </row>
    <row r="144" spans="2:9" x14ac:dyDescent="0.25">
      <c r="B144" s="1"/>
      <c r="C144" s="2"/>
      <c r="D144" s="2"/>
      <c r="E144" s="2"/>
      <c r="F144" s="2"/>
      <c r="G144" s="2"/>
      <c r="H144" s="3"/>
      <c r="I144" s="1"/>
    </row>
    <row r="145" spans="2:9" x14ac:dyDescent="0.25">
      <c r="B145" s="1"/>
      <c r="C145" s="2"/>
      <c r="D145" s="2"/>
      <c r="E145" s="2"/>
      <c r="F145" s="2"/>
      <c r="G145" s="2"/>
      <c r="H145" s="3"/>
      <c r="I145" s="1"/>
    </row>
    <row r="146" spans="2:9" x14ac:dyDescent="0.25">
      <c r="B146" s="1"/>
      <c r="C146" s="2"/>
      <c r="D146" s="2"/>
      <c r="E146" s="2"/>
      <c r="F146" s="2"/>
      <c r="G146" s="2"/>
      <c r="H146" s="3"/>
      <c r="I146" s="1"/>
    </row>
    <row r="147" spans="2:9" x14ac:dyDescent="0.25">
      <c r="B147" s="1"/>
      <c r="C147" s="2"/>
      <c r="D147" s="2"/>
      <c r="E147" s="2"/>
      <c r="F147" s="2"/>
      <c r="G147" s="2"/>
      <c r="H147" s="3"/>
      <c r="I147" s="1"/>
    </row>
    <row r="148" spans="2:9" x14ac:dyDescent="0.25">
      <c r="B148" s="1"/>
      <c r="C148" s="2"/>
      <c r="D148" s="2"/>
      <c r="E148" s="2"/>
      <c r="F148" s="2"/>
      <c r="G148" s="2"/>
      <c r="H148" s="3"/>
      <c r="I148" s="1"/>
    </row>
    <row r="149" spans="2:9" x14ac:dyDescent="0.25">
      <c r="B149" s="1"/>
      <c r="C149" s="2"/>
      <c r="D149" s="2"/>
      <c r="E149" s="2"/>
      <c r="F149" s="2"/>
      <c r="G149" s="2"/>
      <c r="H149" s="3"/>
      <c r="I149" s="1"/>
    </row>
    <row r="150" spans="2:9" x14ac:dyDescent="0.25">
      <c r="B150" s="1"/>
      <c r="C150" s="2"/>
      <c r="D150" s="2"/>
      <c r="E150" s="2"/>
      <c r="F150" s="2"/>
      <c r="G150" s="2"/>
      <c r="H150" s="3"/>
      <c r="I150" s="1"/>
    </row>
    <row r="151" spans="2:9" x14ac:dyDescent="0.25">
      <c r="B151" s="1"/>
      <c r="C151" s="2"/>
      <c r="D151" s="2"/>
      <c r="E151" s="2"/>
      <c r="F151" s="2"/>
      <c r="G151" s="2"/>
      <c r="H151" s="3"/>
      <c r="I151" s="1"/>
    </row>
    <row r="152" spans="2:9" x14ac:dyDescent="0.25">
      <c r="B152" s="1"/>
      <c r="C152" s="2"/>
      <c r="D152" s="2"/>
      <c r="E152" s="2"/>
      <c r="F152" s="2"/>
      <c r="G152" s="2"/>
      <c r="H152" s="3"/>
      <c r="I152" s="1"/>
    </row>
    <row r="153" spans="2:9" x14ac:dyDescent="0.25">
      <c r="B153" s="1"/>
      <c r="C153" s="2"/>
      <c r="D153" s="2"/>
      <c r="E153" s="2"/>
      <c r="F153" s="2"/>
      <c r="G153" s="2"/>
      <c r="H153" s="3"/>
      <c r="I153" s="1"/>
    </row>
    <row r="154" spans="2:9" x14ac:dyDescent="0.25">
      <c r="B154" s="1"/>
      <c r="C154" s="2"/>
      <c r="D154" s="2"/>
      <c r="E154" s="2"/>
      <c r="F154" s="2"/>
      <c r="G154" s="2"/>
      <c r="H154" s="3"/>
      <c r="I154" s="1"/>
    </row>
    <row r="155" spans="2:9" x14ac:dyDescent="0.25">
      <c r="B155" s="1"/>
      <c r="C155" s="2"/>
      <c r="D155" s="2"/>
      <c r="E155" s="2"/>
      <c r="F155" s="2"/>
      <c r="G155" s="2"/>
      <c r="H155" s="3"/>
      <c r="I155" s="1"/>
    </row>
    <row r="156" spans="2:9" x14ac:dyDescent="0.25">
      <c r="B156" s="1"/>
      <c r="C156" s="2"/>
      <c r="D156" s="2"/>
      <c r="E156" s="2"/>
      <c r="F156" s="2"/>
      <c r="G156" s="2"/>
      <c r="H156" s="3"/>
      <c r="I156" s="1"/>
    </row>
    <row r="157" spans="2:9" x14ac:dyDescent="0.25">
      <c r="B157" s="1"/>
      <c r="C157" s="2"/>
      <c r="D157" s="2"/>
      <c r="E157" s="2"/>
      <c r="F157" s="2"/>
      <c r="G157" s="2"/>
      <c r="H157" s="3"/>
      <c r="I157" s="1"/>
    </row>
    <row r="158" spans="2:9" x14ac:dyDescent="0.25">
      <c r="B158" s="1"/>
      <c r="C158" s="2"/>
      <c r="D158" s="2"/>
      <c r="E158" s="2"/>
      <c r="F158" s="2"/>
      <c r="G158" s="2"/>
      <c r="H158" s="3"/>
      <c r="I158" s="1"/>
    </row>
    <row r="159" spans="2:9" x14ac:dyDescent="0.25">
      <c r="B159" s="1"/>
      <c r="C159" s="2"/>
      <c r="D159" s="2"/>
      <c r="E159" s="2"/>
      <c r="F159" s="2"/>
      <c r="G159" s="2"/>
      <c r="H159" s="3"/>
      <c r="I159" s="1"/>
    </row>
    <row r="160" spans="2:9" x14ac:dyDescent="0.25">
      <c r="B160" s="1"/>
      <c r="C160" s="2"/>
      <c r="D160" s="2"/>
      <c r="E160" s="2"/>
      <c r="F160" s="2"/>
      <c r="G160" s="2"/>
      <c r="H160" s="3"/>
      <c r="I160" s="1"/>
    </row>
    <row r="161" spans="2:9" x14ac:dyDescent="0.25">
      <c r="B161" s="1"/>
      <c r="C161" s="2"/>
      <c r="D161" s="2"/>
      <c r="E161" s="2"/>
      <c r="F161" s="2"/>
      <c r="G161" s="2"/>
      <c r="H161" s="3"/>
      <c r="I161" s="1"/>
    </row>
    <row r="162" spans="2:9" x14ac:dyDescent="0.25">
      <c r="B162" s="1"/>
      <c r="C162" s="2"/>
      <c r="D162" s="2"/>
      <c r="E162" s="2"/>
      <c r="F162" s="2"/>
      <c r="G162" s="2"/>
      <c r="H162" s="3"/>
      <c r="I162" s="1"/>
    </row>
    <row r="163" spans="2:9" x14ac:dyDescent="0.25">
      <c r="B163" s="1"/>
      <c r="C163" s="2"/>
      <c r="D163" s="2"/>
      <c r="E163" s="2"/>
      <c r="F163" s="2"/>
      <c r="G163" s="2"/>
      <c r="H163" s="3"/>
      <c r="I163" s="1"/>
    </row>
    <row r="164" spans="2:9" x14ac:dyDescent="0.25">
      <c r="B164" s="1"/>
      <c r="C164" s="2"/>
      <c r="D164" s="2"/>
      <c r="E164" s="2"/>
      <c r="F164" s="2"/>
      <c r="G164" s="2"/>
      <c r="H164" s="3"/>
      <c r="I164" s="1"/>
    </row>
    <row r="165" spans="2:9" x14ac:dyDescent="0.25">
      <c r="B165" s="1"/>
      <c r="C165" s="2"/>
      <c r="D165" s="2"/>
      <c r="E165" s="2"/>
      <c r="F165" s="2"/>
      <c r="G165" s="2"/>
      <c r="H165" s="3"/>
      <c r="I165" s="1"/>
    </row>
    <row r="166" spans="2:9" x14ac:dyDescent="0.25">
      <c r="B166" s="1"/>
      <c r="C166" s="2"/>
      <c r="D166" s="2"/>
      <c r="E166" s="2"/>
      <c r="F166" s="2"/>
      <c r="G166" s="2"/>
      <c r="H166" s="3"/>
      <c r="I166" s="1"/>
    </row>
    <row r="167" spans="2:9" x14ac:dyDescent="0.25">
      <c r="B167" s="1"/>
      <c r="C167" s="2"/>
      <c r="D167" s="2"/>
      <c r="E167" s="2"/>
      <c r="F167" s="2"/>
      <c r="G167" s="2"/>
      <c r="H167" s="3"/>
      <c r="I167" s="1"/>
    </row>
    <row r="168" spans="2:9" x14ac:dyDescent="0.25">
      <c r="B168" s="1"/>
      <c r="C168" s="2"/>
      <c r="D168" s="2"/>
      <c r="E168" s="2"/>
      <c r="F168" s="2"/>
      <c r="G168" s="2"/>
      <c r="H168" s="3"/>
      <c r="I168" s="1"/>
    </row>
    <row r="169" spans="2:9" x14ac:dyDescent="0.25">
      <c r="B169" s="1"/>
      <c r="C169" s="2"/>
      <c r="D169" s="2"/>
      <c r="E169" s="2"/>
      <c r="F169" s="2"/>
      <c r="G169" s="2"/>
      <c r="H169" s="3"/>
      <c r="I169" s="1"/>
    </row>
    <row r="170" spans="2:9" x14ac:dyDescent="0.25">
      <c r="B170" s="1"/>
      <c r="C170" s="2"/>
      <c r="D170" s="2"/>
      <c r="E170" s="2"/>
      <c r="F170" s="2"/>
      <c r="G170" s="2"/>
      <c r="H170" s="3"/>
      <c r="I170" s="1"/>
    </row>
    <row r="171" spans="2:9" x14ac:dyDescent="0.25">
      <c r="B171" s="1"/>
      <c r="C171" s="2"/>
      <c r="D171" s="2"/>
      <c r="E171" s="2"/>
      <c r="F171" s="2"/>
      <c r="G171" s="2"/>
      <c r="H171" s="3"/>
      <c r="I171" s="1"/>
    </row>
    <row r="172" spans="2:9" x14ac:dyDescent="0.25">
      <c r="B172" s="1"/>
      <c r="C172" s="2"/>
      <c r="D172" s="2"/>
      <c r="E172" s="2"/>
      <c r="F172" s="2"/>
      <c r="G172" s="2"/>
      <c r="H172" s="3"/>
      <c r="I172" s="1"/>
    </row>
    <row r="173" spans="2:9" x14ac:dyDescent="0.25">
      <c r="B173" s="1"/>
      <c r="C173" s="2"/>
      <c r="D173" s="2"/>
      <c r="E173" s="2"/>
      <c r="F173" s="2"/>
      <c r="G173" s="2"/>
      <c r="H173" s="3"/>
      <c r="I173" s="1"/>
    </row>
    <row r="174" spans="2:9" x14ac:dyDescent="0.25">
      <c r="B174" s="1"/>
      <c r="C174" s="2"/>
      <c r="D174" s="2"/>
      <c r="E174" s="2"/>
      <c r="F174" s="2"/>
      <c r="G174" s="2"/>
      <c r="H174" s="3"/>
      <c r="I174" s="1"/>
    </row>
    <row r="175" spans="2:9" x14ac:dyDescent="0.25">
      <c r="B175" s="1"/>
      <c r="C175" s="2"/>
      <c r="D175" s="2"/>
      <c r="E175" s="2"/>
      <c r="F175" s="2"/>
      <c r="G175" s="2"/>
      <c r="H175" s="3"/>
      <c r="I175" s="17"/>
    </row>
    <row r="176" spans="2:9" x14ac:dyDescent="0.25">
      <c r="B176" s="1"/>
      <c r="C176" s="2"/>
      <c r="D176" s="2"/>
      <c r="E176" s="2"/>
      <c r="F176" s="2"/>
      <c r="G176" s="2"/>
      <c r="H176" s="3"/>
      <c r="I176" s="1"/>
    </row>
    <row r="177" spans="2:9" x14ac:dyDescent="0.25">
      <c r="B177" s="1"/>
      <c r="C177" s="2"/>
      <c r="D177" s="2"/>
      <c r="E177" s="2"/>
      <c r="F177" s="2"/>
      <c r="G177" s="2"/>
      <c r="H177" s="3"/>
      <c r="I177" s="1"/>
    </row>
    <row r="178" spans="2:9" x14ac:dyDescent="0.25">
      <c r="B178" s="1"/>
      <c r="C178" s="2"/>
      <c r="D178" s="2"/>
      <c r="E178" s="2"/>
      <c r="F178" s="2"/>
      <c r="G178" s="2"/>
      <c r="H178" s="3"/>
      <c r="I178" s="1"/>
    </row>
    <row r="179" spans="2:9" x14ac:dyDescent="0.25">
      <c r="B179" s="1"/>
      <c r="C179" s="2"/>
      <c r="D179" s="2"/>
      <c r="E179" s="2"/>
      <c r="F179" s="2"/>
      <c r="G179" s="2"/>
      <c r="H179" s="3"/>
      <c r="I179" s="1"/>
    </row>
    <row r="180" spans="2:9" x14ac:dyDescent="0.25">
      <c r="B180" s="1"/>
      <c r="C180" s="2"/>
      <c r="D180" s="2"/>
      <c r="E180" s="2"/>
      <c r="F180" s="2"/>
      <c r="G180" s="2"/>
      <c r="H180" s="3"/>
      <c r="I180" s="1"/>
    </row>
    <row r="181" spans="2:9" x14ac:dyDescent="0.25">
      <c r="B181" s="1"/>
      <c r="C181" s="2"/>
      <c r="D181" s="2"/>
      <c r="E181" s="2"/>
      <c r="F181" s="2"/>
      <c r="G181" s="2"/>
      <c r="H181" s="3"/>
      <c r="I181" s="1"/>
    </row>
    <row r="182" spans="2:9" x14ac:dyDescent="0.25">
      <c r="B182" s="1"/>
      <c r="C182" s="2"/>
      <c r="D182" s="2"/>
      <c r="E182" s="2"/>
      <c r="F182" s="2"/>
      <c r="G182" s="2"/>
      <c r="H182" s="3"/>
      <c r="I182" s="1"/>
    </row>
    <row r="183" spans="2:9" x14ac:dyDescent="0.25">
      <c r="B183" s="1"/>
      <c r="C183" s="2"/>
      <c r="D183" s="2"/>
      <c r="E183" s="2"/>
      <c r="F183" s="2"/>
      <c r="G183" s="2"/>
      <c r="H183" s="3"/>
      <c r="I183" s="1"/>
    </row>
    <row r="184" spans="2:9" x14ac:dyDescent="0.25">
      <c r="B184" s="1"/>
      <c r="C184" s="2"/>
      <c r="D184" s="2"/>
      <c r="E184" s="2"/>
      <c r="F184" s="2"/>
      <c r="G184" s="2"/>
      <c r="H184" s="3"/>
      <c r="I184" s="1"/>
    </row>
    <row r="185" spans="2:9" x14ac:dyDescent="0.25">
      <c r="B185" s="1"/>
      <c r="C185" s="2"/>
      <c r="D185" s="2"/>
      <c r="E185" s="2"/>
      <c r="F185" s="2"/>
      <c r="G185" s="2"/>
      <c r="H185" s="3"/>
      <c r="I185" s="1"/>
    </row>
    <row r="186" spans="2:9" x14ac:dyDescent="0.25">
      <c r="B186" s="1"/>
      <c r="C186" s="2"/>
      <c r="D186" s="2"/>
      <c r="E186" s="2"/>
      <c r="F186" s="2"/>
      <c r="G186" s="2"/>
      <c r="H186" s="3"/>
      <c r="I186" s="1"/>
    </row>
    <row r="187" spans="2:9" x14ac:dyDescent="0.25">
      <c r="B187" s="1"/>
      <c r="C187" s="2"/>
      <c r="D187" s="2"/>
      <c r="E187" s="2"/>
      <c r="F187" s="2"/>
      <c r="G187" s="2"/>
      <c r="H187" s="3"/>
      <c r="I187" s="1"/>
    </row>
    <row r="188" spans="2:9" x14ac:dyDescent="0.25">
      <c r="B188" s="1"/>
      <c r="C188" s="2"/>
      <c r="D188" s="2"/>
      <c r="E188" s="2"/>
      <c r="F188" s="2"/>
      <c r="G188" s="2"/>
      <c r="H188" s="3"/>
      <c r="I188" s="1"/>
    </row>
    <row r="189" spans="2:9" x14ac:dyDescent="0.25">
      <c r="B189" s="1"/>
      <c r="C189" s="2"/>
      <c r="D189" s="2"/>
      <c r="E189" s="2"/>
      <c r="F189" s="2"/>
      <c r="G189" s="2"/>
      <c r="H189" s="3"/>
      <c r="I189" s="1"/>
    </row>
    <row r="190" spans="2:9" x14ac:dyDescent="0.25">
      <c r="B190" s="1"/>
      <c r="C190" s="2"/>
      <c r="D190" s="2"/>
      <c r="E190" s="2"/>
      <c r="F190" s="2"/>
      <c r="G190" s="2"/>
      <c r="H190" s="3"/>
      <c r="I190" s="1"/>
    </row>
    <row r="191" spans="2:9" x14ac:dyDescent="0.25">
      <c r="B191" s="1"/>
      <c r="C191" s="2"/>
      <c r="D191" s="2"/>
      <c r="E191" s="2"/>
      <c r="F191" s="2"/>
      <c r="G191" s="2"/>
      <c r="H191" s="3"/>
      <c r="I191" s="1"/>
    </row>
    <row r="192" spans="2:9" x14ac:dyDescent="0.25">
      <c r="B192" s="1"/>
      <c r="C192" s="2"/>
      <c r="D192" s="2"/>
      <c r="E192" s="2"/>
      <c r="F192" s="2"/>
      <c r="G192" s="2"/>
      <c r="H192" s="3"/>
      <c r="I192" s="1"/>
    </row>
    <row r="193" spans="2:9" x14ac:dyDescent="0.25">
      <c r="B193" s="1"/>
      <c r="C193" s="2"/>
      <c r="D193" s="2"/>
      <c r="E193" s="2"/>
      <c r="F193" s="2"/>
      <c r="G193" s="2"/>
      <c r="H193" s="3"/>
      <c r="I193" s="1"/>
    </row>
    <row r="194" spans="2:9" x14ac:dyDescent="0.25">
      <c r="B194" s="1"/>
      <c r="C194" s="2"/>
      <c r="D194" s="2"/>
      <c r="E194" s="2"/>
      <c r="F194" s="2"/>
      <c r="G194" s="2"/>
      <c r="H194" s="3"/>
      <c r="I194" s="1"/>
    </row>
    <row r="195" spans="2:9" x14ac:dyDescent="0.25">
      <c r="B195" s="1"/>
      <c r="C195" s="2"/>
      <c r="D195" s="2"/>
      <c r="E195" s="2"/>
      <c r="F195" s="2"/>
      <c r="G195" s="2"/>
      <c r="H195" s="3"/>
      <c r="I195" s="1"/>
    </row>
    <row r="196" spans="2:9" x14ac:dyDescent="0.25">
      <c r="B196" s="1"/>
      <c r="C196" s="2"/>
      <c r="D196" s="2"/>
      <c r="E196" s="2"/>
      <c r="F196" s="2"/>
      <c r="G196" s="2"/>
      <c r="H196" s="3"/>
      <c r="I196" s="1"/>
    </row>
    <row r="197" spans="2:9" x14ac:dyDescent="0.25">
      <c r="B197" s="1"/>
      <c r="C197" s="2"/>
      <c r="D197" s="2"/>
      <c r="E197" s="2"/>
      <c r="F197" s="2"/>
      <c r="G197" s="2"/>
      <c r="H197" s="3"/>
      <c r="I197" s="1"/>
    </row>
    <row r="198" spans="2:9" x14ac:dyDescent="0.25">
      <c r="B198" s="1"/>
      <c r="C198" s="2"/>
      <c r="D198" s="2"/>
      <c r="E198" s="2"/>
      <c r="F198" s="2"/>
      <c r="G198" s="2"/>
      <c r="H198" s="3"/>
      <c r="I198" s="1"/>
    </row>
    <row r="199" spans="2:9" x14ac:dyDescent="0.25">
      <c r="B199" s="1"/>
      <c r="C199" s="2"/>
      <c r="D199" s="2"/>
      <c r="E199" s="2"/>
      <c r="F199" s="2"/>
      <c r="G199" s="2"/>
      <c r="H199" s="3"/>
      <c r="I199" s="1"/>
    </row>
    <row r="200" spans="2:9" x14ac:dyDescent="0.25">
      <c r="B200" s="1"/>
      <c r="C200" s="2"/>
      <c r="D200" s="2"/>
      <c r="E200" s="2"/>
      <c r="F200" s="2"/>
      <c r="G200" s="2"/>
      <c r="H200" s="3"/>
      <c r="I200" s="1"/>
    </row>
    <row r="201" spans="2:9" x14ac:dyDescent="0.25">
      <c r="B201" s="1"/>
      <c r="C201" s="2"/>
      <c r="D201" s="2"/>
      <c r="E201" s="2"/>
      <c r="F201" s="2"/>
      <c r="G201" s="2"/>
      <c r="H201" s="3"/>
      <c r="I201" s="1"/>
    </row>
    <row r="202" spans="2:9" x14ac:dyDescent="0.25">
      <c r="B202" s="1"/>
      <c r="C202" s="2"/>
      <c r="D202" s="2"/>
      <c r="E202" s="2"/>
      <c r="F202" s="2"/>
      <c r="G202" s="2"/>
      <c r="H202" s="3"/>
      <c r="I202" s="1"/>
    </row>
    <row r="203" spans="2:9" x14ac:dyDescent="0.25">
      <c r="B203" s="1"/>
      <c r="C203" s="2"/>
      <c r="D203" s="2"/>
      <c r="E203" s="2"/>
      <c r="F203" s="2"/>
      <c r="G203" s="2"/>
      <c r="H203" s="3"/>
      <c r="I203" s="1"/>
    </row>
    <row r="204" spans="2:9" x14ac:dyDescent="0.25">
      <c r="B204" s="1"/>
      <c r="C204" s="2"/>
      <c r="D204" s="2"/>
      <c r="E204" s="2"/>
      <c r="F204" s="2"/>
      <c r="G204" s="2"/>
      <c r="H204" s="3"/>
      <c r="I204" s="1"/>
    </row>
    <row r="205" spans="2:9" x14ac:dyDescent="0.25">
      <c r="B205" s="1"/>
      <c r="C205" s="2"/>
      <c r="D205" s="2"/>
      <c r="E205" s="2"/>
      <c r="F205" s="2"/>
      <c r="G205" s="2"/>
      <c r="H205" s="3"/>
      <c r="I205" s="1"/>
    </row>
    <row r="206" spans="2:9" x14ac:dyDescent="0.25">
      <c r="B206" s="1"/>
      <c r="C206" s="2"/>
      <c r="D206" s="2"/>
      <c r="E206" s="2"/>
      <c r="F206" s="2"/>
      <c r="G206" s="2"/>
      <c r="H206" s="3"/>
      <c r="I206" s="1"/>
    </row>
    <row r="207" spans="2:9" x14ac:dyDescent="0.25">
      <c r="B207" s="1"/>
      <c r="C207" s="2"/>
      <c r="D207" s="2"/>
      <c r="E207" s="2"/>
      <c r="F207" s="2"/>
      <c r="G207" s="2"/>
      <c r="H207" s="3"/>
      <c r="I207" s="1"/>
    </row>
    <row r="208" spans="2:9" x14ac:dyDescent="0.25">
      <c r="B208" s="1"/>
      <c r="C208" s="2"/>
      <c r="D208" s="2"/>
      <c r="E208" s="2"/>
      <c r="F208" s="2"/>
      <c r="G208" s="2"/>
      <c r="H208" s="3"/>
      <c r="I208" s="1"/>
    </row>
    <row r="209" spans="2:9" x14ac:dyDescent="0.25">
      <c r="B209" s="1"/>
      <c r="C209" s="2"/>
      <c r="D209" s="2"/>
      <c r="E209" s="2"/>
      <c r="F209" s="2"/>
      <c r="G209" s="2"/>
      <c r="H209" s="3"/>
      <c r="I209" s="1"/>
    </row>
    <row r="210" spans="2:9" x14ac:dyDescent="0.25">
      <c r="B210" s="1"/>
      <c r="C210" s="2"/>
      <c r="D210" s="2"/>
      <c r="E210" s="2"/>
      <c r="F210" s="2"/>
      <c r="G210" s="2"/>
      <c r="H210" s="3"/>
      <c r="I210" s="1"/>
    </row>
    <row r="211" spans="2:9" x14ac:dyDescent="0.25">
      <c r="B211" s="1"/>
      <c r="C211" s="2"/>
      <c r="D211" s="2"/>
      <c r="E211" s="2"/>
      <c r="F211" s="2"/>
      <c r="G211" s="2"/>
      <c r="H211" s="3"/>
      <c r="I211" s="1"/>
    </row>
    <row r="212" spans="2:9" x14ac:dyDescent="0.25">
      <c r="B212" s="1"/>
      <c r="C212" s="2"/>
      <c r="D212" s="2"/>
      <c r="E212" s="2"/>
      <c r="F212" s="2"/>
      <c r="G212" s="2"/>
      <c r="H212" s="3"/>
      <c r="I212" s="1"/>
    </row>
    <row r="213" spans="2:9" x14ac:dyDescent="0.25">
      <c r="B213" s="1"/>
      <c r="C213" s="2"/>
      <c r="D213" s="2"/>
      <c r="E213" s="2"/>
      <c r="F213" s="2"/>
      <c r="G213" s="2"/>
      <c r="H213" s="3"/>
      <c r="I213" s="1"/>
    </row>
    <row r="214" spans="2:9" x14ac:dyDescent="0.25">
      <c r="B214" s="1"/>
      <c r="C214" s="2"/>
      <c r="D214" s="2"/>
      <c r="E214" s="2"/>
      <c r="F214" s="2"/>
      <c r="G214" s="2"/>
      <c r="H214" s="3"/>
      <c r="I214" s="1"/>
    </row>
    <row r="215" spans="2:9" x14ac:dyDescent="0.25">
      <c r="B215" s="1"/>
      <c r="C215" s="2"/>
      <c r="D215" s="2"/>
      <c r="E215" s="2"/>
      <c r="F215" s="2"/>
      <c r="G215" s="2"/>
      <c r="H215" s="3"/>
      <c r="I215" s="1"/>
    </row>
    <row r="216" spans="2:9" x14ac:dyDescent="0.25">
      <c r="B216" s="1"/>
      <c r="C216" s="2"/>
      <c r="D216" s="2"/>
      <c r="E216" s="2"/>
      <c r="F216" s="2"/>
      <c r="G216" s="2"/>
      <c r="H216" s="3"/>
      <c r="I216" s="1"/>
    </row>
    <row r="217" spans="2:9" x14ac:dyDescent="0.25">
      <c r="B217" s="1"/>
      <c r="C217" s="2"/>
      <c r="D217" s="2"/>
      <c r="E217" s="2"/>
      <c r="F217" s="2"/>
      <c r="G217" s="2"/>
      <c r="H217" s="3"/>
      <c r="I217" s="1"/>
    </row>
    <row r="218" spans="2:9" x14ac:dyDescent="0.25">
      <c r="B218" s="1"/>
      <c r="C218" s="2"/>
      <c r="D218" s="2"/>
      <c r="E218" s="2"/>
      <c r="F218" s="2"/>
      <c r="G218" s="2"/>
      <c r="H218" s="3"/>
      <c r="I218" s="1"/>
    </row>
    <row r="219" spans="2:9" x14ac:dyDescent="0.25">
      <c r="B219" s="1"/>
      <c r="C219" s="2"/>
      <c r="D219" s="2"/>
      <c r="E219" s="2"/>
      <c r="F219" s="2"/>
      <c r="G219" s="2"/>
      <c r="H219" s="3"/>
      <c r="I219" s="1"/>
    </row>
    <row r="220" spans="2:9" x14ac:dyDescent="0.25">
      <c r="B220" s="1"/>
      <c r="C220" s="2"/>
      <c r="D220" s="2"/>
      <c r="E220" s="2"/>
      <c r="F220" s="2"/>
      <c r="G220" s="2"/>
      <c r="H220" s="3"/>
      <c r="I220" s="1"/>
    </row>
    <row r="221" spans="2:9" x14ac:dyDescent="0.25">
      <c r="B221" s="1"/>
      <c r="C221" s="2"/>
      <c r="D221" s="2"/>
      <c r="E221" s="2"/>
      <c r="F221" s="2"/>
      <c r="G221" s="2"/>
      <c r="H221" s="3"/>
      <c r="I221" s="1"/>
    </row>
    <row r="222" spans="2:9" x14ac:dyDescent="0.25">
      <c r="B222" s="1"/>
      <c r="C222" s="2"/>
      <c r="D222" s="2"/>
      <c r="E222" s="2"/>
      <c r="F222" s="2"/>
      <c r="G222" s="2"/>
      <c r="H222" s="3"/>
      <c r="I222" s="1"/>
    </row>
    <row r="223" spans="2:9" x14ac:dyDescent="0.25">
      <c r="B223" s="1"/>
      <c r="C223" s="2"/>
      <c r="D223" s="2"/>
      <c r="E223" s="2"/>
      <c r="F223" s="2"/>
      <c r="G223" s="2"/>
      <c r="H223" s="3"/>
      <c r="I223" s="1"/>
    </row>
    <row r="224" spans="2:9" x14ac:dyDescent="0.25">
      <c r="B224" s="1"/>
      <c r="C224" s="2"/>
      <c r="D224" s="2"/>
      <c r="E224" s="2"/>
      <c r="F224" s="2"/>
      <c r="G224" s="2"/>
      <c r="H224" s="3"/>
      <c r="I224" s="1"/>
    </row>
    <row r="225" spans="2:9" x14ac:dyDescent="0.25">
      <c r="B225" s="1"/>
      <c r="C225" s="2"/>
      <c r="D225" s="2"/>
      <c r="E225" s="2"/>
      <c r="F225" s="2"/>
      <c r="G225" s="2"/>
      <c r="H225" s="3"/>
      <c r="I225" s="1"/>
    </row>
    <row r="226" spans="2:9" x14ac:dyDescent="0.25">
      <c r="B226" s="1"/>
      <c r="C226" s="2"/>
      <c r="D226" s="2"/>
      <c r="E226" s="2"/>
      <c r="F226" s="2"/>
      <c r="G226" s="2"/>
      <c r="H226" s="3"/>
      <c r="I226" s="1"/>
    </row>
    <row r="227" spans="2:9" x14ac:dyDescent="0.25">
      <c r="B227" s="1"/>
      <c r="C227" s="2"/>
      <c r="D227" s="2"/>
      <c r="E227" s="2"/>
      <c r="F227" s="2"/>
      <c r="G227" s="2"/>
      <c r="H227" s="3"/>
      <c r="I227" s="1"/>
    </row>
    <row r="228" spans="2:9" x14ac:dyDescent="0.25">
      <c r="B228" s="1"/>
      <c r="C228" s="2"/>
      <c r="D228" s="2"/>
      <c r="E228" s="2"/>
      <c r="F228" s="2"/>
      <c r="G228" s="2"/>
      <c r="H228" s="3"/>
      <c r="I228" s="1"/>
    </row>
    <row r="229" spans="2:9" x14ac:dyDescent="0.25">
      <c r="B229" s="1"/>
      <c r="C229" s="2"/>
      <c r="D229" s="2"/>
      <c r="E229" s="2"/>
      <c r="F229" s="2"/>
      <c r="G229" s="2"/>
      <c r="H229" s="3"/>
      <c r="I229" s="1"/>
    </row>
    <row r="230" spans="2:9" x14ac:dyDescent="0.25">
      <c r="B230" s="1"/>
      <c r="C230" s="2"/>
      <c r="D230" s="2"/>
      <c r="E230" s="2"/>
      <c r="F230" s="2"/>
      <c r="G230" s="2"/>
      <c r="H230" s="3"/>
      <c r="I230" s="1"/>
    </row>
    <row r="231" spans="2:9" x14ac:dyDescent="0.25">
      <c r="B231" s="1"/>
      <c r="C231" s="2"/>
      <c r="D231" s="2"/>
      <c r="E231" s="2"/>
      <c r="F231" s="2"/>
      <c r="G231" s="2"/>
      <c r="H231" s="3"/>
      <c r="I231" s="1"/>
    </row>
    <row r="232" spans="2:9" x14ac:dyDescent="0.25">
      <c r="B232" s="1"/>
      <c r="C232" s="2"/>
      <c r="D232" s="2"/>
      <c r="E232" s="2"/>
      <c r="F232" s="2"/>
      <c r="G232" s="2"/>
      <c r="H232" s="3"/>
      <c r="I232" s="1"/>
    </row>
    <row r="233" spans="2:9" x14ac:dyDescent="0.25">
      <c r="B233" s="1"/>
      <c r="C233" s="2"/>
      <c r="D233" s="2"/>
      <c r="E233" s="2"/>
      <c r="F233" s="2"/>
      <c r="G233" s="2"/>
      <c r="H233" s="3"/>
      <c r="I233" s="1"/>
    </row>
    <row r="234" spans="2:9" x14ac:dyDescent="0.25">
      <c r="B234" s="1"/>
      <c r="C234" s="2"/>
      <c r="D234" s="2"/>
      <c r="E234" s="2"/>
      <c r="F234" s="2"/>
      <c r="G234" s="2"/>
      <c r="H234" s="3"/>
      <c r="I234" s="1"/>
    </row>
    <row r="235" spans="2:9" x14ac:dyDescent="0.25">
      <c r="B235" s="1"/>
      <c r="C235" s="2"/>
      <c r="D235" s="2"/>
      <c r="E235" s="2"/>
      <c r="F235" s="2"/>
      <c r="G235" s="2"/>
      <c r="H235" s="3"/>
      <c r="I235" s="1"/>
    </row>
    <row r="236" spans="2:9" x14ac:dyDescent="0.25">
      <c r="B236" s="1"/>
      <c r="C236" s="2"/>
      <c r="D236" s="2"/>
      <c r="E236" s="2"/>
      <c r="F236" s="2"/>
      <c r="G236" s="2"/>
      <c r="H236" s="3"/>
      <c r="I236" s="1"/>
    </row>
    <row r="237" spans="2:9" x14ac:dyDescent="0.25">
      <c r="B237" s="1"/>
      <c r="C237" s="2"/>
      <c r="D237" s="2"/>
      <c r="E237" s="2"/>
      <c r="F237" s="2"/>
      <c r="G237" s="2"/>
      <c r="H237" s="3"/>
      <c r="I237" s="1"/>
    </row>
    <row r="238" spans="2:9" x14ac:dyDescent="0.25">
      <c r="B238" s="1"/>
      <c r="C238" s="2"/>
      <c r="D238" s="2"/>
      <c r="E238" s="2"/>
      <c r="F238" s="2"/>
      <c r="G238" s="2"/>
      <c r="H238" s="3"/>
      <c r="I238" s="1"/>
    </row>
    <row r="239" spans="2:9" x14ac:dyDescent="0.25">
      <c r="B239" s="1"/>
      <c r="C239" s="2"/>
      <c r="D239" s="2"/>
      <c r="E239" s="2"/>
      <c r="F239" s="2"/>
      <c r="G239" s="2"/>
      <c r="H239" s="3"/>
      <c r="I239" s="1"/>
    </row>
    <row r="240" spans="2:9" x14ac:dyDescent="0.25">
      <c r="B240" s="1"/>
      <c r="C240" s="2"/>
      <c r="D240" s="2"/>
      <c r="E240" s="2"/>
      <c r="F240" s="2"/>
      <c r="G240" s="2"/>
      <c r="H240" s="3"/>
      <c r="I240" s="1"/>
    </row>
    <row r="241" spans="2:9" x14ac:dyDescent="0.25">
      <c r="B241" s="1"/>
      <c r="C241" s="2"/>
      <c r="D241" s="2"/>
      <c r="E241" s="2"/>
      <c r="F241" s="2"/>
      <c r="G241" s="2"/>
      <c r="H241" s="3"/>
      <c r="I241" s="1"/>
    </row>
    <row r="242" spans="2:9" x14ac:dyDescent="0.25">
      <c r="B242" s="1"/>
      <c r="C242" s="2"/>
      <c r="D242" s="2"/>
      <c r="E242" s="2"/>
      <c r="F242" s="2"/>
      <c r="G242" s="2"/>
      <c r="H242" s="3"/>
      <c r="I242" s="1"/>
    </row>
    <row r="243" spans="2:9" x14ac:dyDescent="0.25">
      <c r="B243" s="1"/>
      <c r="C243" s="2"/>
      <c r="D243" s="2"/>
      <c r="E243" s="2"/>
      <c r="F243" s="2"/>
      <c r="G243" s="2"/>
      <c r="H243" s="3"/>
      <c r="I243" s="1"/>
    </row>
    <row r="244" spans="2:9" x14ac:dyDescent="0.25">
      <c r="B244" s="1"/>
      <c r="C244" s="2"/>
      <c r="D244" s="2"/>
      <c r="E244" s="2"/>
      <c r="F244" s="2"/>
      <c r="G244" s="2"/>
      <c r="H244" s="3"/>
      <c r="I244" s="1"/>
    </row>
    <row r="245" spans="2:9" x14ac:dyDescent="0.25">
      <c r="B245" s="1"/>
      <c r="C245" s="2"/>
      <c r="D245" s="2"/>
      <c r="E245" s="2"/>
      <c r="F245" s="2"/>
      <c r="G245" s="2"/>
      <c r="H245" s="3"/>
      <c r="I245" s="1"/>
    </row>
    <row r="246" spans="2:9" x14ac:dyDescent="0.25">
      <c r="B246" s="1"/>
      <c r="C246" s="2"/>
      <c r="D246" s="2"/>
      <c r="E246" s="2"/>
      <c r="F246" s="2"/>
      <c r="G246" s="2"/>
      <c r="H246" s="3"/>
      <c r="I246" s="1"/>
    </row>
    <row r="247" spans="2:9" x14ac:dyDescent="0.25">
      <c r="B247" s="1"/>
      <c r="C247" s="2"/>
      <c r="D247" s="2"/>
      <c r="E247" s="2"/>
      <c r="F247" s="2"/>
      <c r="G247" s="2"/>
      <c r="H247" s="3"/>
      <c r="I247" s="1"/>
    </row>
    <row r="248" spans="2:9" x14ac:dyDescent="0.25">
      <c r="B248" s="1"/>
      <c r="C248" s="2"/>
      <c r="D248" s="2"/>
      <c r="E248" s="2"/>
      <c r="F248" s="2"/>
      <c r="G248" s="2"/>
      <c r="H248" s="3"/>
      <c r="I248" s="1"/>
    </row>
    <row r="249" spans="2:9" x14ac:dyDescent="0.25">
      <c r="B249" s="1"/>
      <c r="C249" s="2"/>
      <c r="D249" s="2"/>
      <c r="E249" s="2"/>
      <c r="F249" s="2"/>
      <c r="G249" s="2"/>
      <c r="H249" s="3"/>
      <c r="I249" s="1"/>
    </row>
    <row r="250" spans="2:9" x14ac:dyDescent="0.25">
      <c r="B250" s="1"/>
      <c r="C250" s="2"/>
      <c r="D250" s="2"/>
      <c r="E250" s="2"/>
      <c r="F250" s="2"/>
      <c r="G250" s="2"/>
      <c r="H250" s="3"/>
      <c r="I250" s="1"/>
    </row>
    <row r="251" spans="2:9" x14ac:dyDescent="0.25">
      <c r="B251" s="1"/>
      <c r="C251" s="2"/>
      <c r="D251" s="2"/>
      <c r="E251" s="2"/>
      <c r="F251" s="2"/>
      <c r="G251" s="2"/>
      <c r="H251" s="3"/>
      <c r="I251" s="1"/>
    </row>
    <row r="252" spans="2:9" x14ac:dyDescent="0.25">
      <c r="B252" s="1"/>
      <c r="C252" s="2"/>
      <c r="D252" s="2"/>
      <c r="E252" s="2"/>
      <c r="F252" s="2"/>
      <c r="G252" s="2"/>
      <c r="H252" s="3"/>
      <c r="I252" s="1"/>
    </row>
    <row r="253" spans="2:9" x14ac:dyDescent="0.25">
      <c r="B253" s="1"/>
      <c r="C253" s="2"/>
      <c r="D253" s="2"/>
      <c r="E253" s="2"/>
      <c r="F253" s="2"/>
      <c r="G253" s="2"/>
      <c r="H253" s="3"/>
      <c r="I253" s="1"/>
    </row>
    <row r="254" spans="2:9" x14ac:dyDescent="0.25">
      <c r="B254" s="1"/>
      <c r="C254" s="2"/>
      <c r="D254" s="2"/>
      <c r="E254" s="2"/>
      <c r="F254" s="2"/>
      <c r="G254" s="2"/>
      <c r="H254" s="3"/>
      <c r="I254" s="1"/>
    </row>
    <row r="255" spans="2:9" x14ac:dyDescent="0.25">
      <c r="B255" s="1"/>
      <c r="C255" s="2"/>
      <c r="D255" s="2"/>
      <c r="E255" s="2"/>
      <c r="F255" s="2"/>
      <c r="G255" s="2"/>
      <c r="H255" s="3"/>
      <c r="I255" s="1"/>
    </row>
    <row r="256" spans="2:9" x14ac:dyDescent="0.25">
      <c r="B256" s="1"/>
      <c r="C256" s="2"/>
      <c r="D256" s="2"/>
      <c r="E256" s="2"/>
      <c r="F256" s="2"/>
      <c r="G256" s="2"/>
      <c r="H256" s="3"/>
      <c r="I256" s="1"/>
    </row>
    <row r="257" spans="2:9" x14ac:dyDescent="0.25">
      <c r="B257" s="1"/>
      <c r="C257" s="2"/>
      <c r="D257" s="2"/>
      <c r="E257" s="2"/>
      <c r="F257" s="2"/>
      <c r="G257" s="2"/>
      <c r="H257" s="3"/>
      <c r="I257" s="1"/>
    </row>
    <row r="258" spans="2:9" x14ac:dyDescent="0.25">
      <c r="B258" s="1"/>
      <c r="C258" s="2"/>
      <c r="D258" s="2"/>
      <c r="E258" s="2"/>
      <c r="F258" s="2"/>
      <c r="G258" s="2"/>
      <c r="H258" s="3"/>
      <c r="I258" s="1"/>
    </row>
    <row r="259" spans="2:9" x14ac:dyDescent="0.25">
      <c r="B259" s="1"/>
      <c r="C259" s="2"/>
      <c r="D259" s="2"/>
      <c r="E259" s="2"/>
      <c r="F259" s="2"/>
      <c r="G259" s="2"/>
      <c r="H259" s="3"/>
      <c r="I259" s="1"/>
    </row>
    <row r="260" spans="2:9" x14ac:dyDescent="0.25">
      <c r="B260" s="1"/>
      <c r="C260" s="2"/>
      <c r="D260" s="2"/>
      <c r="E260" s="2"/>
      <c r="F260" s="2"/>
      <c r="G260" s="2"/>
      <c r="H260" s="3"/>
      <c r="I260" s="1"/>
    </row>
    <row r="261" spans="2:9" x14ac:dyDescent="0.25">
      <c r="B261" s="1"/>
      <c r="C261" s="2"/>
      <c r="D261" s="2"/>
      <c r="E261" s="2"/>
      <c r="F261" s="2"/>
      <c r="G261" s="2"/>
      <c r="H261" s="3"/>
      <c r="I261" s="1"/>
    </row>
    <row r="262" spans="2:9" x14ac:dyDescent="0.25">
      <c r="B262" s="1"/>
      <c r="C262" s="2"/>
      <c r="D262" s="2"/>
      <c r="E262" s="2"/>
      <c r="F262" s="2"/>
      <c r="G262" s="2"/>
      <c r="H262" s="3"/>
      <c r="I262" s="1"/>
    </row>
    <row r="263" spans="2:9" x14ac:dyDescent="0.25">
      <c r="B263" s="1"/>
      <c r="C263" s="2"/>
      <c r="D263" s="2"/>
      <c r="E263" s="2"/>
      <c r="F263" s="2"/>
      <c r="G263" s="2"/>
      <c r="H263" s="3"/>
      <c r="I263" s="1"/>
    </row>
    <row r="264" spans="2:9" x14ac:dyDescent="0.25">
      <c r="B264" s="1"/>
      <c r="C264" s="2"/>
      <c r="D264" s="2"/>
      <c r="E264" s="2"/>
      <c r="F264" s="2"/>
      <c r="G264" s="2"/>
      <c r="H264" s="3"/>
      <c r="I264" s="1"/>
    </row>
    <row r="265" spans="2:9" x14ac:dyDescent="0.25">
      <c r="B265" s="1"/>
      <c r="C265" s="2"/>
      <c r="D265" s="2"/>
      <c r="E265" s="2"/>
      <c r="F265" s="2"/>
      <c r="G265" s="2"/>
      <c r="H265" s="3"/>
      <c r="I265" s="1"/>
    </row>
    <row r="266" spans="2:9" x14ac:dyDescent="0.25">
      <c r="B266" s="1"/>
      <c r="C266" s="2"/>
      <c r="D266" s="2"/>
      <c r="E266" s="2"/>
      <c r="F266" s="2"/>
      <c r="G266" s="2"/>
      <c r="H266" s="3"/>
      <c r="I266" s="1"/>
    </row>
    <row r="267" spans="2:9" x14ac:dyDescent="0.25">
      <c r="B267" s="1"/>
      <c r="C267" s="2"/>
      <c r="D267" s="2"/>
      <c r="E267" s="2"/>
      <c r="F267" s="2"/>
      <c r="G267" s="2"/>
      <c r="H267" s="3"/>
      <c r="I267" s="1"/>
    </row>
    <row r="268" spans="2:9" x14ac:dyDescent="0.25">
      <c r="B268" s="1"/>
      <c r="C268" s="2"/>
      <c r="D268" s="2"/>
      <c r="E268" s="2"/>
      <c r="F268" s="2"/>
      <c r="G268" s="2"/>
      <c r="H268" s="3"/>
      <c r="I268" s="1"/>
    </row>
    <row r="269" spans="2:9" x14ac:dyDescent="0.25">
      <c r="B269" s="1"/>
      <c r="C269" s="2"/>
      <c r="D269" s="2"/>
      <c r="E269" s="2"/>
      <c r="F269" s="2"/>
      <c r="G269" s="2"/>
      <c r="H269" s="3"/>
      <c r="I269" s="1"/>
    </row>
    <row r="270" spans="2:9" x14ac:dyDescent="0.25">
      <c r="B270" s="1"/>
      <c r="C270" s="2"/>
      <c r="D270" s="2"/>
      <c r="E270" s="2"/>
      <c r="F270" s="2"/>
      <c r="G270" s="2"/>
      <c r="H270" s="3"/>
      <c r="I270" s="1"/>
    </row>
    <row r="271" spans="2:9" x14ac:dyDescent="0.25">
      <c r="B271" s="1"/>
      <c r="C271" s="2"/>
      <c r="D271" s="2"/>
      <c r="E271" s="2"/>
      <c r="F271" s="2"/>
      <c r="G271" s="2"/>
      <c r="H271" s="3"/>
      <c r="I271" s="1"/>
    </row>
    <row r="272" spans="2:9" x14ac:dyDescent="0.25">
      <c r="B272" s="1"/>
      <c r="C272" s="2"/>
      <c r="D272" s="2"/>
      <c r="E272" s="2"/>
      <c r="F272" s="2"/>
      <c r="G272" s="2"/>
      <c r="H272" s="3"/>
      <c r="I272" s="1"/>
    </row>
    <row r="273" spans="2:9" x14ac:dyDescent="0.25">
      <c r="B273" s="1"/>
      <c r="C273" s="2"/>
      <c r="D273" s="2"/>
      <c r="E273" s="2"/>
      <c r="F273" s="2"/>
      <c r="G273" s="2"/>
      <c r="H273" s="3"/>
      <c r="I273" s="1"/>
    </row>
    <row r="274" spans="2:9" x14ac:dyDescent="0.25">
      <c r="B274" s="1"/>
      <c r="C274" s="2"/>
      <c r="D274" s="2"/>
      <c r="E274" s="2"/>
      <c r="F274" s="2"/>
      <c r="G274" s="2"/>
      <c r="H274" s="3"/>
      <c r="I274" s="1"/>
    </row>
    <row r="275" spans="2:9" x14ac:dyDescent="0.25">
      <c r="B275" s="1"/>
      <c r="C275" s="2"/>
      <c r="D275" s="2"/>
      <c r="E275" s="2"/>
      <c r="F275" s="2"/>
      <c r="G275" s="2"/>
      <c r="H275" s="3"/>
      <c r="I275" s="1"/>
    </row>
    <row r="276" spans="2:9" x14ac:dyDescent="0.25">
      <c r="B276" s="1"/>
      <c r="C276" s="2"/>
      <c r="D276" s="2"/>
      <c r="E276" s="2"/>
      <c r="F276" s="2"/>
      <c r="G276" s="2"/>
      <c r="H276" s="3"/>
      <c r="I276" s="1"/>
    </row>
    <row r="277" spans="2:9" x14ac:dyDescent="0.25">
      <c r="B277" s="1"/>
      <c r="C277" s="2"/>
      <c r="D277" s="2"/>
      <c r="E277" s="2"/>
      <c r="F277" s="2"/>
      <c r="G277" s="2"/>
      <c r="H277" s="3"/>
      <c r="I277" s="1"/>
    </row>
    <row r="278" spans="2:9" x14ac:dyDescent="0.25">
      <c r="B278" s="1"/>
      <c r="C278" s="2"/>
      <c r="D278" s="2"/>
      <c r="E278" s="2"/>
      <c r="F278" s="2"/>
      <c r="G278" s="2"/>
      <c r="H278" s="3"/>
      <c r="I278" s="1"/>
    </row>
    <row r="279" spans="2:9" x14ac:dyDescent="0.25">
      <c r="B279" s="1"/>
      <c r="C279" s="2"/>
      <c r="D279" s="2"/>
      <c r="E279" s="2"/>
      <c r="F279" s="2"/>
      <c r="G279" s="2"/>
      <c r="H279" s="3"/>
      <c r="I279" s="1"/>
    </row>
    <row r="280" spans="2:9" x14ac:dyDescent="0.25">
      <c r="B280" s="1"/>
      <c r="C280" s="2"/>
      <c r="D280" s="2"/>
      <c r="E280" s="2"/>
      <c r="F280" s="2"/>
      <c r="G280" s="2"/>
      <c r="H280" s="3"/>
      <c r="I280" s="1"/>
    </row>
    <row r="281" spans="2:9" x14ac:dyDescent="0.25">
      <c r="B281" s="1"/>
      <c r="C281" s="2"/>
      <c r="D281" s="2"/>
      <c r="E281" s="2"/>
      <c r="F281" s="2"/>
      <c r="G281" s="2"/>
      <c r="H281" s="3"/>
      <c r="I281" s="1"/>
    </row>
    <row r="282" spans="2:9" x14ac:dyDescent="0.25">
      <c r="B282" s="1"/>
      <c r="C282" s="2"/>
      <c r="D282" s="2"/>
      <c r="E282" s="2"/>
      <c r="F282" s="2"/>
      <c r="G282" s="2"/>
      <c r="H282" s="3"/>
      <c r="I282" s="1"/>
    </row>
    <row r="283" spans="2:9" x14ac:dyDescent="0.25">
      <c r="B283" s="1"/>
      <c r="C283" s="2"/>
      <c r="D283" s="2"/>
      <c r="E283" s="2"/>
      <c r="F283" s="2"/>
      <c r="G283" s="2"/>
      <c r="H283" s="3"/>
      <c r="I283" s="1"/>
    </row>
    <row r="284" spans="2:9" x14ac:dyDescent="0.25">
      <c r="B284" s="1"/>
      <c r="C284" s="2"/>
      <c r="D284" s="2"/>
      <c r="E284" s="2"/>
      <c r="F284" s="2"/>
      <c r="G284" s="2"/>
      <c r="H284" s="3"/>
      <c r="I284" s="1"/>
    </row>
    <row r="285" spans="2:9" x14ac:dyDescent="0.25">
      <c r="B285" s="1"/>
      <c r="C285" s="2"/>
      <c r="D285" s="2"/>
      <c r="E285" s="2"/>
      <c r="F285" s="2"/>
      <c r="G285" s="2"/>
      <c r="H285" s="3"/>
      <c r="I285" s="1"/>
    </row>
    <row r="286" spans="2:9" x14ac:dyDescent="0.25">
      <c r="B286" s="1"/>
      <c r="C286" s="2"/>
      <c r="D286" s="2"/>
      <c r="E286" s="2"/>
      <c r="F286" s="2"/>
      <c r="G286" s="2"/>
      <c r="H286" s="3"/>
      <c r="I286" s="1"/>
    </row>
    <row r="287" spans="2:9" x14ac:dyDescent="0.25">
      <c r="B287" s="1"/>
      <c r="C287" s="2"/>
      <c r="D287" s="2"/>
      <c r="E287" s="2"/>
      <c r="F287" s="2"/>
      <c r="G287" s="2"/>
      <c r="H287" s="3"/>
      <c r="I287" s="1"/>
    </row>
    <row r="288" spans="2:9" x14ac:dyDescent="0.25">
      <c r="B288" s="1"/>
      <c r="C288" s="2"/>
      <c r="D288" s="2"/>
      <c r="E288" s="2"/>
      <c r="F288" s="2"/>
      <c r="G288" s="2"/>
      <c r="H288" s="3"/>
      <c r="I288" s="1"/>
    </row>
    <row r="289" spans="2:9" x14ac:dyDescent="0.25">
      <c r="B289" s="1"/>
      <c r="C289" s="2"/>
      <c r="D289" s="2"/>
      <c r="E289" s="2"/>
      <c r="F289" s="2"/>
      <c r="G289" s="2"/>
      <c r="H289" s="3"/>
      <c r="I289" s="1"/>
    </row>
    <row r="290" spans="2:9" x14ac:dyDescent="0.25">
      <c r="B290" s="1"/>
      <c r="C290" s="2"/>
      <c r="D290" s="2"/>
      <c r="E290" s="2"/>
      <c r="F290" s="2"/>
      <c r="G290" s="2"/>
      <c r="H290" s="3"/>
      <c r="I290" s="1"/>
    </row>
    <row r="291" spans="2:9" x14ac:dyDescent="0.25">
      <c r="B291" s="1"/>
      <c r="C291" s="2"/>
      <c r="D291" s="2"/>
      <c r="E291" s="2"/>
      <c r="F291" s="2"/>
      <c r="G291" s="2"/>
      <c r="H291" s="3"/>
      <c r="I291" s="1"/>
    </row>
    <row r="292" spans="2:9" x14ac:dyDescent="0.25">
      <c r="B292" s="1"/>
      <c r="C292" s="2"/>
      <c r="D292" s="2"/>
      <c r="E292" s="2"/>
      <c r="F292" s="2"/>
      <c r="G292" s="2"/>
      <c r="H292" s="3"/>
      <c r="I292" s="1"/>
    </row>
    <row r="293" spans="2:9" x14ac:dyDescent="0.25">
      <c r="B293" s="1"/>
      <c r="C293" s="2"/>
      <c r="D293" s="2"/>
      <c r="E293" s="2"/>
      <c r="F293" s="2"/>
      <c r="G293" s="2"/>
      <c r="H293" s="3"/>
      <c r="I293" s="1"/>
    </row>
    <row r="294" spans="2:9" x14ac:dyDescent="0.25">
      <c r="B294" s="1"/>
      <c r="C294" s="2"/>
      <c r="D294" s="2"/>
      <c r="E294" s="2"/>
      <c r="F294" s="2"/>
      <c r="G294" s="2"/>
      <c r="H294" s="3"/>
      <c r="I294" s="1"/>
    </row>
    <row r="295" spans="2:9" x14ac:dyDescent="0.25">
      <c r="B295" s="1"/>
      <c r="C295" s="2"/>
      <c r="D295" s="2"/>
      <c r="E295" s="2"/>
      <c r="F295" s="2"/>
      <c r="G295" s="2"/>
      <c r="H295" s="3"/>
      <c r="I295" s="1"/>
    </row>
    <row r="296" spans="2:9" x14ac:dyDescent="0.25">
      <c r="B296" s="1"/>
      <c r="C296" s="2"/>
      <c r="D296" s="2"/>
      <c r="E296" s="2"/>
      <c r="F296" s="2"/>
      <c r="G296" s="2"/>
      <c r="H296" s="3"/>
      <c r="I296" s="1"/>
    </row>
    <row r="297" spans="2:9" x14ac:dyDescent="0.25">
      <c r="B297" s="1"/>
      <c r="C297" s="2"/>
      <c r="D297" s="2"/>
      <c r="E297" s="2"/>
      <c r="F297" s="2"/>
      <c r="G297" s="2"/>
      <c r="H297" s="3"/>
      <c r="I297" s="1"/>
    </row>
    <row r="298" spans="2:9" x14ac:dyDescent="0.25">
      <c r="B298" s="1"/>
      <c r="C298" s="2"/>
      <c r="D298" s="2"/>
      <c r="E298" s="2"/>
      <c r="F298" s="2"/>
      <c r="G298" s="2"/>
      <c r="H298" s="3"/>
      <c r="I298" s="1"/>
    </row>
    <row r="299" spans="2:9" x14ac:dyDescent="0.25">
      <c r="B299" s="1"/>
      <c r="C299" s="2"/>
      <c r="D299" s="2"/>
      <c r="E299" s="2"/>
      <c r="F299" s="2"/>
      <c r="G299" s="2"/>
      <c r="H299" s="3"/>
      <c r="I299" s="1"/>
    </row>
    <row r="300" spans="2:9" x14ac:dyDescent="0.25">
      <c r="B300" s="1"/>
      <c r="C300" s="2"/>
      <c r="D300" s="2"/>
      <c r="E300" s="2"/>
      <c r="F300" s="2"/>
      <c r="G300" s="2"/>
      <c r="H300" s="3"/>
      <c r="I300" s="1"/>
    </row>
    <row r="301" spans="2:9" x14ac:dyDescent="0.25">
      <c r="B301" s="1"/>
      <c r="C301" s="2"/>
      <c r="D301" s="2"/>
      <c r="E301" s="2"/>
      <c r="F301" s="2"/>
      <c r="G301" s="2"/>
      <c r="H301" s="3"/>
      <c r="I301" s="1"/>
    </row>
    <row r="302" spans="2:9" x14ac:dyDescent="0.25">
      <c r="B302" s="1"/>
      <c r="C302" s="2"/>
      <c r="D302" s="2"/>
      <c r="E302" s="2"/>
      <c r="F302" s="2"/>
      <c r="G302" s="2"/>
      <c r="H302" s="3"/>
      <c r="I302" s="1"/>
    </row>
    <row r="303" spans="2:9" x14ac:dyDescent="0.25">
      <c r="B303" s="1"/>
      <c r="C303" s="2"/>
      <c r="D303" s="2"/>
      <c r="E303" s="2"/>
      <c r="F303" s="2"/>
      <c r="G303" s="2"/>
      <c r="H303" s="3"/>
      <c r="I303" s="1"/>
    </row>
    <row r="304" spans="2:9" x14ac:dyDescent="0.25">
      <c r="B304" s="1"/>
      <c r="C304" s="2"/>
      <c r="D304" s="2"/>
      <c r="E304" s="2"/>
      <c r="F304" s="2"/>
      <c r="G304" s="2"/>
      <c r="H304" s="3"/>
      <c r="I304" s="1"/>
    </row>
    <row r="305" spans="2:9" x14ac:dyDescent="0.25">
      <c r="B305" s="1"/>
      <c r="C305" s="2"/>
      <c r="D305" s="2"/>
      <c r="E305" s="2"/>
      <c r="F305" s="2"/>
      <c r="G305" s="2"/>
      <c r="H305" s="3"/>
      <c r="I305" s="1"/>
    </row>
    <row r="306" spans="2:9" x14ac:dyDescent="0.25">
      <c r="B306" s="1"/>
      <c r="C306" s="2"/>
      <c r="D306" s="2"/>
      <c r="E306" s="2"/>
      <c r="F306" s="2"/>
      <c r="G306" s="2"/>
      <c r="H306" s="3"/>
      <c r="I306" s="1"/>
    </row>
    <row r="307" spans="2:9" x14ac:dyDescent="0.25">
      <c r="B307" s="1"/>
      <c r="C307" s="2"/>
      <c r="D307" s="2"/>
      <c r="E307" s="2"/>
      <c r="F307" s="2"/>
      <c r="G307" s="2"/>
      <c r="H307" s="3"/>
      <c r="I307" s="1"/>
    </row>
    <row r="308" spans="2:9" x14ac:dyDescent="0.25">
      <c r="B308" s="1"/>
      <c r="C308" s="2"/>
      <c r="D308" s="2"/>
      <c r="E308" s="2"/>
      <c r="F308" s="2"/>
      <c r="G308" s="2"/>
      <c r="H308" s="3"/>
      <c r="I308" s="1"/>
    </row>
    <row r="309" spans="2:9" x14ac:dyDescent="0.25">
      <c r="B309" s="1"/>
      <c r="C309" s="2"/>
      <c r="D309" s="2"/>
      <c r="E309" s="2"/>
      <c r="F309" s="2"/>
      <c r="G309" s="2"/>
      <c r="H309" s="3"/>
      <c r="I309" s="1"/>
    </row>
    <row r="310" spans="2:9" x14ac:dyDescent="0.25">
      <c r="B310" s="1"/>
      <c r="C310" s="2"/>
      <c r="D310" s="2"/>
      <c r="E310" s="2"/>
      <c r="F310" s="2"/>
      <c r="G310" s="2"/>
      <c r="H310" s="3"/>
      <c r="I310" s="1"/>
    </row>
    <row r="311" spans="2:9" x14ac:dyDescent="0.25">
      <c r="B311" s="1"/>
      <c r="C311" s="2"/>
      <c r="D311" s="2"/>
      <c r="E311" s="2"/>
      <c r="F311" s="2"/>
      <c r="G311" s="2"/>
      <c r="H311" s="3"/>
      <c r="I311" s="1"/>
    </row>
    <row r="312" spans="2:9" x14ac:dyDescent="0.25">
      <c r="B312" s="1"/>
      <c r="C312" s="2"/>
      <c r="D312" s="2"/>
      <c r="E312" s="2"/>
      <c r="F312" s="2"/>
      <c r="G312" s="2"/>
      <c r="H312" s="3"/>
      <c r="I312" s="1"/>
    </row>
    <row r="313" spans="2:9" x14ac:dyDescent="0.25">
      <c r="B313" s="1"/>
      <c r="C313" s="2"/>
      <c r="D313" s="2"/>
      <c r="E313" s="2"/>
      <c r="F313" s="2"/>
      <c r="G313" s="2"/>
      <c r="H313" s="3"/>
      <c r="I313" s="1"/>
    </row>
    <row r="314" spans="2:9" x14ac:dyDescent="0.25">
      <c r="B314" s="1"/>
      <c r="C314" s="2"/>
      <c r="D314" s="2"/>
      <c r="E314" s="2"/>
      <c r="F314" s="2"/>
      <c r="G314" s="2"/>
      <c r="H314" s="3"/>
      <c r="I314" s="1"/>
    </row>
    <row r="315" spans="2:9" x14ac:dyDescent="0.25">
      <c r="B315" s="1"/>
      <c r="C315" s="2"/>
      <c r="D315" s="2"/>
      <c r="E315" s="2"/>
      <c r="F315" s="2"/>
      <c r="G315" s="2"/>
      <c r="H315" s="3"/>
      <c r="I315" s="1"/>
    </row>
    <row r="316" spans="2:9" x14ac:dyDescent="0.25">
      <c r="B316" s="1"/>
      <c r="C316" s="2"/>
      <c r="D316" s="2"/>
      <c r="E316" s="2"/>
      <c r="F316" s="2"/>
      <c r="G316" s="2"/>
      <c r="H316" s="3"/>
      <c r="I316" s="1"/>
    </row>
    <row r="317" spans="2:9" x14ac:dyDescent="0.25">
      <c r="B317" s="1"/>
      <c r="C317" s="2"/>
      <c r="D317" s="2"/>
      <c r="E317" s="2"/>
      <c r="F317" s="2"/>
      <c r="G317" s="2"/>
      <c r="H317" s="3"/>
      <c r="I317" s="1"/>
    </row>
    <row r="318" spans="2:9" x14ac:dyDescent="0.25">
      <c r="B318" s="1"/>
      <c r="C318" s="2"/>
      <c r="D318" s="2"/>
      <c r="E318" s="2"/>
      <c r="F318" s="2"/>
      <c r="G318" s="2"/>
      <c r="H318" s="3"/>
      <c r="I318" s="1"/>
    </row>
    <row r="319" spans="2:9" x14ac:dyDescent="0.25">
      <c r="B319" s="1"/>
      <c r="C319" s="2"/>
      <c r="D319" s="2"/>
      <c r="E319" s="2"/>
      <c r="F319" s="2"/>
      <c r="G319" s="2"/>
      <c r="H319" s="3"/>
      <c r="I319" s="1"/>
    </row>
    <row r="320" spans="2:9" x14ac:dyDescent="0.25">
      <c r="B320" s="1"/>
      <c r="C320" s="2"/>
      <c r="D320" s="2"/>
      <c r="E320" s="2"/>
      <c r="F320" s="2"/>
      <c r="G320" s="2"/>
      <c r="H320" s="3"/>
      <c r="I320" s="1"/>
    </row>
    <row r="321" spans="2:9" x14ac:dyDescent="0.25">
      <c r="B321" s="1"/>
      <c r="C321" s="2"/>
      <c r="D321" s="2"/>
      <c r="E321" s="2"/>
      <c r="F321" s="2"/>
      <c r="G321" s="2"/>
      <c r="H321" s="3"/>
      <c r="I321" s="1"/>
    </row>
    <row r="322" spans="2:9" x14ac:dyDescent="0.25">
      <c r="B322" s="1"/>
      <c r="C322" s="2"/>
      <c r="D322" s="2"/>
      <c r="E322" s="2"/>
      <c r="F322" s="2"/>
      <c r="G322" s="2"/>
      <c r="H322" s="3"/>
      <c r="I322" s="1"/>
    </row>
    <row r="323" spans="2:9" x14ac:dyDescent="0.25">
      <c r="B323" s="1"/>
      <c r="C323" s="2"/>
      <c r="D323" s="2"/>
      <c r="E323" s="2"/>
      <c r="F323" s="2"/>
      <c r="G323" s="2"/>
      <c r="H323" s="3"/>
      <c r="I323" s="1"/>
    </row>
    <row r="324" spans="2:9" x14ac:dyDescent="0.25">
      <c r="B324" s="1"/>
      <c r="C324" s="2"/>
      <c r="D324" s="2"/>
      <c r="E324" s="2"/>
      <c r="F324" s="2"/>
      <c r="G324" s="2"/>
      <c r="H324" s="3"/>
      <c r="I324" s="1"/>
    </row>
    <row r="325" spans="2:9" x14ac:dyDescent="0.25">
      <c r="B325" s="1"/>
      <c r="C325" s="2"/>
      <c r="D325" s="2"/>
      <c r="E325" s="2"/>
      <c r="F325" s="2"/>
      <c r="G325" s="2"/>
      <c r="H325" s="3"/>
      <c r="I325" s="1"/>
    </row>
    <row r="326" spans="2:9" x14ac:dyDescent="0.25">
      <c r="B326" s="1"/>
      <c r="C326" s="2"/>
      <c r="D326" s="2"/>
      <c r="E326" s="2"/>
      <c r="F326" s="2"/>
      <c r="G326" s="2"/>
      <c r="H326" s="3"/>
      <c r="I326" s="1"/>
    </row>
    <row r="327" spans="2:9" x14ac:dyDescent="0.25">
      <c r="B327" s="1"/>
      <c r="C327" s="2"/>
      <c r="D327" s="2"/>
      <c r="E327" s="2"/>
      <c r="F327" s="2"/>
      <c r="G327" s="2"/>
      <c r="H327" s="3"/>
      <c r="I327" s="1"/>
    </row>
    <row r="328" spans="2:9" x14ac:dyDescent="0.25">
      <c r="B328" s="1"/>
      <c r="C328" s="2"/>
      <c r="D328" s="2"/>
      <c r="E328" s="2"/>
      <c r="F328" s="2"/>
      <c r="G328" s="2"/>
      <c r="H328" s="3"/>
      <c r="I328" s="1"/>
    </row>
    <row r="329" spans="2:9" x14ac:dyDescent="0.25">
      <c r="B329" s="1"/>
      <c r="C329" s="2"/>
      <c r="D329" s="2"/>
      <c r="E329" s="2"/>
      <c r="F329" s="2"/>
      <c r="G329" s="2"/>
      <c r="H329" s="3"/>
      <c r="I329" s="1"/>
    </row>
    <row r="330" spans="2:9" x14ac:dyDescent="0.25">
      <c r="B330" s="1"/>
      <c r="C330" s="2"/>
      <c r="D330" s="2"/>
      <c r="E330" s="2"/>
      <c r="F330" s="2"/>
      <c r="G330" s="2"/>
      <c r="H330" s="3"/>
      <c r="I330" s="1"/>
    </row>
    <row r="331" spans="2:9" x14ac:dyDescent="0.25">
      <c r="B331" s="1"/>
      <c r="C331" s="2"/>
      <c r="D331" s="2"/>
      <c r="E331" s="2"/>
      <c r="F331" s="2"/>
      <c r="G331" s="2"/>
      <c r="H331" s="3"/>
      <c r="I331" s="1"/>
    </row>
    <row r="332" spans="2:9" x14ac:dyDescent="0.25">
      <c r="B332" s="1"/>
      <c r="C332" s="2"/>
      <c r="D332" s="2"/>
      <c r="E332" s="2"/>
      <c r="F332" s="2"/>
      <c r="G332" s="2"/>
      <c r="H332" s="3"/>
      <c r="I332" s="1"/>
    </row>
    <row r="333" spans="2:9" x14ac:dyDescent="0.25">
      <c r="B333" s="1"/>
      <c r="C333" s="2"/>
      <c r="D333" s="2"/>
      <c r="E333" s="2"/>
      <c r="F333" s="2"/>
      <c r="G333" s="2"/>
      <c r="H333" s="3"/>
      <c r="I333" s="1"/>
    </row>
    <row r="334" spans="2:9" x14ac:dyDescent="0.25">
      <c r="B334" s="1"/>
      <c r="C334" s="2"/>
      <c r="D334" s="2"/>
      <c r="E334" s="2"/>
      <c r="F334" s="2"/>
      <c r="G334" s="2"/>
      <c r="H334" s="3"/>
      <c r="I334" s="1"/>
    </row>
    <row r="335" spans="2:9" x14ac:dyDescent="0.25">
      <c r="B335" s="1"/>
      <c r="C335" s="2"/>
      <c r="D335" s="2"/>
      <c r="E335" s="2"/>
      <c r="F335" s="2"/>
      <c r="G335" s="2"/>
      <c r="H335" s="3"/>
      <c r="I335" s="1"/>
    </row>
    <row r="336" spans="2:9" x14ac:dyDescent="0.25">
      <c r="B336" s="1"/>
      <c r="C336" s="2"/>
      <c r="D336" s="2"/>
      <c r="E336" s="2"/>
      <c r="F336" s="2"/>
      <c r="G336" s="2"/>
      <c r="H336" s="3"/>
      <c r="I336" s="1"/>
    </row>
    <row r="337" spans="2:9" x14ac:dyDescent="0.25">
      <c r="B337" s="1"/>
      <c r="C337" s="2"/>
      <c r="D337" s="2"/>
      <c r="E337" s="2"/>
      <c r="F337" s="2"/>
      <c r="G337" s="2"/>
      <c r="H337" s="3"/>
      <c r="I337" s="1"/>
    </row>
    <row r="338" spans="2:9" x14ac:dyDescent="0.25">
      <c r="B338" s="1"/>
      <c r="C338" s="2"/>
      <c r="D338" s="2"/>
      <c r="E338" s="2"/>
      <c r="F338" s="2"/>
      <c r="G338" s="2"/>
      <c r="H338" s="3"/>
      <c r="I338" s="1"/>
    </row>
    <row r="339" spans="2:9" x14ac:dyDescent="0.25">
      <c r="B339" s="1"/>
      <c r="C339" s="2"/>
      <c r="D339" s="2"/>
      <c r="E339" s="2"/>
      <c r="F339" s="2"/>
      <c r="G339" s="2"/>
      <c r="H339" s="3"/>
      <c r="I339" s="1"/>
    </row>
    <row r="340" spans="2:9" x14ac:dyDescent="0.25">
      <c r="B340" s="1"/>
      <c r="C340" s="2"/>
      <c r="D340" s="2"/>
      <c r="E340" s="2"/>
      <c r="F340" s="2"/>
      <c r="G340" s="2"/>
      <c r="H340" s="3"/>
      <c r="I340" s="1"/>
    </row>
    <row r="341" spans="2:9" x14ac:dyDescent="0.25">
      <c r="B341" s="1"/>
      <c r="C341" s="2"/>
      <c r="D341" s="2"/>
      <c r="E341" s="2"/>
      <c r="F341" s="2"/>
      <c r="G341" s="2"/>
      <c r="H341" s="3"/>
      <c r="I341" s="1"/>
    </row>
    <row r="342" spans="2:9" x14ac:dyDescent="0.25">
      <c r="B342" s="1"/>
      <c r="C342" s="2"/>
      <c r="D342" s="2"/>
      <c r="E342" s="2"/>
      <c r="F342" s="2"/>
      <c r="G342" s="2"/>
      <c r="H342" s="3"/>
      <c r="I342" s="1"/>
    </row>
    <row r="343" spans="2:9" x14ac:dyDescent="0.25">
      <c r="B343" s="1"/>
      <c r="C343" s="2"/>
      <c r="D343" s="2"/>
      <c r="E343" s="2"/>
      <c r="F343" s="2"/>
      <c r="G343" s="2"/>
      <c r="H343" s="3"/>
      <c r="I343" s="1"/>
    </row>
    <row r="344" spans="2:9" x14ac:dyDescent="0.25">
      <c r="B344" s="1"/>
      <c r="C344" s="2"/>
      <c r="D344" s="2"/>
      <c r="E344" s="2"/>
      <c r="F344" s="2"/>
      <c r="G344" s="2"/>
      <c r="H344" s="3"/>
      <c r="I344" s="1"/>
    </row>
    <row r="345" spans="2:9" x14ac:dyDescent="0.25">
      <c r="B345" s="1"/>
      <c r="C345" s="2"/>
      <c r="D345" s="2"/>
      <c r="E345" s="2"/>
      <c r="F345" s="2"/>
      <c r="G345" s="2"/>
      <c r="H345" s="3"/>
      <c r="I345" s="1"/>
    </row>
    <row r="346" spans="2:9" x14ac:dyDescent="0.25">
      <c r="B346" s="1"/>
      <c r="C346" s="2"/>
      <c r="D346" s="2"/>
      <c r="E346" s="2"/>
      <c r="F346" s="2"/>
      <c r="G346" s="2"/>
      <c r="H346" s="3"/>
      <c r="I346" s="1"/>
    </row>
    <row r="347" spans="2:9" x14ac:dyDescent="0.25">
      <c r="B347" s="1"/>
      <c r="C347" s="2"/>
      <c r="D347" s="2"/>
      <c r="E347" s="2"/>
      <c r="F347" s="2"/>
      <c r="G347" s="2"/>
      <c r="H347" s="3"/>
      <c r="I347" s="1"/>
    </row>
    <row r="348" spans="2:9" x14ac:dyDescent="0.25">
      <c r="B348" s="1"/>
      <c r="C348" s="2"/>
      <c r="D348" s="2"/>
      <c r="E348" s="2"/>
      <c r="F348" s="2"/>
      <c r="G348" s="2"/>
      <c r="H348" s="3"/>
      <c r="I348" s="1"/>
    </row>
    <row r="349" spans="2:9" x14ac:dyDescent="0.25">
      <c r="H349" s="3"/>
      <c r="I349" s="1"/>
    </row>
    <row r="350" spans="2:9" x14ac:dyDescent="0.25">
      <c r="H350" s="3"/>
      <c r="I350" s="1"/>
    </row>
    <row r="351" spans="2:9" x14ac:dyDescent="0.25">
      <c r="H351" s="3"/>
      <c r="I351" s="1"/>
    </row>
    <row r="352" spans="2:9" x14ac:dyDescent="0.25">
      <c r="H352" s="3"/>
      <c r="I352" s="1"/>
    </row>
    <row r="353" spans="8:9" x14ac:dyDescent="0.25">
      <c r="H353" s="3"/>
      <c r="I353" s="1"/>
    </row>
    <row r="354" spans="8:9" x14ac:dyDescent="0.25">
      <c r="H354" s="3"/>
      <c r="I354" s="1"/>
    </row>
    <row r="355" spans="8:9" x14ac:dyDescent="0.25">
      <c r="H355" s="3"/>
      <c r="I355" s="1"/>
    </row>
    <row r="356" spans="8:9" x14ac:dyDescent="0.25">
      <c r="H356" s="3"/>
      <c r="I356" s="1"/>
    </row>
    <row r="357" spans="8:9" x14ac:dyDescent="0.25">
      <c r="H357" s="3"/>
      <c r="I357" s="1"/>
    </row>
    <row r="358" spans="8:9" x14ac:dyDescent="0.25">
      <c r="H358" s="3"/>
      <c r="I358" s="1"/>
    </row>
    <row r="359" spans="8:9" x14ac:dyDescent="0.25">
      <c r="H359" s="3"/>
      <c r="I359" s="1"/>
    </row>
    <row r="360" spans="8:9" x14ac:dyDescent="0.25">
      <c r="H360" s="3"/>
      <c r="I360" s="1"/>
    </row>
    <row r="361" spans="8:9" x14ac:dyDescent="0.25">
      <c r="H361" s="3"/>
      <c r="I361" s="1"/>
    </row>
    <row r="362" spans="8:9" x14ac:dyDescent="0.25">
      <c r="H362" s="3"/>
      <c r="I362" s="1"/>
    </row>
    <row r="363" spans="8:9" x14ac:dyDescent="0.25">
      <c r="H363" s="3"/>
      <c r="I363" s="1"/>
    </row>
    <row r="364" spans="8:9" x14ac:dyDescent="0.25">
      <c r="H364" s="3"/>
      <c r="I364" s="1"/>
    </row>
    <row r="365" spans="8:9" x14ac:dyDescent="0.25">
      <c r="H365" s="3"/>
      <c r="I365" s="1"/>
    </row>
    <row r="366" spans="8:9" x14ac:dyDescent="0.25">
      <c r="H366" s="3"/>
      <c r="I366" s="1"/>
    </row>
    <row r="367" spans="8:9" x14ac:dyDescent="0.25">
      <c r="H367" s="3"/>
      <c r="I367" s="1"/>
    </row>
    <row r="368" spans="8:9" x14ac:dyDescent="0.25">
      <c r="H368" s="3"/>
      <c r="I368" s="1"/>
    </row>
    <row r="369" spans="8:9" x14ac:dyDescent="0.25">
      <c r="H369" s="3"/>
      <c r="I369" s="1"/>
    </row>
    <row r="370" spans="8:9" x14ac:dyDescent="0.25">
      <c r="H370" s="3"/>
      <c r="I370" s="1"/>
    </row>
    <row r="371" spans="8:9" x14ac:dyDescent="0.25">
      <c r="H371" s="3"/>
      <c r="I371" s="1"/>
    </row>
    <row r="372" spans="8:9" x14ac:dyDescent="0.25">
      <c r="H372" s="3"/>
      <c r="I372" s="1"/>
    </row>
    <row r="373" spans="8:9" x14ac:dyDescent="0.25">
      <c r="H373" s="3"/>
      <c r="I373" s="1"/>
    </row>
    <row r="374" spans="8:9" x14ac:dyDescent="0.25">
      <c r="H374" s="3"/>
      <c r="I374" s="1"/>
    </row>
    <row r="375" spans="8:9" x14ac:dyDescent="0.25">
      <c r="H375" s="3"/>
      <c r="I375" s="1"/>
    </row>
    <row r="376" spans="8:9" x14ac:dyDescent="0.25">
      <c r="H376" s="3"/>
      <c r="I376" s="1"/>
    </row>
    <row r="377" spans="8:9" x14ac:dyDescent="0.25">
      <c r="H377" s="3"/>
      <c r="I377" s="1"/>
    </row>
    <row r="378" spans="8:9" x14ac:dyDescent="0.25">
      <c r="H378" s="3"/>
      <c r="I378" s="1"/>
    </row>
    <row r="379" spans="8:9" x14ac:dyDescent="0.25">
      <c r="H379" s="3"/>
      <c r="I379" s="1"/>
    </row>
    <row r="380" spans="8:9" x14ac:dyDescent="0.25">
      <c r="H380" s="3"/>
      <c r="I380" s="1"/>
    </row>
    <row r="381" spans="8:9" x14ac:dyDescent="0.25">
      <c r="H381" s="3"/>
      <c r="I381" s="1"/>
    </row>
    <row r="382" spans="8:9" x14ac:dyDescent="0.25">
      <c r="H382" s="3"/>
      <c r="I382" s="1"/>
    </row>
    <row r="383" spans="8:9" x14ac:dyDescent="0.25">
      <c r="H383" s="3"/>
      <c r="I383" s="1"/>
    </row>
    <row r="384" spans="8:9" x14ac:dyDescent="0.25">
      <c r="H384" s="3"/>
      <c r="I384" s="1"/>
    </row>
    <row r="385" spans="8:9" x14ac:dyDescent="0.25">
      <c r="H385" s="3"/>
      <c r="I385" s="1"/>
    </row>
    <row r="386" spans="8:9" x14ac:dyDescent="0.25">
      <c r="H386" s="3"/>
      <c r="I386" s="1"/>
    </row>
    <row r="387" spans="8:9" x14ac:dyDescent="0.25">
      <c r="H387" s="3"/>
      <c r="I387" s="1"/>
    </row>
    <row r="388" spans="8:9" x14ac:dyDescent="0.25">
      <c r="H388" s="3"/>
      <c r="I388" s="1"/>
    </row>
    <row r="389" spans="8:9" x14ac:dyDescent="0.25">
      <c r="H389" s="3"/>
      <c r="I389" s="1"/>
    </row>
    <row r="390" spans="8:9" x14ac:dyDescent="0.25">
      <c r="H390" s="3"/>
      <c r="I390" s="1"/>
    </row>
    <row r="391" spans="8:9" x14ac:dyDescent="0.25">
      <c r="H391" s="3"/>
      <c r="I391" s="1"/>
    </row>
    <row r="392" spans="8:9" x14ac:dyDescent="0.25">
      <c r="H392" s="3"/>
      <c r="I392" s="1"/>
    </row>
    <row r="393" spans="8:9" x14ac:dyDescent="0.25">
      <c r="H393" s="3"/>
      <c r="I393" s="1"/>
    </row>
    <row r="394" spans="8:9" x14ac:dyDescent="0.25">
      <c r="H394" s="3"/>
      <c r="I394" s="1"/>
    </row>
    <row r="395" spans="8:9" x14ac:dyDescent="0.25">
      <c r="H395" s="3"/>
      <c r="I395" s="1"/>
    </row>
    <row r="396" spans="8:9" x14ac:dyDescent="0.25">
      <c r="H396" s="3"/>
      <c r="I396" s="1"/>
    </row>
    <row r="397" spans="8:9" x14ac:dyDescent="0.25">
      <c r="H397" s="3"/>
      <c r="I397" s="1"/>
    </row>
    <row r="398" spans="8:9" x14ac:dyDescent="0.25">
      <c r="H398" s="3"/>
      <c r="I398" s="1"/>
    </row>
    <row r="399" spans="8:9" x14ac:dyDescent="0.25">
      <c r="H399" s="3"/>
      <c r="I399" s="1"/>
    </row>
    <row r="400" spans="8:9" x14ac:dyDescent="0.25">
      <c r="H400" s="3"/>
      <c r="I400" s="1"/>
    </row>
    <row r="401" spans="8:9" x14ac:dyDescent="0.25">
      <c r="H401" s="3"/>
      <c r="I401" s="1"/>
    </row>
    <row r="402" spans="8:9" x14ac:dyDescent="0.25">
      <c r="H402" s="3"/>
      <c r="I402" s="1"/>
    </row>
    <row r="403" spans="8:9" x14ac:dyDescent="0.25">
      <c r="H403" s="3"/>
      <c r="I403" s="1"/>
    </row>
    <row r="404" spans="8:9" x14ac:dyDescent="0.25">
      <c r="H404" s="3"/>
      <c r="I404" s="1"/>
    </row>
    <row r="405" spans="8:9" x14ac:dyDescent="0.25">
      <c r="H405" s="3"/>
      <c r="I405" s="1"/>
    </row>
    <row r="406" spans="8:9" x14ac:dyDescent="0.25">
      <c r="H406" s="3"/>
      <c r="I406" s="1"/>
    </row>
    <row r="407" spans="8:9" x14ac:dyDescent="0.25">
      <c r="H407" s="3"/>
      <c r="I407" s="1"/>
    </row>
    <row r="408" spans="8:9" x14ac:dyDescent="0.25">
      <c r="H408" s="3"/>
      <c r="I408" s="1"/>
    </row>
    <row r="409" spans="8:9" x14ac:dyDescent="0.25">
      <c r="H409" s="3"/>
      <c r="I409" s="1"/>
    </row>
    <row r="410" spans="8:9" x14ac:dyDescent="0.25">
      <c r="H410" s="3"/>
      <c r="I410" s="1"/>
    </row>
    <row r="411" spans="8:9" x14ac:dyDescent="0.25">
      <c r="H411" s="3"/>
      <c r="I411" s="1"/>
    </row>
    <row r="412" spans="8:9" x14ac:dyDescent="0.25">
      <c r="H412" s="3"/>
      <c r="I412" s="1"/>
    </row>
    <row r="413" spans="8:9" x14ac:dyDescent="0.25">
      <c r="H413" s="3"/>
      <c r="I413" s="1"/>
    </row>
    <row r="414" spans="8:9" x14ac:dyDescent="0.25">
      <c r="H414" s="3"/>
      <c r="I414" s="1"/>
    </row>
    <row r="415" spans="8:9" x14ac:dyDescent="0.25">
      <c r="H415" s="3"/>
      <c r="I415" s="1"/>
    </row>
    <row r="416" spans="8:9" x14ac:dyDescent="0.25">
      <c r="H416" s="3"/>
      <c r="I416" s="1"/>
    </row>
    <row r="417" spans="8:9" x14ac:dyDescent="0.25">
      <c r="H417" s="3"/>
      <c r="I417" s="1"/>
    </row>
    <row r="418" spans="8:9" x14ac:dyDescent="0.25">
      <c r="H418" s="3"/>
      <c r="I418" s="1"/>
    </row>
    <row r="419" spans="8:9" x14ac:dyDescent="0.25">
      <c r="H419" s="3"/>
      <c r="I419" s="1"/>
    </row>
    <row r="420" spans="8:9" x14ac:dyDescent="0.25">
      <c r="H420" s="3"/>
      <c r="I420" s="1"/>
    </row>
    <row r="421" spans="8:9" x14ac:dyDescent="0.25">
      <c r="H421" s="3"/>
      <c r="I421" s="1"/>
    </row>
    <row r="422" spans="8:9" x14ac:dyDescent="0.25">
      <c r="H422" s="3"/>
      <c r="I422" s="1"/>
    </row>
    <row r="423" spans="8:9" x14ac:dyDescent="0.25">
      <c r="H423" s="3"/>
      <c r="I423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tabSelected="1" zoomScaleNormal="100" workbookViewId="0">
      <selection activeCell="P26" sqref="P26"/>
    </sheetView>
  </sheetViews>
  <sheetFormatPr defaultColWidth="8.77734375" defaultRowHeight="13.2" x14ac:dyDescent="0.25"/>
  <cols>
    <col min="2" max="2" width="9.33203125" bestFit="1" customWidth="1"/>
    <col min="5" max="5" width="9.33203125" bestFit="1" customWidth="1"/>
    <col min="6" max="6" width="12.44140625" bestFit="1" customWidth="1"/>
    <col min="7" max="7" width="9.33203125" bestFit="1" customWidth="1"/>
  </cols>
  <sheetData>
    <row r="1" spans="1:12" x14ac:dyDescent="0.25">
      <c r="A1" s="12" t="s">
        <v>66</v>
      </c>
      <c r="D1" t="s">
        <v>9</v>
      </c>
    </row>
    <row r="2" spans="1:12" ht="13.8" thickBot="1" x14ac:dyDescent="0.3"/>
    <row r="3" spans="1:12" x14ac:dyDescent="0.25">
      <c r="A3" t="s">
        <v>7</v>
      </c>
      <c r="B3" t="s">
        <v>8</v>
      </c>
      <c r="D3" s="27" t="s">
        <v>10</v>
      </c>
      <c r="E3" s="27"/>
    </row>
    <row r="4" spans="1:12" x14ac:dyDescent="0.25">
      <c r="A4" s="3">
        <f>Data!F8</f>
        <v>26.70852</v>
      </c>
      <c r="B4" s="3">
        <f>Data!H8</f>
        <v>0</v>
      </c>
      <c r="D4" s="24" t="s">
        <v>11</v>
      </c>
      <c r="E4" s="24">
        <v>0.55214208700477918</v>
      </c>
    </row>
    <row r="5" spans="1:12" x14ac:dyDescent="0.25">
      <c r="A5" s="3">
        <f>Data!F9</f>
        <v>26.697610000000001</v>
      </c>
      <c r="B5" s="3">
        <f>Data!H9</f>
        <v>0.13333333333332575</v>
      </c>
      <c r="D5" s="24" t="s">
        <v>12</v>
      </c>
      <c r="E5" s="24">
        <v>0.30486088424199309</v>
      </c>
    </row>
    <row r="6" spans="1:12" x14ac:dyDescent="0.25">
      <c r="A6" s="3">
        <f>Data!F10</f>
        <v>26.700669999999999</v>
      </c>
      <c r="B6" s="3">
        <f>Data!H10</f>
        <v>0.29999999999995453</v>
      </c>
      <c r="D6" s="24" t="s">
        <v>13</v>
      </c>
      <c r="E6" s="24">
        <v>0.13107610530249136</v>
      </c>
    </row>
    <row r="7" spans="1:12" x14ac:dyDescent="0.25">
      <c r="A7" s="3">
        <f>Data!F23</f>
        <v>26.692240000000002</v>
      </c>
      <c r="B7" s="3">
        <f>Data!H23</f>
        <v>28.716666666666583</v>
      </c>
      <c r="D7" s="24" t="s">
        <v>14</v>
      </c>
      <c r="E7" s="24">
        <v>4.9527959648864974E-3</v>
      </c>
    </row>
    <row r="8" spans="1:12" ht="13.8" thickBot="1" x14ac:dyDescent="0.3">
      <c r="A8" s="3">
        <f>Data!F24</f>
        <v>26.698229999999999</v>
      </c>
      <c r="B8" s="3">
        <f>Data!H24</f>
        <v>28.799999999999955</v>
      </c>
      <c r="D8" s="25" t="s">
        <v>15</v>
      </c>
      <c r="E8" s="25">
        <v>6</v>
      </c>
    </row>
    <row r="9" spans="1:12" x14ac:dyDescent="0.25">
      <c r="A9" s="3">
        <f>Data!F25</f>
        <v>26.70026</v>
      </c>
      <c r="B9" s="3">
        <f>Data!H25</f>
        <v>29.016666666666652</v>
      </c>
    </row>
    <row r="10" spans="1:12" ht="13.8" thickBot="1" x14ac:dyDescent="0.3">
      <c r="A10" s="3" t="e">
        <f>Data!#REF!</f>
        <v>#REF!</v>
      </c>
      <c r="B10" s="3" t="e">
        <f>Data!#REF!</f>
        <v>#REF!</v>
      </c>
      <c r="D10" t="s">
        <v>16</v>
      </c>
    </row>
    <row r="11" spans="1:12" x14ac:dyDescent="0.25">
      <c r="A11" s="3" t="e">
        <f>Data!#REF!</f>
        <v>#REF!</v>
      </c>
      <c r="B11" s="3" t="e">
        <f>Data!#REF!</f>
        <v>#REF!</v>
      </c>
      <c r="D11" s="26"/>
      <c r="E11" s="26" t="s">
        <v>21</v>
      </c>
      <c r="F11" s="26" t="s">
        <v>22</v>
      </c>
      <c r="G11" s="26" t="s">
        <v>23</v>
      </c>
      <c r="H11" s="26" t="s">
        <v>24</v>
      </c>
      <c r="I11" s="26" t="s">
        <v>25</v>
      </c>
    </row>
    <row r="12" spans="1:12" x14ac:dyDescent="0.25">
      <c r="A12" s="3" t="e">
        <f>Data!#REF!</f>
        <v>#REF!</v>
      </c>
      <c r="B12" s="3" t="e">
        <f>Data!#REF!</f>
        <v>#REF!</v>
      </c>
      <c r="D12" s="24" t="s">
        <v>17</v>
      </c>
      <c r="E12" s="24">
        <v>1</v>
      </c>
      <c r="F12" s="24">
        <v>4.3031931854121538E-5</v>
      </c>
      <c r="G12" s="24">
        <v>4.3031931854121538E-5</v>
      </c>
      <c r="H12" s="24">
        <v>1.7542438762610035</v>
      </c>
      <c r="I12" s="24">
        <v>0.25595013192857935</v>
      </c>
    </row>
    <row r="13" spans="1:12" x14ac:dyDescent="0.25">
      <c r="A13" s="3" t="e">
        <f>Data!#REF!</f>
        <v>#REF!</v>
      </c>
      <c r="B13" s="3" t="e">
        <f>Data!#REF!</f>
        <v>#REF!</v>
      </c>
      <c r="D13" s="24" t="s">
        <v>18</v>
      </c>
      <c r="E13" s="24">
        <v>4</v>
      </c>
      <c r="F13" s="24">
        <v>9.8120751479183896E-5</v>
      </c>
      <c r="G13" s="24">
        <v>2.4530187869795974E-5</v>
      </c>
      <c r="H13" s="24"/>
      <c r="I13" s="24"/>
    </row>
    <row r="14" spans="1:12" ht="13.8" thickBot="1" x14ac:dyDescent="0.3">
      <c r="A14" s="3" t="e">
        <f>Data!#REF!</f>
        <v>#REF!</v>
      </c>
      <c r="B14" s="3" t="e">
        <f>Data!#REF!</f>
        <v>#REF!</v>
      </c>
      <c r="D14" s="25" t="s">
        <v>19</v>
      </c>
      <c r="E14" s="25">
        <v>5</v>
      </c>
      <c r="F14" s="25">
        <v>1.4115268333330543E-4</v>
      </c>
      <c r="G14" s="25"/>
      <c r="H14" s="25"/>
      <c r="I14" s="25"/>
    </row>
    <row r="15" spans="1:12" ht="13.8" thickBot="1" x14ac:dyDescent="0.3">
      <c r="A15" s="3" t="e">
        <f>Data!#REF!</f>
        <v>#REF!</v>
      </c>
      <c r="B15" s="3" t="e">
        <f>Data!#REF!</f>
        <v>#REF!</v>
      </c>
    </row>
    <row r="16" spans="1:12" x14ac:dyDescent="0.25">
      <c r="A16" s="3" t="e">
        <f>Data!#REF!</f>
        <v>#REF!</v>
      </c>
      <c r="B16" s="3" t="e">
        <f>Data!#REF!</f>
        <v>#REF!</v>
      </c>
      <c r="D16" s="26"/>
      <c r="E16" s="26" t="s">
        <v>26</v>
      </c>
      <c r="F16" s="26" t="s">
        <v>14</v>
      </c>
      <c r="G16" s="26" t="s">
        <v>27</v>
      </c>
      <c r="H16" s="26" t="s">
        <v>28</v>
      </c>
      <c r="I16" s="26" t="s">
        <v>29</v>
      </c>
      <c r="J16" s="26" t="s">
        <v>30</v>
      </c>
      <c r="K16" s="26" t="s">
        <v>31</v>
      </c>
      <c r="L16" s="26" t="s">
        <v>32</v>
      </c>
    </row>
    <row r="17" spans="1:12" x14ac:dyDescent="0.25">
      <c r="A17" s="3" t="e">
        <f>Data!#REF!</f>
        <v>#REF!</v>
      </c>
      <c r="B17" s="3" t="e">
        <f>Data!#REF!</f>
        <v>#REF!</v>
      </c>
      <c r="D17" s="24" t="s">
        <v>20</v>
      </c>
      <c r="E17" s="24">
        <v>26.702293245075385</v>
      </c>
      <c r="F17" s="24">
        <v>2.8738710011448473E-3</v>
      </c>
      <c r="G17" s="24">
        <v>9291.4028620067311</v>
      </c>
      <c r="H17" s="24">
        <v>8.0505592999888924E-16</v>
      </c>
      <c r="I17" s="24">
        <v>26.694314100001286</v>
      </c>
      <c r="J17" s="24">
        <v>26.710272390149484</v>
      </c>
      <c r="K17" s="24">
        <v>26.694314100001286</v>
      </c>
      <c r="L17" s="24">
        <v>26.710272390149484</v>
      </c>
    </row>
    <row r="18" spans="1:12" ht="13.8" thickBot="1" x14ac:dyDescent="0.3">
      <c r="A18" s="3" t="e">
        <f>Data!#REF!</f>
        <v>#REF!</v>
      </c>
      <c r="B18" s="3" t="e">
        <f>Data!#REF!</f>
        <v>#REF!</v>
      </c>
      <c r="D18" s="25" t="s">
        <v>33</v>
      </c>
      <c r="E18" s="25">
        <v>-1.8661713820170253E-4</v>
      </c>
      <c r="F18" s="25">
        <v>1.4089855546064951E-4</v>
      </c>
      <c r="G18" s="25">
        <v>-1.3244787186893581</v>
      </c>
      <c r="H18" s="25">
        <v>0.25595013192857918</v>
      </c>
      <c r="I18" s="25">
        <v>-5.7781424283986265E-4</v>
      </c>
      <c r="J18" s="25">
        <v>2.0457996643645762E-4</v>
      </c>
      <c r="K18" s="25">
        <v>-5.7781424283986265E-4</v>
      </c>
      <c r="L18" s="25">
        <v>2.0457996643645762E-4</v>
      </c>
    </row>
    <row r="19" spans="1:12" x14ac:dyDescent="0.25">
      <c r="B19" s="3" t="e">
        <f>Data!#REF!</f>
        <v>#REF!</v>
      </c>
    </row>
    <row r="20" spans="1:12" x14ac:dyDescent="0.25">
      <c r="B20" s="3" t="e">
        <f>Data!#REF!</f>
        <v>#REF!</v>
      </c>
    </row>
    <row r="21" spans="1:12" x14ac:dyDescent="0.25">
      <c r="B21" s="3" t="e">
        <f>Data!#REF!</f>
        <v>#REF!</v>
      </c>
    </row>
    <row r="22" spans="1:12" x14ac:dyDescent="0.25">
      <c r="B22" s="3" t="e">
        <f>Data!#REF!</f>
        <v>#REF!</v>
      </c>
    </row>
    <row r="23" spans="1:12" x14ac:dyDescent="0.25">
      <c r="B23" s="3" t="e">
        <f>Data!#REF!</f>
        <v>#REF!</v>
      </c>
    </row>
    <row r="24" spans="1:12" x14ac:dyDescent="0.25">
      <c r="B24" s="3" t="e">
        <f>Data!#REF!</f>
        <v>#REF!</v>
      </c>
    </row>
    <row r="25" spans="1:12" x14ac:dyDescent="0.25">
      <c r="A25" s="3"/>
      <c r="B25" s="3"/>
    </row>
    <row r="26" spans="1:12" x14ac:dyDescent="0.25">
      <c r="A26" s="3"/>
      <c r="B26" s="3"/>
    </row>
    <row r="27" spans="1:12" x14ac:dyDescent="0.25">
      <c r="A27" s="3"/>
      <c r="B27" s="3"/>
    </row>
    <row r="28" spans="1:12" x14ac:dyDescent="0.25">
      <c r="A28" s="3" t="e">
        <f>Data!C145/Data!F145</f>
        <v>#DIV/0!</v>
      </c>
      <c r="B28" s="3">
        <f>Data!H220</f>
        <v>0</v>
      </c>
    </row>
    <row r="29" spans="1:12" x14ac:dyDescent="0.25">
      <c r="A29" s="3" t="e">
        <f>Data!C146/Data!F146</f>
        <v>#DIV/0!</v>
      </c>
      <c r="B29" s="3">
        <f>Data!H221</f>
        <v>0</v>
      </c>
    </row>
    <row r="30" spans="1:12" x14ac:dyDescent="0.25">
      <c r="A30" s="3" t="e">
        <f>Data!C147/Data!F147</f>
        <v>#DIV/0!</v>
      </c>
      <c r="B30" s="3">
        <f>Data!H222</f>
        <v>0</v>
      </c>
    </row>
    <row r="31" spans="1:12" x14ac:dyDescent="0.25">
      <c r="A31" s="3" t="e">
        <f>Data!C271/Data!F271</f>
        <v>#DIV/0!</v>
      </c>
      <c r="B31" s="3">
        <f>Data!H346</f>
        <v>0</v>
      </c>
    </row>
    <row r="32" spans="1:12" x14ac:dyDescent="0.25">
      <c r="A32" s="3" t="e">
        <f>Data!C272/Data!F272</f>
        <v>#DIV/0!</v>
      </c>
      <c r="B32" s="3">
        <f>Data!H347</f>
        <v>0</v>
      </c>
    </row>
    <row r="33" spans="1:5" x14ac:dyDescent="0.25">
      <c r="A33" s="3" t="e">
        <f>Data!C273/Data!F273</f>
        <v>#DIV/0!</v>
      </c>
      <c r="B33" s="3">
        <f>Data!H348</f>
        <v>0</v>
      </c>
    </row>
    <row r="34" spans="1:5" x14ac:dyDescent="0.25">
      <c r="A34" s="3" t="e">
        <f>Data!C337/Data!F337</f>
        <v>#DIV/0!</v>
      </c>
      <c r="B34" s="3">
        <f>Data!H412</f>
        <v>0</v>
      </c>
    </row>
    <row r="35" spans="1:5" x14ac:dyDescent="0.25">
      <c r="A35" s="3" t="e">
        <f>Data!C338/Data!F338</f>
        <v>#DIV/0!</v>
      </c>
      <c r="B35" s="3">
        <f>Data!H413</f>
        <v>0</v>
      </c>
    </row>
    <row r="36" spans="1:5" x14ac:dyDescent="0.25">
      <c r="A36" s="3" t="e">
        <f>Data!C339/Data!F339</f>
        <v>#DIV/0!</v>
      </c>
      <c r="B36" s="3">
        <f>Data!H414</f>
        <v>0</v>
      </c>
    </row>
    <row r="37" spans="1:5" x14ac:dyDescent="0.25">
      <c r="A37" s="3" t="e">
        <f>Data!C343/Data!F343</f>
        <v>#DIV/0!</v>
      </c>
      <c r="B37" s="3">
        <f>Data!H418</f>
        <v>0</v>
      </c>
    </row>
    <row r="38" spans="1:5" x14ac:dyDescent="0.25">
      <c r="A38" s="3" t="e">
        <f>Data!C344/Data!F344</f>
        <v>#DIV/0!</v>
      </c>
      <c r="B38" s="3">
        <f>Data!H419</f>
        <v>0</v>
      </c>
    </row>
    <row r="39" spans="1:5" x14ac:dyDescent="0.25">
      <c r="A39" s="3" t="e">
        <f>Data!C345/Data!F345</f>
        <v>#DIV/0!</v>
      </c>
      <c r="B39" s="3">
        <f>Data!H420</f>
        <v>0</v>
      </c>
    </row>
    <row r="40" spans="1:5" s="12" customFormat="1" x14ac:dyDescent="0.25"/>
    <row r="41" spans="1:5" x14ac:dyDescent="0.25">
      <c r="A41" s="12" t="s">
        <v>67</v>
      </c>
      <c r="D41" t="s">
        <v>9</v>
      </c>
    </row>
    <row r="42" spans="1:5" ht="13.8" thickBot="1" x14ac:dyDescent="0.3"/>
    <row r="43" spans="1:5" x14ac:dyDescent="0.25">
      <c r="A43" t="s">
        <v>7</v>
      </c>
      <c r="B43" t="s">
        <v>8</v>
      </c>
      <c r="D43" s="14" t="s">
        <v>10</v>
      </c>
      <c r="E43" s="14"/>
    </row>
    <row r="44" spans="1:5" x14ac:dyDescent="0.25">
      <c r="A44" s="3" t="e">
        <f>Data!#REF!/Data!#REF!</f>
        <v>#REF!</v>
      </c>
      <c r="B44" s="3">
        <f>Data!H11</f>
        <v>5.0833333333332575</v>
      </c>
      <c r="D44" t="s">
        <v>11</v>
      </c>
      <c r="E44">
        <v>0.44806264595817802</v>
      </c>
    </row>
    <row r="45" spans="1:5" x14ac:dyDescent="0.25">
      <c r="A45" s="3" t="e">
        <f>Data!#REF!/Data!#REF!</f>
        <v>#REF!</v>
      </c>
      <c r="B45" s="3">
        <f>Data!H12</f>
        <v>5.2166666666665833</v>
      </c>
      <c r="D45" t="s">
        <v>12</v>
      </c>
      <c r="E45">
        <v>0.20076013470304357</v>
      </c>
    </row>
    <row r="46" spans="1:5" x14ac:dyDescent="0.25">
      <c r="A46" s="3" t="e">
        <f>Data!#REF!/Data!#REF!</f>
        <v>#REF!</v>
      </c>
      <c r="B46" s="3">
        <f>Data!H13</f>
        <v>5.3500000000000227</v>
      </c>
      <c r="D46" t="s">
        <v>13</v>
      </c>
      <c r="E46">
        <v>0.16443104991681826</v>
      </c>
    </row>
    <row r="47" spans="1:5" x14ac:dyDescent="0.25">
      <c r="A47" s="3" t="e">
        <f>Data!#REF!/Data!#REF!</f>
        <v>#REF!</v>
      </c>
      <c r="B47" s="3">
        <f>Data!H17</f>
        <v>16.416666666666629</v>
      </c>
      <c r="D47" t="s">
        <v>14</v>
      </c>
      <c r="E47">
        <v>7.7765521730176132E-2</v>
      </c>
    </row>
    <row r="48" spans="1:5" ht="13.8" thickBot="1" x14ac:dyDescent="0.3">
      <c r="A48" s="3" t="e">
        <f>Data!#REF!/Data!#REF!</f>
        <v>#REF!</v>
      </c>
      <c r="B48" s="3">
        <f>Data!H18</f>
        <v>16.549999999999955</v>
      </c>
      <c r="D48" s="5" t="s">
        <v>15</v>
      </c>
      <c r="E48" s="5">
        <v>24</v>
      </c>
    </row>
    <row r="49" spans="1:12" x14ac:dyDescent="0.25">
      <c r="A49" s="3" t="e">
        <f>Data!#REF!/Data!#REF!</f>
        <v>#REF!</v>
      </c>
      <c r="B49" s="3">
        <f>Data!H19</f>
        <v>16.68333333333328</v>
      </c>
    </row>
    <row r="50" spans="1:12" ht="13.8" thickBot="1" x14ac:dyDescent="0.3">
      <c r="A50" s="3" t="e">
        <f>Data!#REF!/Data!#REF!</f>
        <v>#REF!</v>
      </c>
      <c r="B50" s="3" t="e">
        <f>Data!#REF!</f>
        <v>#REF!</v>
      </c>
      <c r="D50" t="s">
        <v>16</v>
      </c>
    </row>
    <row r="51" spans="1:12" x14ac:dyDescent="0.25">
      <c r="A51" s="3" t="e">
        <f>Data!#REF!/Data!#REF!</f>
        <v>#REF!</v>
      </c>
      <c r="B51" s="3" t="e">
        <f>Data!#REF!</f>
        <v>#REF!</v>
      </c>
      <c r="D51" s="13"/>
      <c r="E51" s="13" t="s">
        <v>21</v>
      </c>
      <c r="F51" s="13" t="s">
        <v>22</v>
      </c>
      <c r="G51" s="13" t="s">
        <v>23</v>
      </c>
      <c r="H51" s="13" t="s">
        <v>24</v>
      </c>
      <c r="I51" s="13" t="s">
        <v>25</v>
      </c>
    </row>
    <row r="52" spans="1:12" x14ac:dyDescent="0.25">
      <c r="A52" s="3" t="e">
        <f>Data!#REF!/Data!#REF!</f>
        <v>#REF!</v>
      </c>
      <c r="B52" s="3" t="e">
        <f>Data!#REF!</f>
        <v>#REF!</v>
      </c>
      <c r="D52" t="s">
        <v>17</v>
      </c>
      <c r="E52">
        <v>1</v>
      </c>
      <c r="F52">
        <v>3.3419288644130324E-2</v>
      </c>
      <c r="G52">
        <v>3.3419288644130324E-2</v>
      </c>
      <c r="H52">
        <v>5.5261544815784829</v>
      </c>
      <c r="I52">
        <v>2.8108272850301996E-2</v>
      </c>
    </row>
    <row r="53" spans="1:12" x14ac:dyDescent="0.25">
      <c r="A53" s="3">
        <f>Data!C14/Data!F14</f>
        <v>6.3480164113830398E-12</v>
      </c>
      <c r="B53" s="3" t="e">
        <f>Data!#REF!</f>
        <v>#REF!</v>
      </c>
      <c r="D53" t="s">
        <v>18</v>
      </c>
      <c r="E53">
        <v>22</v>
      </c>
      <c r="F53">
        <v>0.1330444801392629</v>
      </c>
      <c r="G53">
        <v>6.0474763699664954E-3</v>
      </c>
    </row>
    <row r="54" spans="1:12" ht="13.8" thickBot="1" x14ac:dyDescent="0.3">
      <c r="A54" s="3">
        <f>Data!C15/Data!F15</f>
        <v>6.3501671455563879E-12</v>
      </c>
      <c r="B54" s="3" t="e">
        <f>Data!#REF!</f>
        <v>#REF!</v>
      </c>
      <c r="D54" s="5" t="s">
        <v>19</v>
      </c>
      <c r="E54" s="5">
        <v>23</v>
      </c>
      <c r="F54" s="5">
        <v>0.16646376878339322</v>
      </c>
      <c r="G54" s="5"/>
      <c r="H54" s="5"/>
      <c r="I54" s="5"/>
    </row>
    <row r="55" spans="1:12" ht="13.8" thickBot="1" x14ac:dyDescent="0.3">
      <c r="A55" s="3">
        <f>Data!C16/Data!F16</f>
        <v>6.3521640753428484E-12</v>
      </c>
      <c r="B55" s="3" t="e">
        <f>Data!#REF!</f>
        <v>#REF!</v>
      </c>
    </row>
    <row r="56" spans="1:12" x14ac:dyDescent="0.25">
      <c r="A56" s="3">
        <f>Data!C20/Data!F20</f>
        <v>6.2592964824120607E-12</v>
      </c>
      <c r="B56" s="3" t="e">
        <f>Data!#REF!</f>
        <v>#REF!</v>
      </c>
      <c r="D56" s="13"/>
      <c r="E56" s="13" t="s">
        <v>26</v>
      </c>
      <c r="F56" s="13" t="s">
        <v>14</v>
      </c>
      <c r="G56" s="13" t="s">
        <v>27</v>
      </c>
      <c r="H56" s="13" t="s">
        <v>28</v>
      </c>
      <c r="I56" s="13" t="s">
        <v>29</v>
      </c>
      <c r="J56" s="13" t="s">
        <v>30</v>
      </c>
      <c r="K56" s="13" t="s">
        <v>31</v>
      </c>
      <c r="L56" s="13" t="s">
        <v>32</v>
      </c>
    </row>
    <row r="57" spans="1:12" x14ac:dyDescent="0.25">
      <c r="A57" s="3">
        <f>Data!C21/Data!F21</f>
        <v>6.2621781528153932E-12</v>
      </c>
      <c r="B57" s="3" t="e">
        <f>Data!#REF!</f>
        <v>#REF!</v>
      </c>
      <c r="D57" t="s">
        <v>20</v>
      </c>
      <c r="E57">
        <v>51.274999637146173</v>
      </c>
      <c r="F57">
        <v>2.5762051262334978E-2</v>
      </c>
      <c r="G57">
        <v>1990.3306268205445</v>
      </c>
      <c r="H57">
        <v>2.6065397112024056E-59</v>
      </c>
      <c r="I57">
        <v>51.221572412859253</v>
      </c>
      <c r="J57">
        <v>51.328426861433094</v>
      </c>
      <c r="K57">
        <v>51.221572412859253</v>
      </c>
      <c r="L57">
        <v>51.328426861433094</v>
      </c>
    </row>
    <row r="58" spans="1:12" ht="13.8" thickBot="1" x14ac:dyDescent="0.3">
      <c r="A58" s="3">
        <f>Data!C22/Data!F22</f>
        <v>6.2624151231430243E-12</v>
      </c>
      <c r="B58" s="3" t="e">
        <f>Data!#REF!</f>
        <v>#REF!</v>
      </c>
      <c r="D58" s="5" t="s">
        <v>33</v>
      </c>
      <c r="E58" s="5">
        <v>2.6778935169376856E-4</v>
      </c>
      <c r="F58" s="5">
        <v>1.1391523048418451E-4</v>
      </c>
      <c r="G58" s="5">
        <v>2.3507774206799086</v>
      </c>
      <c r="H58" s="5">
        <v>2.8108272850301937E-2</v>
      </c>
      <c r="I58" s="5">
        <v>3.1543623168538615E-5</v>
      </c>
      <c r="J58" s="5">
        <v>5.0403508021899844E-4</v>
      </c>
      <c r="K58" s="5">
        <v>3.1543623168538615E-5</v>
      </c>
      <c r="L58" s="5">
        <v>5.0403508021899844E-4</v>
      </c>
    </row>
    <row r="59" spans="1:12" x14ac:dyDescent="0.25">
      <c r="A59" s="3" t="e">
        <f>Data!#REF!/Data!#REF!</f>
        <v>#REF!</v>
      </c>
      <c r="B59" s="3" t="e">
        <f>Data!#REF!</f>
        <v>#REF!</v>
      </c>
    </row>
    <row r="60" spans="1:12" x14ac:dyDescent="0.25">
      <c r="A60" s="3" t="e">
        <f>Data!#REF!/Data!#REF!</f>
        <v>#REF!</v>
      </c>
      <c r="B60" s="3" t="e">
        <f>Data!#REF!</f>
        <v>#REF!</v>
      </c>
    </row>
    <row r="61" spans="1:12" x14ac:dyDescent="0.25">
      <c r="A61" s="3" t="e">
        <f>Data!#REF!/Data!#REF!</f>
        <v>#REF!</v>
      </c>
      <c r="B61" s="3" t="e">
        <f>Data!#REF!</f>
        <v>#REF!</v>
      </c>
    </row>
    <row r="62" spans="1:12" x14ac:dyDescent="0.25">
      <c r="A62" s="3" t="e">
        <f>Data!#REF!/Data!#REF!</f>
        <v>#REF!</v>
      </c>
      <c r="B62" s="3" t="e">
        <f>Data!#REF!</f>
        <v>#REF!</v>
      </c>
    </row>
    <row r="63" spans="1:12" x14ac:dyDescent="0.25">
      <c r="A63" s="3" t="e">
        <f>Data!#REF!/Data!#REF!</f>
        <v>#REF!</v>
      </c>
      <c r="B63" s="3" t="e">
        <f>Data!#REF!</f>
        <v>#REF!</v>
      </c>
    </row>
    <row r="64" spans="1:12" x14ac:dyDescent="0.25">
      <c r="A64" s="3" t="e">
        <f>Data!#REF!/Data!#REF!</f>
        <v>#REF!</v>
      </c>
      <c r="B64" s="3" t="e">
        <f>Data!#REF!</f>
        <v>#REF!</v>
      </c>
    </row>
    <row r="65" spans="1:2" x14ac:dyDescent="0.25">
      <c r="A65" s="3" t="e">
        <f>Data!#REF!/Data!#REF!</f>
        <v>#REF!</v>
      </c>
      <c r="B65" s="3" t="e">
        <f>Data!#REF!</f>
        <v>#REF!</v>
      </c>
    </row>
    <row r="66" spans="1:2" x14ac:dyDescent="0.25">
      <c r="A66" s="3" t="e">
        <f>Data!#REF!/Data!#REF!</f>
        <v>#REF!</v>
      </c>
      <c r="B66" s="3" t="e">
        <f>Data!#REF!</f>
        <v>#REF!</v>
      </c>
    </row>
    <row r="67" spans="1:2" x14ac:dyDescent="0.25">
      <c r="A67" s="3" t="e">
        <f>Data!#REF!/Data!#REF!</f>
        <v>#REF!</v>
      </c>
      <c r="B67" s="3" t="e">
        <f>Data!#REF!</f>
        <v>#REF!</v>
      </c>
    </row>
    <row r="68" spans="1:2" x14ac:dyDescent="0.25">
      <c r="A68" s="3" t="e">
        <f>Data!C148/Data!F148</f>
        <v>#DIV/0!</v>
      </c>
      <c r="B68" s="3">
        <f>Data!H223</f>
        <v>0</v>
      </c>
    </row>
    <row r="69" spans="1:2" x14ac:dyDescent="0.25">
      <c r="A69" s="3" t="e">
        <f>Data!C149/Data!F149</f>
        <v>#DIV/0!</v>
      </c>
      <c r="B69" s="3">
        <f>Data!H224</f>
        <v>0</v>
      </c>
    </row>
    <row r="70" spans="1:2" x14ac:dyDescent="0.25">
      <c r="A70" s="3" t="e">
        <f>Data!C150/Data!F150</f>
        <v>#DIV/0!</v>
      </c>
      <c r="B70" s="3">
        <f>Data!H225</f>
        <v>0</v>
      </c>
    </row>
    <row r="71" spans="1:2" x14ac:dyDescent="0.25">
      <c r="A71" s="3" t="e">
        <f>Data!C274/Data!F274</f>
        <v>#DIV/0!</v>
      </c>
      <c r="B71" s="3">
        <f>Data!H349</f>
        <v>0</v>
      </c>
    </row>
    <row r="72" spans="1:2" x14ac:dyDescent="0.25">
      <c r="A72" s="3" t="e">
        <f>Data!C275/Data!F275</f>
        <v>#DIV/0!</v>
      </c>
      <c r="B72" s="3">
        <f>Data!H350</f>
        <v>0</v>
      </c>
    </row>
    <row r="73" spans="1:2" x14ac:dyDescent="0.25">
      <c r="A73" s="3" t="e">
        <f>Data!C276/Data!F276</f>
        <v>#DIV/0!</v>
      </c>
      <c r="B73" s="3">
        <f>Data!H351</f>
        <v>0</v>
      </c>
    </row>
    <row r="74" spans="1:2" x14ac:dyDescent="0.25">
      <c r="A74" s="3" t="e">
        <f>Data!C340/Data!F340</f>
        <v>#DIV/0!</v>
      </c>
      <c r="B74" s="3">
        <f>Data!H415</f>
        <v>0</v>
      </c>
    </row>
    <row r="75" spans="1:2" x14ac:dyDescent="0.25">
      <c r="A75" s="3" t="e">
        <f>Data!C341/Data!F341</f>
        <v>#DIV/0!</v>
      </c>
      <c r="B75" s="3">
        <f>Data!H416</f>
        <v>0</v>
      </c>
    </row>
    <row r="76" spans="1:2" x14ac:dyDescent="0.25">
      <c r="A76" s="3" t="e">
        <f>Data!C342/Data!F342</f>
        <v>#DIV/0!</v>
      </c>
      <c r="B76" s="3">
        <f>Data!H417</f>
        <v>0</v>
      </c>
    </row>
    <row r="77" spans="1:2" x14ac:dyDescent="0.25">
      <c r="A77" s="3" t="e">
        <f>Data!C346/Data!F346</f>
        <v>#DIV/0!</v>
      </c>
      <c r="B77" s="3">
        <f>Data!H421</f>
        <v>0</v>
      </c>
    </row>
    <row r="78" spans="1:2" x14ac:dyDescent="0.25">
      <c r="A78" s="3" t="e">
        <f>Data!C347/Data!F347</f>
        <v>#DIV/0!</v>
      </c>
      <c r="B78" s="3">
        <f>Data!H422</f>
        <v>0</v>
      </c>
    </row>
    <row r="79" spans="1:2" x14ac:dyDescent="0.25">
      <c r="A79" s="3" t="e">
        <f>Data!C348/Data!F348</f>
        <v>#DIV/0!</v>
      </c>
      <c r="B79" s="3">
        <f>Data!H423</f>
        <v>0</v>
      </c>
    </row>
    <row r="81" spans="1:12" x14ac:dyDescent="0.25">
      <c r="A81" s="12" t="s">
        <v>68</v>
      </c>
      <c r="D81" t="s">
        <v>9</v>
      </c>
    </row>
    <row r="82" spans="1:12" ht="13.8" thickBot="1" x14ac:dyDescent="0.3"/>
    <row r="83" spans="1:12" x14ac:dyDescent="0.25">
      <c r="A83" t="s">
        <v>34</v>
      </c>
      <c r="B83" t="s">
        <v>35</v>
      </c>
      <c r="D83" s="14" t="s">
        <v>10</v>
      </c>
      <c r="E83" s="14"/>
    </row>
    <row r="84" spans="1:12" x14ac:dyDescent="0.25">
      <c r="A84" s="3" t="e">
        <f>Data!#REF!/Data!#REF!</f>
        <v>#REF!</v>
      </c>
      <c r="B84" s="3">
        <f>Data!H8</f>
        <v>0</v>
      </c>
      <c r="D84" t="s">
        <v>11</v>
      </c>
      <c r="E84">
        <v>4.7939096813220852E-2</v>
      </c>
    </row>
    <row r="85" spans="1:12" x14ac:dyDescent="0.25">
      <c r="A85" s="3" t="e">
        <f>Data!#REF!/Data!#REF!</f>
        <v>#REF!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25">
      <c r="A86" s="3" t="e">
        <f>Data!#REF!/Data!#REF!</f>
        <v>#REF!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25">
      <c r="A87" s="3" t="e">
        <f>Data!#REF!/Data!#REF!</f>
        <v>#REF!</v>
      </c>
      <c r="B87" s="3">
        <f>Data!H14</f>
        <v>9.6833333333332803</v>
      </c>
      <c r="D87" t="s">
        <v>14</v>
      </c>
      <c r="E87">
        <v>5.6283917918550197E-2</v>
      </c>
    </row>
    <row r="88" spans="1:12" ht="13.8" thickBot="1" x14ac:dyDescent="0.3">
      <c r="A88" s="3" t="e">
        <f>Data!#REF!/Data!#REF!</f>
        <v>#REF!</v>
      </c>
      <c r="B88" s="3">
        <f>Data!H15</f>
        <v>9.816666666666606</v>
      </c>
      <c r="D88" s="5" t="s">
        <v>15</v>
      </c>
      <c r="E88" s="5">
        <v>24</v>
      </c>
    </row>
    <row r="89" spans="1:12" x14ac:dyDescent="0.25">
      <c r="A89" s="3" t="e">
        <f>Data!#REF!/Data!#REF!</f>
        <v>#REF!</v>
      </c>
      <c r="B89" s="3">
        <f>Data!H16</f>
        <v>10.033333333333303</v>
      </c>
    </row>
    <row r="90" spans="1:12" ht="13.8" thickBot="1" x14ac:dyDescent="0.3">
      <c r="A90" s="3" t="e">
        <f>Data!#REF!/Data!#REF!</f>
        <v>#REF!</v>
      </c>
      <c r="B90" s="3" t="e">
        <f>Data!#REF!</f>
        <v>#REF!</v>
      </c>
      <c r="D90" t="s">
        <v>16</v>
      </c>
    </row>
    <row r="91" spans="1:12" x14ac:dyDescent="0.25">
      <c r="A91" s="3" t="e">
        <f>Data!#REF!/Data!#REF!</f>
        <v>#REF!</v>
      </c>
      <c r="B91" s="3" t="e">
        <f>Data!#REF!</f>
        <v>#REF!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25">
      <c r="A92" s="3" t="e">
        <f>Data!#REF!/Data!#REF!</f>
        <v>#REF!</v>
      </c>
      <c r="B92" s="3" t="e">
        <f>Data!#REF!</f>
        <v>#REF!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25">
      <c r="A93" s="3">
        <f>Data!G11/Data!F11</f>
        <v>0.46771069290649364</v>
      </c>
      <c r="B93" s="3" t="e">
        <f>Data!#REF!</f>
        <v>#REF!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3.8" thickBot="1" x14ac:dyDescent="0.3">
      <c r="A94" s="3">
        <f>Data!G12/Data!F12</f>
        <v>0.46768443884849653</v>
      </c>
      <c r="B94" s="3" t="e">
        <f>Data!#REF!</f>
        <v>#REF!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3.8" thickBot="1" x14ac:dyDescent="0.3">
      <c r="A95" s="3">
        <f>Data!G13/Data!F13</f>
        <v>0.46774186459772371</v>
      </c>
      <c r="B95" s="3" t="e">
        <f>Data!#REF!</f>
        <v>#REF!</v>
      </c>
    </row>
    <row r="96" spans="1:12" x14ac:dyDescent="0.25">
      <c r="A96" s="3">
        <f>Data!G17/Data!F17</f>
        <v>0.2936062282358925</v>
      </c>
      <c r="B96" s="3" t="e">
        <f>Data!#REF!</f>
        <v>#REF!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25">
      <c r="A97" s="3">
        <f>Data!G18/Data!F18</f>
        <v>0.29347083164276</v>
      </c>
      <c r="B97" s="3" t="e">
        <f>Data!#REF!</f>
        <v>#REF!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3.8" thickBot="1" x14ac:dyDescent="0.3">
      <c r="A98" s="3">
        <f>Data!G19/Data!F19</f>
        <v>0.29337665519297396</v>
      </c>
      <c r="B98" s="3" t="e">
        <f>Data!#REF!</f>
        <v>#REF!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25">
      <c r="A99" s="3" t="e">
        <f>Data!#REF!/Data!#REF!</f>
        <v>#REF!</v>
      </c>
      <c r="B99" s="3" t="e">
        <f>Data!#REF!</f>
        <v>#REF!</v>
      </c>
    </row>
    <row r="100" spans="1:12" x14ac:dyDescent="0.25">
      <c r="A100" s="3" t="e">
        <f>Data!#REF!/Data!#REF!</f>
        <v>#REF!</v>
      </c>
      <c r="B100" s="3" t="e">
        <f>Data!#REF!</f>
        <v>#REF!</v>
      </c>
    </row>
    <row r="101" spans="1:12" x14ac:dyDescent="0.25">
      <c r="A101" s="3" t="e">
        <f>Data!#REF!/Data!#REF!</f>
        <v>#REF!</v>
      </c>
      <c r="B101" s="3" t="e">
        <f>Data!#REF!</f>
        <v>#REF!</v>
      </c>
    </row>
    <row r="102" spans="1:12" x14ac:dyDescent="0.25">
      <c r="A102" s="3" t="e">
        <f>Data!#REF!/Data!#REF!</f>
        <v>#REF!</v>
      </c>
      <c r="B102" s="3" t="e">
        <f>Data!#REF!</f>
        <v>#REF!</v>
      </c>
    </row>
    <row r="103" spans="1:12" x14ac:dyDescent="0.25">
      <c r="A103" s="3" t="e">
        <f>Data!#REF!/Data!#REF!</f>
        <v>#REF!</v>
      </c>
      <c r="B103" s="3" t="e">
        <f>Data!#REF!</f>
        <v>#REF!</v>
      </c>
    </row>
    <row r="104" spans="1:12" x14ac:dyDescent="0.25">
      <c r="A104" s="3" t="e">
        <f>Data!#REF!/Data!#REF!</f>
        <v>#REF!</v>
      </c>
      <c r="B104" s="3" t="e">
        <f>Data!#REF!</f>
        <v>#REF!</v>
      </c>
    </row>
    <row r="105" spans="1:12" x14ac:dyDescent="0.25">
      <c r="A105" s="3" t="e">
        <f>Data!#REF!/Data!#REF!</f>
        <v>#REF!</v>
      </c>
      <c r="B105" s="3" t="e">
        <f>Data!#REF!</f>
        <v>#REF!</v>
      </c>
    </row>
    <row r="106" spans="1:12" x14ac:dyDescent="0.25">
      <c r="A106" s="3" t="e">
        <f>Data!#REF!/Data!#REF!</f>
        <v>#REF!</v>
      </c>
      <c r="B106" s="3" t="e">
        <f>Data!#REF!</f>
        <v>#REF!</v>
      </c>
    </row>
    <row r="107" spans="1:12" x14ac:dyDescent="0.25">
      <c r="A107" s="3" t="e">
        <f>Data!#REF!/Data!#REF!</f>
        <v>#REF!</v>
      </c>
      <c r="B107" s="3" t="e">
        <f>Data!#REF!</f>
        <v>#REF!</v>
      </c>
    </row>
    <row r="108" spans="1:12" x14ac:dyDescent="0.25">
      <c r="A108" s="3" t="e">
        <f>Data!G145/Data!F145</f>
        <v>#DIV/0!</v>
      </c>
      <c r="B108" s="3">
        <f>Data!H220</f>
        <v>0</v>
      </c>
    </row>
    <row r="109" spans="1:12" x14ac:dyDescent="0.25">
      <c r="A109" s="3" t="e">
        <f>Data!G146/Data!F146</f>
        <v>#DIV/0!</v>
      </c>
      <c r="B109" s="3">
        <f>Data!H221</f>
        <v>0</v>
      </c>
    </row>
    <row r="110" spans="1:12" x14ac:dyDescent="0.25">
      <c r="A110" s="3" t="e">
        <f>Data!G147/Data!F147</f>
        <v>#DIV/0!</v>
      </c>
      <c r="B110" s="3">
        <f>Data!H222</f>
        <v>0</v>
      </c>
    </row>
    <row r="111" spans="1:12" x14ac:dyDescent="0.25">
      <c r="A111" s="3" t="e">
        <f>Data!G271/Data!F271</f>
        <v>#DIV/0!</v>
      </c>
      <c r="B111" s="3">
        <f>Data!H346</f>
        <v>0</v>
      </c>
    </row>
    <row r="112" spans="1:12" x14ac:dyDescent="0.25">
      <c r="A112" s="3" t="e">
        <f>Data!G272/Data!F272</f>
        <v>#DIV/0!</v>
      </c>
      <c r="B112" s="3">
        <f>Data!H347</f>
        <v>0</v>
      </c>
    </row>
    <row r="113" spans="1:5" x14ac:dyDescent="0.25">
      <c r="A113" s="3" t="e">
        <f>Data!G273/Data!F273</f>
        <v>#DIV/0!</v>
      </c>
      <c r="B113" s="3">
        <f>Data!H348</f>
        <v>0</v>
      </c>
    </row>
    <row r="114" spans="1:5" x14ac:dyDescent="0.25">
      <c r="A114" s="3" t="e">
        <f>Data!G337/Data!F337</f>
        <v>#DIV/0!</v>
      </c>
      <c r="B114" s="3">
        <f>Data!H412</f>
        <v>0</v>
      </c>
    </row>
    <row r="115" spans="1:5" x14ac:dyDescent="0.25">
      <c r="A115" s="3" t="e">
        <f>Data!G338/Data!F338</f>
        <v>#DIV/0!</v>
      </c>
      <c r="B115" s="3">
        <f>Data!H413</f>
        <v>0</v>
      </c>
    </row>
    <row r="116" spans="1:5" x14ac:dyDescent="0.25">
      <c r="A116" s="3" t="e">
        <f>Data!G339/Data!F339</f>
        <v>#DIV/0!</v>
      </c>
      <c r="B116" s="3">
        <f>Data!H414</f>
        <v>0</v>
      </c>
    </row>
    <row r="117" spans="1:5" x14ac:dyDescent="0.25">
      <c r="A117" s="3" t="e">
        <f>Data!G343/Data!F343</f>
        <v>#DIV/0!</v>
      </c>
      <c r="B117" s="3">
        <f>Data!H418</f>
        <v>0</v>
      </c>
    </row>
    <row r="118" spans="1:5" x14ac:dyDescent="0.25">
      <c r="A118" s="3" t="e">
        <f>Data!G344/Data!F344</f>
        <v>#DIV/0!</v>
      </c>
      <c r="B118" s="3">
        <f>Data!H419</f>
        <v>0</v>
      </c>
    </row>
    <row r="119" spans="1:5" x14ac:dyDescent="0.25">
      <c r="A119" s="3" t="e">
        <f>Data!G345/Data!F345</f>
        <v>#DIV/0!</v>
      </c>
      <c r="B119" s="3">
        <f>Data!H420</f>
        <v>0</v>
      </c>
    </row>
    <row r="121" spans="1:5" x14ac:dyDescent="0.25">
      <c r="A121" s="12" t="s">
        <v>69</v>
      </c>
      <c r="D121" t="s">
        <v>9</v>
      </c>
    </row>
    <row r="122" spans="1:5" ht="13.8" thickBot="1" x14ac:dyDescent="0.3"/>
    <row r="123" spans="1:5" x14ac:dyDescent="0.25">
      <c r="A123" t="s">
        <v>34</v>
      </c>
      <c r="B123" t="s">
        <v>8</v>
      </c>
      <c r="D123" s="14" t="s">
        <v>10</v>
      </c>
      <c r="E123" s="14"/>
    </row>
    <row r="124" spans="1:5" x14ac:dyDescent="0.25">
      <c r="A124" s="3" t="e">
        <f>Data!#REF!/Data!#REF!</f>
        <v>#REF!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25">
      <c r="A125" s="3" t="e">
        <f>Data!#REF!/Data!#REF!</f>
        <v>#REF!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25">
      <c r="A126" s="3" t="e">
        <f>Data!#REF!/Data!#REF!</f>
        <v>#REF!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25">
      <c r="A127" s="3" t="e">
        <f>Data!#REF!/Data!#REF!</f>
        <v>#REF!</v>
      </c>
      <c r="B127" s="3">
        <f>Data!H17</f>
        <v>16.416666666666629</v>
      </c>
      <c r="D127" t="s">
        <v>14</v>
      </c>
      <c r="E127">
        <v>4.0535840083857903E-2</v>
      </c>
    </row>
    <row r="128" spans="1:5" ht="13.8" thickBot="1" x14ac:dyDescent="0.3">
      <c r="A128" s="3" t="e">
        <f>Data!#REF!/Data!#REF!</f>
        <v>#REF!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25">
      <c r="A129" s="3" t="e">
        <f>Data!#REF!/Data!#REF!</f>
        <v>#REF!</v>
      </c>
      <c r="B129" s="3">
        <f>Data!H19</f>
        <v>16.68333333333328</v>
      </c>
    </row>
    <row r="130" spans="1:12" ht="13.8" thickBot="1" x14ac:dyDescent="0.3">
      <c r="A130" s="3" t="e">
        <f>Data!#REF!/Data!#REF!</f>
        <v>#REF!</v>
      </c>
      <c r="B130" s="3" t="e">
        <f>Data!#REF!</f>
        <v>#REF!</v>
      </c>
      <c r="D130" t="s">
        <v>16</v>
      </c>
    </row>
    <row r="131" spans="1:12" x14ac:dyDescent="0.25">
      <c r="A131" s="3" t="e">
        <f>Data!#REF!/Data!#REF!</f>
        <v>#REF!</v>
      </c>
      <c r="B131" s="3" t="e">
        <f>Data!#REF!</f>
        <v>#REF!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25">
      <c r="A132" s="3" t="e">
        <f>Data!#REF!/Data!#REF!</f>
        <v>#REF!</v>
      </c>
      <c r="B132" s="3" t="e">
        <f>Data!#REF!</f>
        <v>#REF!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25">
      <c r="A133" s="3">
        <f>Data!G14/Data!F14</f>
        <v>0.35230362623600514</v>
      </c>
      <c r="B133" s="3" t="e">
        <f>Data!#REF!</f>
        <v>#REF!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3.8" thickBot="1" x14ac:dyDescent="0.3">
      <c r="A134" s="3">
        <f>Data!G15/Data!F15</f>
        <v>0.35224947732075174</v>
      </c>
      <c r="B134" s="3" t="e">
        <f>Data!#REF!</f>
        <v>#REF!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3.8" thickBot="1" x14ac:dyDescent="0.3">
      <c r="A135" s="3">
        <f>Data!G16/Data!F16</f>
        <v>0.35221331732937711</v>
      </c>
      <c r="B135" s="3" t="e">
        <f>Data!#REF!</f>
        <v>#REF!</v>
      </c>
    </row>
    <row r="136" spans="1:12" x14ac:dyDescent="0.25">
      <c r="A136" s="3">
        <f>Data!G20/Data!F20</f>
        <v>0.34459898751643192</v>
      </c>
      <c r="B136" s="3" t="e">
        <f>Data!#REF!</f>
        <v>#REF!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25">
      <c r="A137" s="3">
        <f>Data!G21/Data!F21</f>
        <v>0.34467265035700695</v>
      </c>
      <c r="B137" s="3" t="e">
        <f>Data!#REF!</f>
        <v>#REF!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3.8" thickBot="1" x14ac:dyDescent="0.3">
      <c r="A138" s="3">
        <f>Data!G22/Data!F22</f>
        <v>0.34469582365386175</v>
      </c>
      <c r="B138" s="3" t="e">
        <f>Data!#REF!</f>
        <v>#REF!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25">
      <c r="A139" s="3" t="e">
        <f>Data!#REF!/Data!#REF!</f>
        <v>#REF!</v>
      </c>
      <c r="B139" s="3" t="e">
        <f>Data!#REF!</f>
        <v>#REF!</v>
      </c>
    </row>
    <row r="140" spans="1:12" x14ac:dyDescent="0.25">
      <c r="A140" s="3" t="e">
        <f>Data!#REF!/Data!#REF!</f>
        <v>#REF!</v>
      </c>
      <c r="B140" s="3" t="e">
        <f>Data!#REF!</f>
        <v>#REF!</v>
      </c>
    </row>
    <row r="141" spans="1:12" x14ac:dyDescent="0.25">
      <c r="A141" s="3" t="e">
        <f>Data!#REF!/Data!#REF!</f>
        <v>#REF!</v>
      </c>
      <c r="B141" s="3" t="e">
        <f>Data!#REF!</f>
        <v>#REF!</v>
      </c>
    </row>
    <row r="142" spans="1:12" x14ac:dyDescent="0.25">
      <c r="A142" s="3" t="e">
        <f>Data!#REF!/Data!#REF!</f>
        <v>#REF!</v>
      </c>
      <c r="B142" s="3" t="e">
        <f>Data!#REF!</f>
        <v>#REF!</v>
      </c>
    </row>
    <row r="143" spans="1:12" x14ac:dyDescent="0.25">
      <c r="A143" s="3" t="e">
        <f>Data!#REF!/Data!#REF!</f>
        <v>#REF!</v>
      </c>
      <c r="B143" s="3" t="e">
        <f>Data!#REF!</f>
        <v>#REF!</v>
      </c>
    </row>
    <row r="144" spans="1:12" x14ac:dyDescent="0.25">
      <c r="A144" s="3" t="e">
        <f>Data!#REF!/Data!#REF!</f>
        <v>#REF!</v>
      </c>
      <c r="B144" s="3" t="e">
        <f>Data!#REF!</f>
        <v>#REF!</v>
      </c>
    </row>
    <row r="145" spans="1:2" x14ac:dyDescent="0.25">
      <c r="A145" s="3" t="e">
        <f>Data!#REF!/Data!#REF!</f>
        <v>#REF!</v>
      </c>
      <c r="B145" s="3" t="e">
        <f>Data!#REF!</f>
        <v>#REF!</v>
      </c>
    </row>
    <row r="146" spans="1:2" x14ac:dyDescent="0.25">
      <c r="A146" s="3" t="e">
        <f>Data!#REF!/Data!#REF!</f>
        <v>#REF!</v>
      </c>
      <c r="B146" s="3" t="e">
        <f>Data!#REF!</f>
        <v>#REF!</v>
      </c>
    </row>
    <row r="147" spans="1:2" x14ac:dyDescent="0.25">
      <c r="A147" s="3" t="e">
        <f>Data!#REF!/Data!#REF!</f>
        <v>#REF!</v>
      </c>
      <c r="B147" s="3" t="e">
        <f>Data!#REF!</f>
        <v>#REF!</v>
      </c>
    </row>
    <row r="148" spans="1:2" x14ac:dyDescent="0.25">
      <c r="A148" s="3" t="e">
        <f>Data!G148/Data!F148</f>
        <v>#DIV/0!</v>
      </c>
      <c r="B148" s="3">
        <f>Data!H223</f>
        <v>0</v>
      </c>
    </row>
    <row r="149" spans="1:2" x14ac:dyDescent="0.25">
      <c r="A149" s="3" t="e">
        <f>Data!G149/Data!F149</f>
        <v>#DIV/0!</v>
      </c>
      <c r="B149" s="3">
        <f>Data!H224</f>
        <v>0</v>
      </c>
    </row>
    <row r="150" spans="1:2" x14ac:dyDescent="0.25">
      <c r="A150" s="3" t="e">
        <f>Data!G150/Data!F150</f>
        <v>#DIV/0!</v>
      </c>
      <c r="B150" s="3">
        <f>Data!H225</f>
        <v>0</v>
      </c>
    </row>
    <row r="151" spans="1:2" x14ac:dyDescent="0.25">
      <c r="A151" s="3" t="e">
        <f>Data!G274/Data!F274</f>
        <v>#DIV/0!</v>
      </c>
      <c r="B151" s="3">
        <f>Data!H349</f>
        <v>0</v>
      </c>
    </row>
    <row r="152" spans="1:2" x14ac:dyDescent="0.25">
      <c r="A152" s="3" t="e">
        <f>Data!G275/Data!F275</f>
        <v>#DIV/0!</v>
      </c>
      <c r="B152" s="3">
        <f>Data!H350</f>
        <v>0</v>
      </c>
    </row>
    <row r="153" spans="1:2" x14ac:dyDescent="0.25">
      <c r="A153" s="3" t="e">
        <f>Data!G276/Data!F276</f>
        <v>#DIV/0!</v>
      </c>
      <c r="B153" s="3">
        <f>Data!H351</f>
        <v>0</v>
      </c>
    </row>
    <row r="154" spans="1:2" x14ac:dyDescent="0.25">
      <c r="A154" s="3" t="e">
        <f>Data!G340/Data!F340</f>
        <v>#DIV/0!</v>
      </c>
      <c r="B154" s="3">
        <f>Data!H415</f>
        <v>0</v>
      </c>
    </row>
    <row r="155" spans="1:2" x14ac:dyDescent="0.25">
      <c r="A155" s="3" t="e">
        <f>Data!G341/Data!F341</f>
        <v>#DIV/0!</v>
      </c>
      <c r="B155" s="3">
        <f>Data!H416</f>
        <v>0</v>
      </c>
    </row>
    <row r="156" spans="1:2" x14ac:dyDescent="0.25">
      <c r="A156" s="3" t="e">
        <f>Data!G342/Data!F342</f>
        <v>#DIV/0!</v>
      </c>
      <c r="B156" s="3">
        <f>Data!H417</f>
        <v>0</v>
      </c>
    </row>
    <row r="157" spans="1:2" x14ac:dyDescent="0.25">
      <c r="A157" s="3" t="e">
        <f>Data!G346/Data!F346</f>
        <v>#DIV/0!</v>
      </c>
      <c r="B157" s="3">
        <f>Data!H421</f>
        <v>0</v>
      </c>
    </row>
    <row r="158" spans="1:2" x14ac:dyDescent="0.25">
      <c r="A158" s="3" t="e">
        <f>Data!G347/Data!F347</f>
        <v>#DIV/0!</v>
      </c>
      <c r="B158" s="3">
        <f>Data!H422</f>
        <v>0</v>
      </c>
    </row>
    <row r="159" spans="1:2" x14ac:dyDescent="0.25">
      <c r="A159" s="3" t="e">
        <f>Data!G348/Data!F348</f>
        <v>#DIV/0!</v>
      </c>
      <c r="B159" s="3">
        <f>Data!H423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4"/>
  <sheetViews>
    <sheetView topLeftCell="F1" zoomScale="120" zoomScaleNormal="120" workbookViewId="0">
      <selection activeCell="K31" sqref="K31"/>
    </sheetView>
  </sheetViews>
  <sheetFormatPr defaultColWidth="8.77734375" defaultRowHeight="13.2" x14ac:dyDescent="0.25"/>
  <cols>
    <col min="1" max="1" width="20.6640625" customWidth="1"/>
    <col min="11" max="11" width="10.77734375" customWidth="1"/>
    <col min="12" max="12" width="10.44140625" customWidth="1"/>
    <col min="13" max="13" width="10.77734375" customWidth="1"/>
    <col min="14" max="14" width="10.44140625" customWidth="1"/>
    <col min="15" max="15" width="25.109375" style="4" customWidth="1"/>
  </cols>
  <sheetData>
    <row r="1" spans="1:20" ht="15.6" x14ac:dyDescent="0.35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.8" x14ac:dyDescent="0.35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0.30486088424199309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2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26.702293245075385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2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-1.8661713820170253E-4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25">
      <c r="F5" s="4"/>
      <c r="K5" s="3"/>
      <c r="L5" s="3"/>
      <c r="M5" s="3"/>
      <c r="N5" s="3"/>
      <c r="Q5" s="3"/>
      <c r="R5" s="3"/>
      <c r="S5" s="3"/>
      <c r="T5" s="3"/>
    </row>
    <row r="6" spans="1:20" x14ac:dyDescent="0.25">
      <c r="A6" s="6" t="s">
        <v>44</v>
      </c>
      <c r="B6" t="e">
        <f>(Regs!E57+Regs!E58*(Data!#REF!/2))-(Regs!E17+Regs!E18*(Data!#REF!/2))</f>
        <v>#REF!</v>
      </c>
      <c r="K6" s="3"/>
      <c r="L6" s="3"/>
      <c r="M6" s="3"/>
      <c r="N6" s="3"/>
      <c r="Q6" s="3"/>
      <c r="R6" s="3"/>
      <c r="S6" s="3"/>
      <c r="T6" s="3"/>
    </row>
    <row r="7" spans="1:20" x14ac:dyDescent="0.25">
      <c r="A7" s="7" t="s">
        <v>45</v>
      </c>
      <c r="B7" s="3" t="e">
        <f>AVERAGE(D13:D15,D19:D21,D61:D63,D91:D93,D97:D99,D157:D159,D217:D219,D223:D225)</f>
        <v>#REF!</v>
      </c>
      <c r="C7" s="3" t="e">
        <f>AVERAGE(F13:F15,F19:F21,F61:F63,F91:F93,F97:F99,F157:F159,F217:F219,F223:F225)</f>
        <v>#REF!</v>
      </c>
      <c r="K7" s="3"/>
      <c r="L7" s="3"/>
      <c r="M7" s="3"/>
      <c r="N7" s="3"/>
      <c r="Q7" s="3"/>
      <c r="R7" s="3"/>
      <c r="S7" s="3"/>
      <c r="T7" s="3"/>
    </row>
    <row r="8" spans="1:20" x14ac:dyDescent="0.25">
      <c r="A8" s="7" t="s">
        <v>46</v>
      </c>
      <c r="B8" t="e">
        <f>B6*B7</f>
        <v>#REF!</v>
      </c>
      <c r="K8" s="3"/>
      <c r="L8" s="3"/>
      <c r="M8" s="3"/>
      <c r="N8" s="3"/>
      <c r="Q8" s="3"/>
      <c r="R8" s="3"/>
      <c r="S8" s="3"/>
      <c r="T8" s="3"/>
    </row>
    <row r="9" spans="1:20" x14ac:dyDescent="0.25">
      <c r="A9" s="7" t="s">
        <v>47</v>
      </c>
      <c r="B9" t="e">
        <f>B8/(B4-B3)</f>
        <v>#REF!</v>
      </c>
      <c r="K9" s="3"/>
      <c r="L9" s="3"/>
      <c r="M9" s="3"/>
      <c r="N9" s="3"/>
      <c r="Q9" s="3"/>
      <c r="R9" s="3"/>
      <c r="S9" s="3"/>
      <c r="T9" s="3"/>
    </row>
    <row r="10" spans="1:20" x14ac:dyDescent="0.25">
      <c r="A10" s="7"/>
      <c r="K10" s="3"/>
      <c r="M10" s="3"/>
    </row>
    <row r="11" spans="1:20" x14ac:dyDescent="0.25">
      <c r="E11" t="s">
        <v>48</v>
      </c>
      <c r="H11" s="8"/>
      <c r="J11" t="s">
        <v>36</v>
      </c>
    </row>
    <row r="12" spans="1:20" ht="15.6" x14ac:dyDescent="0.35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25">
      <c r="A13" t="e">
        <f>Data!#REF!</f>
        <v>#REF!</v>
      </c>
      <c r="B13" s="3">
        <f>Data!H8</f>
        <v>0</v>
      </c>
      <c r="C13" s="3" t="e">
        <f>Data!#REF!/Data!#REF!</f>
        <v>#REF!</v>
      </c>
      <c r="D13" s="3" t="e">
        <f>B$3/C13</f>
        <v>#REF!</v>
      </c>
      <c r="E13" s="3" t="e">
        <f>Data!#REF!/Data!#REF!</f>
        <v>#REF!</v>
      </c>
      <c r="F13" s="3" t="e">
        <f>C$3/E13</f>
        <v>#REF!</v>
      </c>
      <c r="G13" s="3" t="e">
        <f>C13-(G$3+G$4*B13)</f>
        <v>#REF!</v>
      </c>
      <c r="H13" s="10" t="e">
        <f>E13-(H$3+H$4*B13)</f>
        <v>#REF!</v>
      </c>
      <c r="I13" s="3" t="e">
        <f>G13*(B$7/B$9)+B$3</f>
        <v>#REF!</v>
      </c>
      <c r="J13" s="3" t="e">
        <f>H13*(C$7)+C$3</f>
        <v>#REF!</v>
      </c>
      <c r="K13" s="3" t="e">
        <f>I13*D$3</f>
        <v>#REF!</v>
      </c>
      <c r="L13" s="3" t="e">
        <f>J13*D$3</f>
        <v>#REF!</v>
      </c>
      <c r="O13" s="4" t="e">
        <f>Data!#REF!</f>
        <v>#REF!</v>
      </c>
    </row>
    <row r="14" spans="1:20" x14ac:dyDescent="0.25">
      <c r="B14" s="3">
        <f>Data!H9</f>
        <v>0.13333333333332575</v>
      </c>
      <c r="C14" s="3" t="e">
        <f>Data!#REF!/Data!#REF!</f>
        <v>#REF!</v>
      </c>
      <c r="D14" s="3" t="e">
        <f>B$3/C14</f>
        <v>#REF!</v>
      </c>
      <c r="E14" s="3" t="e">
        <f>Data!#REF!/Data!#REF!</f>
        <v>#REF!</v>
      </c>
      <c r="F14" s="3" t="e">
        <f>C$3/E14</f>
        <v>#REF!</v>
      </c>
      <c r="G14" s="3" t="e">
        <f t="shared" ref="G14:G77" si="0">C14-(G$3+G$4*B14)</f>
        <v>#REF!</v>
      </c>
      <c r="H14" s="10" t="e">
        <f t="shared" ref="H14:H77" si="1">E14-(H$3+H$4*B14)</f>
        <v>#REF!</v>
      </c>
      <c r="I14" s="3" t="e">
        <f t="shared" ref="I14:I77" si="2">G14*(B$7/B$9)+B$3</f>
        <v>#REF!</v>
      </c>
      <c r="J14" s="3" t="e">
        <f t="shared" ref="J14:J77" si="3">H14*(C$7)+C$3</f>
        <v>#REF!</v>
      </c>
      <c r="K14" s="3" t="e">
        <f t="shared" ref="K14:K77" si="4">I14*D$3</f>
        <v>#REF!</v>
      </c>
      <c r="L14" s="3" t="e">
        <f t="shared" ref="L14:L77" si="5">J14*D$3</f>
        <v>#REF!</v>
      </c>
    </row>
    <row r="15" spans="1:20" x14ac:dyDescent="0.25">
      <c r="B15" s="3">
        <f>Data!H10</f>
        <v>0.29999999999995453</v>
      </c>
      <c r="C15" s="3" t="e">
        <f>Data!#REF!/Data!#REF!</f>
        <v>#REF!</v>
      </c>
      <c r="D15" s="3" t="e">
        <f>B$3/C15</f>
        <v>#REF!</v>
      </c>
      <c r="E15" s="3" t="e">
        <f>Data!#REF!/Data!#REF!</f>
        <v>#REF!</v>
      </c>
      <c r="F15" s="3" t="e">
        <f>C$3/E15</f>
        <v>#REF!</v>
      </c>
      <c r="G15" s="3" t="e">
        <f t="shared" si="0"/>
        <v>#REF!</v>
      </c>
      <c r="H15" s="10" t="e">
        <f t="shared" si="1"/>
        <v>#REF!</v>
      </c>
      <c r="I15" s="3" t="e">
        <f t="shared" si="2"/>
        <v>#REF!</v>
      </c>
      <c r="J15" s="3" t="e">
        <f t="shared" si="3"/>
        <v>#REF!</v>
      </c>
      <c r="K15" s="3" t="e">
        <f t="shared" si="4"/>
        <v>#REF!</v>
      </c>
      <c r="L15" s="3" t="e">
        <f t="shared" si="5"/>
        <v>#REF!</v>
      </c>
    </row>
    <row r="16" spans="1:20" x14ac:dyDescent="0.25">
      <c r="A16" t="e">
        <f>Data!#REF!</f>
        <v>#REF!</v>
      </c>
      <c r="B16" s="3">
        <f>Data!H11</f>
        <v>5.0833333333332575</v>
      </c>
      <c r="C16" s="3" t="e">
        <f>Data!#REF!/Data!#REF!</f>
        <v>#REF!</v>
      </c>
      <c r="D16" s="3" t="e">
        <f>B$4/C16</f>
        <v>#REF!</v>
      </c>
      <c r="E16" s="3" t="e">
        <f>Data!#REF!/Data!#REF!</f>
        <v>#REF!</v>
      </c>
      <c r="F16" s="3" t="e">
        <f>C$4/E16</f>
        <v>#REF!</v>
      </c>
      <c r="G16" s="3" t="e">
        <f t="shared" si="0"/>
        <v>#REF!</v>
      </c>
      <c r="H16" s="10" t="e">
        <f t="shared" si="1"/>
        <v>#REF!</v>
      </c>
      <c r="I16" s="3" t="e">
        <f t="shared" si="2"/>
        <v>#REF!</v>
      </c>
      <c r="J16" s="3" t="e">
        <f t="shared" si="3"/>
        <v>#REF!</v>
      </c>
      <c r="K16" s="3" t="e">
        <f t="shared" si="4"/>
        <v>#REF!</v>
      </c>
      <c r="L16" s="3" t="e">
        <f t="shared" si="5"/>
        <v>#REF!</v>
      </c>
      <c r="O16" s="4" t="e">
        <f>Data!#REF!</f>
        <v>#REF!</v>
      </c>
    </row>
    <row r="17" spans="1:15" x14ac:dyDescent="0.25">
      <c r="B17" s="3">
        <f>Data!H12</f>
        <v>5.2166666666665833</v>
      </c>
      <c r="C17" s="3" t="e">
        <f>Data!#REF!/Data!#REF!</f>
        <v>#REF!</v>
      </c>
      <c r="D17" s="3" t="e">
        <f>B$4/C17</f>
        <v>#REF!</v>
      </c>
      <c r="E17" s="3" t="e">
        <f>Data!#REF!/Data!#REF!</f>
        <v>#REF!</v>
      </c>
      <c r="F17" s="3" t="e">
        <f>C$4/E17</f>
        <v>#REF!</v>
      </c>
      <c r="G17" s="3" t="e">
        <f t="shared" si="0"/>
        <v>#REF!</v>
      </c>
      <c r="H17" s="10" t="e">
        <f t="shared" si="1"/>
        <v>#REF!</v>
      </c>
      <c r="I17" s="3" t="e">
        <f t="shared" si="2"/>
        <v>#REF!</v>
      </c>
      <c r="J17" s="3" t="e">
        <f t="shared" si="3"/>
        <v>#REF!</v>
      </c>
      <c r="K17" s="3" t="e">
        <f t="shared" si="4"/>
        <v>#REF!</v>
      </c>
      <c r="L17" s="3" t="e">
        <f t="shared" si="5"/>
        <v>#REF!</v>
      </c>
    </row>
    <row r="18" spans="1:15" x14ac:dyDescent="0.25">
      <c r="B18" s="3">
        <f>Data!H13</f>
        <v>5.3500000000000227</v>
      </c>
      <c r="C18" s="3" t="e">
        <f>Data!#REF!/Data!#REF!</f>
        <v>#REF!</v>
      </c>
      <c r="D18" s="3" t="e">
        <f>B$4/C18</f>
        <v>#REF!</v>
      </c>
      <c r="E18" s="3" t="e">
        <f>Data!#REF!/Data!#REF!</f>
        <v>#REF!</v>
      </c>
      <c r="F18" s="3" t="e">
        <f>C$4/E18</f>
        <v>#REF!</v>
      </c>
      <c r="G18" s="3" t="e">
        <f t="shared" si="0"/>
        <v>#REF!</v>
      </c>
      <c r="H18" s="10" t="e">
        <f t="shared" si="1"/>
        <v>#REF!</v>
      </c>
      <c r="I18" s="3" t="e">
        <f t="shared" si="2"/>
        <v>#REF!</v>
      </c>
      <c r="J18" s="3" t="e">
        <f t="shared" si="3"/>
        <v>#REF!</v>
      </c>
      <c r="K18" s="3" t="e">
        <f t="shared" si="4"/>
        <v>#REF!</v>
      </c>
      <c r="L18" s="3" t="e">
        <f t="shared" si="5"/>
        <v>#REF!</v>
      </c>
    </row>
    <row r="19" spans="1:15" x14ac:dyDescent="0.25">
      <c r="A19" t="e">
        <f>Data!#REF!</f>
        <v>#REF!</v>
      </c>
      <c r="B19" s="3">
        <f>Data!H14</f>
        <v>9.6833333333332803</v>
      </c>
      <c r="C19" s="3" t="e">
        <f>Data!#REF!/Data!#REF!</f>
        <v>#REF!</v>
      </c>
      <c r="D19" s="3" t="e">
        <f>B$3/C19</f>
        <v>#REF!</v>
      </c>
      <c r="E19" s="3" t="e">
        <f>Data!#REF!/Data!#REF!</f>
        <v>#REF!</v>
      </c>
      <c r="F19" s="3" t="e">
        <f>C$3/E19</f>
        <v>#REF!</v>
      </c>
      <c r="G19" s="3" t="e">
        <f t="shared" si="0"/>
        <v>#REF!</v>
      </c>
      <c r="H19" s="10" t="e">
        <f t="shared" si="1"/>
        <v>#REF!</v>
      </c>
      <c r="I19" s="3" t="e">
        <f t="shared" si="2"/>
        <v>#REF!</v>
      </c>
      <c r="J19" s="3" t="e">
        <f t="shared" si="3"/>
        <v>#REF!</v>
      </c>
      <c r="K19" s="3" t="e">
        <f t="shared" si="4"/>
        <v>#REF!</v>
      </c>
      <c r="L19" s="3" t="e">
        <f t="shared" si="5"/>
        <v>#REF!</v>
      </c>
      <c r="O19" s="4" t="e">
        <f>Data!#REF!</f>
        <v>#REF!</v>
      </c>
    </row>
    <row r="20" spans="1:15" x14ac:dyDescent="0.25">
      <c r="B20" s="3">
        <f>Data!H15</f>
        <v>9.816666666666606</v>
      </c>
      <c r="C20" s="3" t="e">
        <f>Data!#REF!/Data!#REF!</f>
        <v>#REF!</v>
      </c>
      <c r="D20" s="3" t="e">
        <f>B$3/C20</f>
        <v>#REF!</v>
      </c>
      <c r="E20" s="3" t="e">
        <f>Data!#REF!/Data!#REF!</f>
        <v>#REF!</v>
      </c>
      <c r="F20" s="3" t="e">
        <f>C$3/E20</f>
        <v>#REF!</v>
      </c>
      <c r="G20" s="3" t="e">
        <f t="shared" si="0"/>
        <v>#REF!</v>
      </c>
      <c r="H20" s="10" t="e">
        <f t="shared" si="1"/>
        <v>#REF!</v>
      </c>
      <c r="I20" s="3" t="e">
        <f t="shared" si="2"/>
        <v>#REF!</v>
      </c>
      <c r="J20" s="3" t="e">
        <f t="shared" si="3"/>
        <v>#REF!</v>
      </c>
      <c r="K20" s="3" t="e">
        <f t="shared" si="4"/>
        <v>#REF!</v>
      </c>
      <c r="L20" s="3" t="e">
        <f t="shared" si="5"/>
        <v>#REF!</v>
      </c>
    </row>
    <row r="21" spans="1:15" x14ac:dyDescent="0.25">
      <c r="B21" s="3">
        <f>Data!H16</f>
        <v>10.033333333333303</v>
      </c>
      <c r="C21" s="3" t="e">
        <f>Data!#REF!/Data!#REF!</f>
        <v>#REF!</v>
      </c>
      <c r="D21" s="3" t="e">
        <f>B$3/C21</f>
        <v>#REF!</v>
      </c>
      <c r="E21" s="3" t="e">
        <f>Data!#REF!/Data!#REF!</f>
        <v>#REF!</v>
      </c>
      <c r="F21" s="3" t="e">
        <f>C$3/E21</f>
        <v>#REF!</v>
      </c>
      <c r="G21" s="3" t="e">
        <f t="shared" si="0"/>
        <v>#REF!</v>
      </c>
      <c r="H21" s="10" t="e">
        <f t="shared" si="1"/>
        <v>#REF!</v>
      </c>
      <c r="I21" s="3" t="e">
        <f t="shared" si="2"/>
        <v>#REF!</v>
      </c>
      <c r="J21" s="3" t="e">
        <f t="shared" si="3"/>
        <v>#REF!</v>
      </c>
      <c r="K21" s="3" t="e">
        <f t="shared" si="4"/>
        <v>#REF!</v>
      </c>
      <c r="L21" s="3" t="e">
        <f t="shared" si="5"/>
        <v>#REF!</v>
      </c>
    </row>
    <row r="22" spans="1:15" x14ac:dyDescent="0.25">
      <c r="A22" t="e">
        <f>Data!#REF!</f>
        <v>#REF!</v>
      </c>
      <c r="B22" s="3">
        <f>Data!H17</f>
        <v>16.416666666666629</v>
      </c>
      <c r="C22" s="3" t="e">
        <f>Data!#REF!/Data!#REF!</f>
        <v>#REF!</v>
      </c>
      <c r="D22" s="3" t="e">
        <f>B$4/C22</f>
        <v>#REF!</v>
      </c>
      <c r="E22" s="3" t="e">
        <f>Data!#REF!/Data!#REF!</f>
        <v>#REF!</v>
      </c>
      <c r="F22" s="3" t="e">
        <f>C$4/E22</f>
        <v>#REF!</v>
      </c>
      <c r="G22" s="3" t="e">
        <f t="shared" si="0"/>
        <v>#REF!</v>
      </c>
      <c r="H22" s="10" t="e">
        <f t="shared" si="1"/>
        <v>#REF!</v>
      </c>
      <c r="I22" s="3" t="e">
        <f t="shared" si="2"/>
        <v>#REF!</v>
      </c>
      <c r="J22" s="3" t="e">
        <f t="shared" si="3"/>
        <v>#REF!</v>
      </c>
      <c r="K22" s="3" t="e">
        <f t="shared" si="4"/>
        <v>#REF!</v>
      </c>
      <c r="L22" s="3" t="e">
        <f t="shared" si="5"/>
        <v>#REF!</v>
      </c>
      <c r="O22" s="4" t="e">
        <f>Data!#REF!</f>
        <v>#REF!</v>
      </c>
    </row>
    <row r="23" spans="1:15" x14ac:dyDescent="0.25">
      <c r="B23" s="3">
        <f>Data!H18</f>
        <v>16.549999999999955</v>
      </c>
      <c r="C23" s="3" t="e">
        <f>Data!#REF!/Data!#REF!</f>
        <v>#REF!</v>
      </c>
      <c r="D23" s="3" t="e">
        <f>B$4/C23</f>
        <v>#REF!</v>
      </c>
      <c r="E23" s="3" t="e">
        <f>Data!#REF!/Data!#REF!</f>
        <v>#REF!</v>
      </c>
      <c r="F23" s="3" t="e">
        <f>C$4/E23</f>
        <v>#REF!</v>
      </c>
      <c r="G23" s="3" t="e">
        <f t="shared" si="0"/>
        <v>#REF!</v>
      </c>
      <c r="H23" s="10" t="e">
        <f t="shared" si="1"/>
        <v>#REF!</v>
      </c>
      <c r="I23" s="3" t="e">
        <f t="shared" si="2"/>
        <v>#REF!</v>
      </c>
      <c r="J23" s="3" t="e">
        <f t="shared" si="3"/>
        <v>#REF!</v>
      </c>
      <c r="K23" s="3" t="e">
        <f t="shared" si="4"/>
        <v>#REF!</v>
      </c>
      <c r="L23" s="3" t="e">
        <f t="shared" si="5"/>
        <v>#REF!</v>
      </c>
    </row>
    <row r="24" spans="1:15" x14ac:dyDescent="0.25">
      <c r="B24" s="3">
        <f>Data!H19</f>
        <v>16.68333333333328</v>
      </c>
      <c r="C24" s="3" t="e">
        <f>Data!#REF!/Data!#REF!</f>
        <v>#REF!</v>
      </c>
      <c r="D24" s="3" t="e">
        <f>B$4/C24</f>
        <v>#REF!</v>
      </c>
      <c r="E24" s="3" t="e">
        <f>Data!#REF!/Data!#REF!</f>
        <v>#REF!</v>
      </c>
      <c r="F24" s="3" t="e">
        <f>C$4/E24</f>
        <v>#REF!</v>
      </c>
      <c r="G24" s="3" t="e">
        <f t="shared" si="0"/>
        <v>#REF!</v>
      </c>
      <c r="H24" s="10" t="e">
        <f t="shared" si="1"/>
        <v>#REF!</v>
      </c>
      <c r="I24" s="3" t="e">
        <f t="shared" si="2"/>
        <v>#REF!</v>
      </c>
      <c r="J24" s="3" t="e">
        <f t="shared" si="3"/>
        <v>#REF!</v>
      </c>
      <c r="K24" s="3" t="e">
        <f t="shared" si="4"/>
        <v>#REF!</v>
      </c>
      <c r="L24" s="3" t="e">
        <f t="shared" si="5"/>
        <v>#REF!</v>
      </c>
    </row>
    <row r="25" spans="1:15" x14ac:dyDescent="0.25">
      <c r="A25" t="e">
        <f>Data!#REF!</f>
        <v>#REF!</v>
      </c>
      <c r="B25" s="3">
        <f>Data!H20</f>
        <v>22.199999999999932</v>
      </c>
      <c r="C25" s="3" t="e">
        <f>Data!#REF!/Data!#REF!</f>
        <v>#REF!</v>
      </c>
      <c r="D25" s="3"/>
      <c r="E25" s="3" t="e">
        <f>Data!#REF!/Data!#REF!</f>
        <v>#REF!</v>
      </c>
      <c r="F25" s="3"/>
      <c r="G25" s="3" t="e">
        <f t="shared" si="0"/>
        <v>#REF!</v>
      </c>
      <c r="H25" s="10" t="e">
        <f t="shared" si="1"/>
        <v>#REF!</v>
      </c>
      <c r="I25" s="3" t="e">
        <f t="shared" si="2"/>
        <v>#REF!</v>
      </c>
      <c r="J25" s="3" t="e">
        <f t="shared" si="3"/>
        <v>#REF!</v>
      </c>
      <c r="K25" s="3" t="e">
        <f t="shared" si="4"/>
        <v>#REF!</v>
      </c>
      <c r="L25" s="3" t="e">
        <f t="shared" si="5"/>
        <v>#REF!</v>
      </c>
      <c r="M25" s="3" t="e">
        <f>AVERAGE(K25:K27)</f>
        <v>#REF!</v>
      </c>
      <c r="N25" s="3" t="e">
        <f>AVERAGE(L25:L27)</f>
        <v>#REF!</v>
      </c>
      <c r="O25" s="4" t="e">
        <f>Data!#REF!</f>
        <v>#REF!</v>
      </c>
    </row>
    <row r="26" spans="1:15" x14ac:dyDescent="0.25">
      <c r="B26" s="3">
        <f>Data!H21</f>
        <v>22.333333333333258</v>
      </c>
      <c r="C26" s="3" t="e">
        <f>Data!#REF!/Data!#REF!</f>
        <v>#REF!</v>
      </c>
      <c r="D26" s="3"/>
      <c r="E26" s="3" t="e">
        <f>Data!#REF!/Data!#REF!</f>
        <v>#REF!</v>
      </c>
      <c r="F26" s="3"/>
      <c r="G26" s="3" t="e">
        <f t="shared" si="0"/>
        <v>#REF!</v>
      </c>
      <c r="H26" s="10" t="e">
        <f t="shared" si="1"/>
        <v>#REF!</v>
      </c>
      <c r="I26" s="3" t="e">
        <f t="shared" si="2"/>
        <v>#REF!</v>
      </c>
      <c r="J26" s="3" t="e">
        <f t="shared" si="3"/>
        <v>#REF!</v>
      </c>
      <c r="K26" s="3" t="e">
        <f t="shared" si="4"/>
        <v>#REF!</v>
      </c>
      <c r="L26" s="3" t="e">
        <f t="shared" si="5"/>
        <v>#REF!</v>
      </c>
    </row>
    <row r="27" spans="1:15" x14ac:dyDescent="0.25">
      <c r="B27" s="3">
        <f>Data!H22</f>
        <v>22.466666666666583</v>
      </c>
      <c r="C27" s="3" t="e">
        <f>Data!#REF!/Data!#REF!</f>
        <v>#REF!</v>
      </c>
      <c r="D27" s="3"/>
      <c r="E27" s="3" t="e">
        <f>Data!#REF!/Data!#REF!</f>
        <v>#REF!</v>
      </c>
      <c r="F27" s="3"/>
      <c r="G27" s="3" t="e">
        <f t="shared" si="0"/>
        <v>#REF!</v>
      </c>
      <c r="H27" s="10" t="e">
        <f t="shared" si="1"/>
        <v>#REF!</v>
      </c>
      <c r="I27" s="3" t="e">
        <f t="shared" si="2"/>
        <v>#REF!</v>
      </c>
      <c r="J27" s="3" t="e">
        <f t="shared" si="3"/>
        <v>#REF!</v>
      </c>
      <c r="K27" s="3" t="e">
        <f t="shared" si="4"/>
        <v>#REF!</v>
      </c>
      <c r="L27" s="3" t="e">
        <f t="shared" si="5"/>
        <v>#REF!</v>
      </c>
    </row>
    <row r="28" spans="1:15" x14ac:dyDescent="0.25">
      <c r="A28" t="e">
        <f>Data!#REF!</f>
        <v>#REF!</v>
      </c>
      <c r="B28" s="3">
        <f>Data!H23</f>
        <v>28.716666666666583</v>
      </c>
      <c r="C28" s="3" t="e">
        <f>Data!#REF!/Data!#REF!</f>
        <v>#REF!</v>
      </c>
      <c r="D28" s="3"/>
      <c r="E28" s="3" t="e">
        <f>Data!#REF!/Data!#REF!</f>
        <v>#REF!</v>
      </c>
      <c r="F28" s="3"/>
      <c r="G28" s="3" t="e">
        <f t="shared" si="0"/>
        <v>#REF!</v>
      </c>
      <c r="H28" s="10" t="e">
        <f t="shared" si="1"/>
        <v>#REF!</v>
      </c>
      <c r="I28" s="3" t="e">
        <f t="shared" si="2"/>
        <v>#REF!</v>
      </c>
      <c r="J28" s="3" t="e">
        <f t="shared" si="3"/>
        <v>#REF!</v>
      </c>
      <c r="K28" s="3" t="e">
        <f t="shared" si="4"/>
        <v>#REF!</v>
      </c>
      <c r="L28" s="3" t="e">
        <f t="shared" si="5"/>
        <v>#REF!</v>
      </c>
      <c r="M28" s="20" t="e">
        <f>AVERAGE(K28:K29)</f>
        <v>#REF!</v>
      </c>
      <c r="N28" s="3" t="e">
        <f>AVERAGE(L28:L30)</f>
        <v>#REF!</v>
      </c>
      <c r="O28" s="4" t="e">
        <f>Data!#REF!</f>
        <v>#REF!</v>
      </c>
    </row>
    <row r="29" spans="1:15" x14ac:dyDescent="0.25">
      <c r="B29" s="3">
        <f>Data!H24</f>
        <v>28.799999999999955</v>
      </c>
      <c r="C29" s="3" t="e">
        <f>Data!#REF!/Data!#REF!</f>
        <v>#REF!</v>
      </c>
      <c r="D29" s="3"/>
      <c r="E29" s="3" t="e">
        <f>Data!#REF!/Data!#REF!</f>
        <v>#REF!</v>
      </c>
      <c r="F29" s="3"/>
      <c r="G29" s="3" t="e">
        <f t="shared" si="0"/>
        <v>#REF!</v>
      </c>
      <c r="H29" s="10" t="e">
        <f t="shared" si="1"/>
        <v>#REF!</v>
      </c>
      <c r="I29" s="3" t="e">
        <f t="shared" si="2"/>
        <v>#REF!</v>
      </c>
      <c r="J29" s="3" t="e">
        <f t="shared" si="3"/>
        <v>#REF!</v>
      </c>
      <c r="K29" s="3" t="e">
        <f t="shared" si="4"/>
        <v>#REF!</v>
      </c>
      <c r="L29" s="3" t="e">
        <f t="shared" si="5"/>
        <v>#REF!</v>
      </c>
    </row>
    <row r="30" spans="1:15" x14ac:dyDescent="0.25">
      <c r="B30" s="3">
        <f>Data!H25</f>
        <v>29.016666666666652</v>
      </c>
      <c r="C30" s="3" t="e">
        <f>Data!#REF!/Data!#REF!</f>
        <v>#REF!</v>
      </c>
      <c r="D30" s="3"/>
      <c r="E30" s="3" t="e">
        <f>Data!#REF!/Data!#REF!</f>
        <v>#REF!</v>
      </c>
      <c r="F30" s="3"/>
      <c r="G30" s="3" t="e">
        <f t="shared" si="0"/>
        <v>#REF!</v>
      </c>
      <c r="H30" s="10" t="e">
        <f t="shared" si="1"/>
        <v>#REF!</v>
      </c>
      <c r="I30" s="3" t="e">
        <f t="shared" si="2"/>
        <v>#REF!</v>
      </c>
      <c r="J30" s="3" t="e">
        <f t="shared" si="3"/>
        <v>#REF!</v>
      </c>
      <c r="K30" s="19" t="e">
        <f t="shared" si="4"/>
        <v>#REF!</v>
      </c>
      <c r="L30" s="3" t="e">
        <f t="shared" si="5"/>
        <v>#REF!</v>
      </c>
    </row>
    <row r="31" spans="1:15" x14ac:dyDescent="0.25">
      <c r="A31" t="e">
        <f>Data!#REF!</f>
        <v>#REF!</v>
      </c>
      <c r="B31" s="3">
        <f>Data!H26</f>
        <v>35.483333333333348</v>
      </c>
      <c r="C31" s="3" t="e">
        <f>Data!#REF!/Data!#REF!</f>
        <v>#REF!</v>
      </c>
      <c r="D31" s="3"/>
      <c r="E31" s="3" t="e">
        <f>Data!#REF!/Data!#REF!</f>
        <v>#REF!</v>
      </c>
      <c r="F31" s="3"/>
      <c r="G31" s="3" t="e">
        <f t="shared" si="0"/>
        <v>#REF!</v>
      </c>
      <c r="H31" s="10" t="e">
        <f t="shared" si="1"/>
        <v>#REF!</v>
      </c>
      <c r="I31" s="3" t="e">
        <f t="shared" si="2"/>
        <v>#REF!</v>
      </c>
      <c r="J31" s="3" t="e">
        <f t="shared" si="3"/>
        <v>#REF!</v>
      </c>
      <c r="K31" s="21" t="e">
        <f t="shared" si="4"/>
        <v>#REF!</v>
      </c>
      <c r="L31" s="3" t="e">
        <f t="shared" si="5"/>
        <v>#REF!</v>
      </c>
      <c r="M31" s="21" t="e">
        <f>AVERAGE(K31:K33)</f>
        <v>#REF!</v>
      </c>
      <c r="N31" s="3" t="e">
        <f>AVERAGE(L31:L33)</f>
        <v>#REF!</v>
      </c>
      <c r="O31" s="4" t="e">
        <f>Data!#REF!</f>
        <v>#REF!</v>
      </c>
    </row>
    <row r="32" spans="1:15" x14ac:dyDescent="0.25">
      <c r="B32" s="3">
        <f>Data!H27</f>
        <v>35.616666666666674</v>
      </c>
      <c r="C32" s="3" t="e">
        <f>Data!#REF!/Data!#REF!</f>
        <v>#REF!</v>
      </c>
      <c r="D32" s="3"/>
      <c r="E32" s="3" t="e">
        <f>Data!#REF!/Data!#REF!</f>
        <v>#REF!</v>
      </c>
      <c r="F32" s="3"/>
      <c r="G32" s="3" t="e">
        <f t="shared" si="0"/>
        <v>#REF!</v>
      </c>
      <c r="H32" s="10" t="e">
        <f t="shared" si="1"/>
        <v>#REF!</v>
      </c>
      <c r="I32" s="3" t="e">
        <f t="shared" si="2"/>
        <v>#REF!</v>
      </c>
      <c r="J32" s="3" t="e">
        <f t="shared" si="3"/>
        <v>#REF!</v>
      </c>
      <c r="K32" s="21" t="e">
        <f t="shared" si="4"/>
        <v>#REF!</v>
      </c>
      <c r="L32" s="3" t="e">
        <f t="shared" si="5"/>
        <v>#REF!</v>
      </c>
    </row>
    <row r="33" spans="1:15" x14ac:dyDescent="0.25">
      <c r="B33" s="3">
        <f>Data!H28</f>
        <v>35.699999999999932</v>
      </c>
      <c r="C33" s="3" t="e">
        <f>Data!#REF!/Data!#REF!</f>
        <v>#REF!</v>
      </c>
      <c r="D33" s="3"/>
      <c r="E33" s="3" t="e">
        <f>Data!#REF!/Data!#REF!</f>
        <v>#REF!</v>
      </c>
      <c r="F33" s="3"/>
      <c r="G33" s="3" t="e">
        <f t="shared" si="0"/>
        <v>#REF!</v>
      </c>
      <c r="H33" s="10" t="e">
        <f t="shared" si="1"/>
        <v>#REF!</v>
      </c>
      <c r="I33" s="3" t="e">
        <f t="shared" si="2"/>
        <v>#REF!</v>
      </c>
      <c r="J33" s="3" t="e">
        <f t="shared" si="3"/>
        <v>#REF!</v>
      </c>
      <c r="K33" s="21" t="e">
        <f t="shared" si="4"/>
        <v>#REF!</v>
      </c>
      <c r="L33" s="3" t="e">
        <f t="shared" si="5"/>
        <v>#REF!</v>
      </c>
    </row>
    <row r="34" spans="1:15" x14ac:dyDescent="0.25">
      <c r="A34" t="e">
        <f>Data!#REF!</f>
        <v>#REF!</v>
      </c>
      <c r="B34" s="3" t="e">
        <f>Data!#REF!</f>
        <v>#REF!</v>
      </c>
      <c r="C34" s="3" t="e">
        <f>Data!#REF!/Data!#REF!</f>
        <v>#REF!</v>
      </c>
      <c r="D34" s="3"/>
      <c r="E34" s="3" t="e">
        <f>Data!#REF!/Data!#REF!</f>
        <v>#REF!</v>
      </c>
      <c r="F34" s="3"/>
      <c r="G34" s="3" t="e">
        <f t="shared" si="0"/>
        <v>#REF!</v>
      </c>
      <c r="H34" s="10" t="e">
        <f t="shared" si="1"/>
        <v>#REF!</v>
      </c>
      <c r="I34" s="3" t="e">
        <f t="shared" si="2"/>
        <v>#REF!</v>
      </c>
      <c r="J34" s="3" t="e">
        <f t="shared" si="3"/>
        <v>#REF!</v>
      </c>
      <c r="K34" s="3" t="e">
        <f t="shared" si="4"/>
        <v>#REF!</v>
      </c>
      <c r="L34" s="3" t="e">
        <f t="shared" si="5"/>
        <v>#REF!</v>
      </c>
      <c r="M34" s="3" t="e">
        <f>AVERAGE(K34:K36)</f>
        <v>#REF!</v>
      </c>
      <c r="N34" s="3" t="e">
        <f>AVERAGE(L34:L36)</f>
        <v>#REF!</v>
      </c>
      <c r="O34" s="4" t="e">
        <f>Data!#REF!</f>
        <v>#REF!</v>
      </c>
    </row>
    <row r="35" spans="1:15" x14ac:dyDescent="0.25">
      <c r="B35" s="3" t="e">
        <f>Data!#REF!</f>
        <v>#REF!</v>
      </c>
      <c r="C35" s="3" t="e">
        <f>Data!#REF!/Data!#REF!</f>
        <v>#REF!</v>
      </c>
      <c r="D35" s="3"/>
      <c r="E35" s="3" t="e">
        <f>Data!#REF!/Data!#REF!</f>
        <v>#REF!</v>
      </c>
      <c r="F35" s="3"/>
      <c r="G35" s="3" t="e">
        <f t="shared" si="0"/>
        <v>#REF!</v>
      </c>
      <c r="H35" s="10" t="e">
        <f t="shared" si="1"/>
        <v>#REF!</v>
      </c>
      <c r="I35" s="3" t="e">
        <f t="shared" si="2"/>
        <v>#REF!</v>
      </c>
      <c r="J35" s="3" t="e">
        <f t="shared" si="3"/>
        <v>#REF!</v>
      </c>
      <c r="K35" s="3" t="e">
        <f t="shared" si="4"/>
        <v>#REF!</v>
      </c>
      <c r="L35" s="3" t="e">
        <f t="shared" si="5"/>
        <v>#REF!</v>
      </c>
    </row>
    <row r="36" spans="1:15" x14ac:dyDescent="0.25">
      <c r="B36" s="3" t="e">
        <f>Data!#REF!</f>
        <v>#REF!</v>
      </c>
      <c r="C36" s="3" t="e">
        <f>Data!#REF!/Data!#REF!</f>
        <v>#REF!</v>
      </c>
      <c r="D36" s="3"/>
      <c r="E36" s="3" t="e">
        <f>Data!#REF!/Data!#REF!</f>
        <v>#REF!</v>
      </c>
      <c r="F36" s="3"/>
      <c r="G36" s="3" t="e">
        <f t="shared" si="0"/>
        <v>#REF!</v>
      </c>
      <c r="H36" s="10" t="e">
        <f t="shared" si="1"/>
        <v>#REF!</v>
      </c>
      <c r="I36" s="3" t="e">
        <f t="shared" si="2"/>
        <v>#REF!</v>
      </c>
      <c r="J36" s="3" t="e">
        <f t="shared" si="3"/>
        <v>#REF!</v>
      </c>
      <c r="K36" s="3" t="e">
        <f t="shared" si="4"/>
        <v>#REF!</v>
      </c>
      <c r="L36" s="3" t="e">
        <f t="shared" si="5"/>
        <v>#REF!</v>
      </c>
    </row>
    <row r="37" spans="1:15" x14ac:dyDescent="0.25">
      <c r="A37" t="e">
        <f>Data!#REF!</f>
        <v>#REF!</v>
      </c>
      <c r="B37" s="3" t="e">
        <f>Data!#REF!</f>
        <v>#REF!</v>
      </c>
      <c r="C37" s="3" t="e">
        <f>Data!#REF!/Data!#REF!</f>
        <v>#REF!</v>
      </c>
      <c r="D37" s="3"/>
      <c r="E37" s="3" t="e">
        <f>Data!#REF!/Data!#REF!</f>
        <v>#REF!</v>
      </c>
      <c r="F37" s="3"/>
      <c r="G37" s="3" t="e">
        <f t="shared" si="0"/>
        <v>#REF!</v>
      </c>
      <c r="H37" s="10" t="e">
        <f t="shared" si="1"/>
        <v>#REF!</v>
      </c>
      <c r="I37" s="3" t="e">
        <f t="shared" si="2"/>
        <v>#REF!</v>
      </c>
      <c r="J37" s="3" t="e">
        <f t="shared" si="3"/>
        <v>#REF!</v>
      </c>
      <c r="K37" s="3" t="e">
        <f t="shared" si="4"/>
        <v>#REF!</v>
      </c>
      <c r="L37" s="3" t="e">
        <f t="shared" si="5"/>
        <v>#REF!</v>
      </c>
      <c r="M37" s="3" t="e">
        <f>AVERAGE(K37:K39)</f>
        <v>#REF!</v>
      </c>
      <c r="N37" s="3" t="e">
        <f>AVERAGE(L37:L39)</f>
        <v>#REF!</v>
      </c>
      <c r="O37" s="4" t="e">
        <f>Data!#REF!</f>
        <v>#REF!</v>
      </c>
    </row>
    <row r="38" spans="1:15" x14ac:dyDescent="0.25">
      <c r="B38" s="3" t="e">
        <f>Data!#REF!</f>
        <v>#REF!</v>
      </c>
      <c r="C38" s="3" t="e">
        <f>Data!#REF!/Data!#REF!</f>
        <v>#REF!</v>
      </c>
      <c r="D38" s="3"/>
      <c r="E38" s="3" t="e">
        <f>Data!#REF!/Data!#REF!</f>
        <v>#REF!</v>
      </c>
      <c r="F38" s="3"/>
      <c r="G38" s="3" t="e">
        <f t="shared" si="0"/>
        <v>#REF!</v>
      </c>
      <c r="H38" s="10" t="e">
        <f t="shared" si="1"/>
        <v>#REF!</v>
      </c>
      <c r="I38" s="3" t="e">
        <f t="shared" si="2"/>
        <v>#REF!</v>
      </c>
      <c r="J38" s="3" t="e">
        <f t="shared" si="3"/>
        <v>#REF!</v>
      </c>
      <c r="K38" s="3" t="e">
        <f t="shared" si="4"/>
        <v>#REF!</v>
      </c>
      <c r="L38" s="3" t="e">
        <f t="shared" si="5"/>
        <v>#REF!</v>
      </c>
    </row>
    <row r="39" spans="1:15" x14ac:dyDescent="0.25">
      <c r="B39" s="3" t="e">
        <f>Data!#REF!</f>
        <v>#REF!</v>
      </c>
      <c r="C39" s="3" t="e">
        <f>Data!#REF!/Data!#REF!</f>
        <v>#REF!</v>
      </c>
      <c r="D39" s="3"/>
      <c r="E39" s="3" t="e">
        <f>Data!#REF!/Data!#REF!</f>
        <v>#REF!</v>
      </c>
      <c r="F39" s="3"/>
      <c r="G39" s="3" t="e">
        <f t="shared" si="0"/>
        <v>#REF!</v>
      </c>
      <c r="H39" s="10" t="e">
        <f t="shared" si="1"/>
        <v>#REF!</v>
      </c>
      <c r="I39" s="3" t="e">
        <f t="shared" si="2"/>
        <v>#REF!</v>
      </c>
      <c r="J39" s="3" t="e">
        <f t="shared" si="3"/>
        <v>#REF!</v>
      </c>
      <c r="K39" s="3" t="e">
        <f t="shared" si="4"/>
        <v>#REF!</v>
      </c>
      <c r="L39" s="3" t="e">
        <f t="shared" si="5"/>
        <v>#REF!</v>
      </c>
    </row>
    <row r="40" spans="1:15" x14ac:dyDescent="0.25">
      <c r="A40" t="e">
        <f>Data!#REF!</f>
        <v>#REF!</v>
      </c>
      <c r="B40" s="3" t="e">
        <f>Data!#REF!</f>
        <v>#REF!</v>
      </c>
      <c r="C40" s="3" t="e">
        <f>Data!#REF!/Data!#REF!</f>
        <v>#REF!</v>
      </c>
      <c r="D40" s="3"/>
      <c r="E40" s="3" t="e">
        <f>Data!#REF!/Data!#REF!</f>
        <v>#REF!</v>
      </c>
      <c r="F40" s="3"/>
      <c r="G40" s="3" t="e">
        <f t="shared" si="0"/>
        <v>#REF!</v>
      </c>
      <c r="H40" s="10" t="e">
        <f t="shared" si="1"/>
        <v>#REF!</v>
      </c>
      <c r="I40" s="3" t="e">
        <f t="shared" si="2"/>
        <v>#REF!</v>
      </c>
      <c r="J40" s="3" t="e">
        <f t="shared" si="3"/>
        <v>#REF!</v>
      </c>
      <c r="K40" s="3" t="e">
        <f t="shared" si="4"/>
        <v>#REF!</v>
      </c>
      <c r="L40" s="3" t="e">
        <f t="shared" si="5"/>
        <v>#REF!</v>
      </c>
      <c r="M40" s="3" t="e">
        <f>AVERAGE(K40:K42)</f>
        <v>#REF!</v>
      </c>
      <c r="N40" s="3" t="e">
        <f>AVERAGE(L40:L42)</f>
        <v>#REF!</v>
      </c>
      <c r="O40" s="4" t="e">
        <f>Data!#REF!</f>
        <v>#REF!</v>
      </c>
    </row>
    <row r="41" spans="1:15" x14ac:dyDescent="0.25">
      <c r="B41" s="3" t="e">
        <f>Data!#REF!</f>
        <v>#REF!</v>
      </c>
      <c r="C41" s="3" t="e">
        <f>Data!#REF!/Data!#REF!</f>
        <v>#REF!</v>
      </c>
      <c r="D41" s="3"/>
      <c r="E41" s="3" t="e">
        <f>Data!#REF!/Data!#REF!</f>
        <v>#REF!</v>
      </c>
      <c r="F41" s="3"/>
      <c r="G41" s="3" t="e">
        <f t="shared" si="0"/>
        <v>#REF!</v>
      </c>
      <c r="H41" s="10" t="e">
        <f t="shared" si="1"/>
        <v>#REF!</v>
      </c>
      <c r="I41" s="3" t="e">
        <f t="shared" si="2"/>
        <v>#REF!</v>
      </c>
      <c r="J41" s="3" t="e">
        <f t="shared" si="3"/>
        <v>#REF!</v>
      </c>
      <c r="K41" s="3" t="e">
        <f t="shared" si="4"/>
        <v>#REF!</v>
      </c>
      <c r="L41" s="3" t="e">
        <f t="shared" si="5"/>
        <v>#REF!</v>
      </c>
    </row>
    <row r="42" spans="1:15" x14ac:dyDescent="0.25">
      <c r="B42" s="3" t="e">
        <f>Data!#REF!</f>
        <v>#REF!</v>
      </c>
      <c r="C42" s="3" t="e">
        <f>Data!#REF!/Data!#REF!</f>
        <v>#REF!</v>
      </c>
      <c r="D42" s="3"/>
      <c r="E42" s="3" t="e">
        <f>Data!#REF!/Data!#REF!</f>
        <v>#REF!</v>
      </c>
      <c r="F42" s="3"/>
      <c r="G42" s="3" t="e">
        <f t="shared" si="0"/>
        <v>#REF!</v>
      </c>
      <c r="H42" s="10" t="e">
        <f t="shared" si="1"/>
        <v>#REF!</v>
      </c>
      <c r="I42" s="3" t="e">
        <f t="shared" si="2"/>
        <v>#REF!</v>
      </c>
      <c r="J42" s="3" t="e">
        <f t="shared" si="3"/>
        <v>#REF!</v>
      </c>
      <c r="K42" s="3" t="e">
        <f t="shared" si="4"/>
        <v>#REF!</v>
      </c>
      <c r="L42" s="3" t="e">
        <f t="shared" si="5"/>
        <v>#REF!</v>
      </c>
    </row>
    <row r="43" spans="1:15" x14ac:dyDescent="0.25">
      <c r="A43" t="e">
        <f>Data!#REF!</f>
        <v>#REF!</v>
      </c>
      <c r="B43" s="3" t="e">
        <f>Data!#REF!</f>
        <v>#REF!</v>
      </c>
      <c r="C43" s="3" t="e">
        <f>Data!#REF!/Data!#REF!</f>
        <v>#REF!</v>
      </c>
      <c r="D43" s="3"/>
      <c r="E43" s="3" t="e">
        <f>Data!#REF!/Data!#REF!</f>
        <v>#REF!</v>
      </c>
      <c r="F43" s="3"/>
      <c r="G43" s="3" t="e">
        <f t="shared" si="0"/>
        <v>#REF!</v>
      </c>
      <c r="H43" s="10" t="e">
        <f t="shared" si="1"/>
        <v>#REF!</v>
      </c>
      <c r="I43" s="3" t="e">
        <f t="shared" si="2"/>
        <v>#REF!</v>
      </c>
      <c r="J43" s="3" t="e">
        <f t="shared" si="3"/>
        <v>#REF!</v>
      </c>
      <c r="K43" s="3" t="e">
        <f t="shared" si="4"/>
        <v>#REF!</v>
      </c>
      <c r="L43" s="3" t="e">
        <f t="shared" si="5"/>
        <v>#REF!</v>
      </c>
      <c r="M43" s="3" t="e">
        <f>AVERAGE(K43:K45)</f>
        <v>#REF!</v>
      </c>
      <c r="N43" s="3" t="e">
        <f>AVERAGE(L43:L45)</f>
        <v>#REF!</v>
      </c>
      <c r="O43" s="4" t="e">
        <f>Data!#REF!</f>
        <v>#REF!</v>
      </c>
    </row>
    <row r="44" spans="1:15" x14ac:dyDescent="0.25">
      <c r="B44" s="3" t="e">
        <f>Data!#REF!</f>
        <v>#REF!</v>
      </c>
      <c r="C44" s="3" t="e">
        <f>Data!#REF!/Data!#REF!</f>
        <v>#REF!</v>
      </c>
      <c r="D44" s="3"/>
      <c r="E44" s="3" t="e">
        <f>Data!#REF!/Data!#REF!</f>
        <v>#REF!</v>
      </c>
      <c r="F44" s="3"/>
      <c r="G44" s="3" t="e">
        <f t="shared" si="0"/>
        <v>#REF!</v>
      </c>
      <c r="H44" s="10" t="e">
        <f t="shared" si="1"/>
        <v>#REF!</v>
      </c>
      <c r="I44" s="3" t="e">
        <f t="shared" si="2"/>
        <v>#REF!</v>
      </c>
      <c r="J44" s="3" t="e">
        <f t="shared" si="3"/>
        <v>#REF!</v>
      </c>
      <c r="K44" s="3" t="e">
        <f t="shared" si="4"/>
        <v>#REF!</v>
      </c>
      <c r="L44" s="3" t="e">
        <f t="shared" si="5"/>
        <v>#REF!</v>
      </c>
    </row>
    <row r="45" spans="1:15" x14ac:dyDescent="0.25">
      <c r="B45" s="3" t="e">
        <f>Data!#REF!</f>
        <v>#REF!</v>
      </c>
      <c r="C45" s="3" t="e">
        <f>Data!#REF!/Data!#REF!</f>
        <v>#REF!</v>
      </c>
      <c r="D45" s="3"/>
      <c r="E45" s="3" t="e">
        <f>Data!#REF!/Data!#REF!</f>
        <v>#REF!</v>
      </c>
      <c r="F45" s="3"/>
      <c r="G45" s="3" t="e">
        <f t="shared" si="0"/>
        <v>#REF!</v>
      </c>
      <c r="H45" s="10" t="e">
        <f t="shared" si="1"/>
        <v>#REF!</v>
      </c>
      <c r="I45" s="3" t="e">
        <f t="shared" si="2"/>
        <v>#REF!</v>
      </c>
      <c r="J45" s="3" t="e">
        <f t="shared" si="3"/>
        <v>#REF!</v>
      </c>
      <c r="K45" s="3" t="e">
        <f t="shared" si="4"/>
        <v>#REF!</v>
      </c>
      <c r="L45" s="3" t="e">
        <f t="shared" si="5"/>
        <v>#REF!</v>
      </c>
    </row>
    <row r="46" spans="1:15" x14ac:dyDescent="0.25">
      <c r="A46" t="e">
        <f>Data!#REF!</f>
        <v>#REF!</v>
      </c>
      <c r="B46" s="3" t="e">
        <f>Data!#REF!</f>
        <v>#REF!</v>
      </c>
      <c r="C46" s="3" t="e">
        <f>Data!#REF!/Data!#REF!</f>
        <v>#REF!</v>
      </c>
      <c r="D46" s="3"/>
      <c r="E46" s="3" t="e">
        <f>Data!#REF!/Data!#REF!</f>
        <v>#REF!</v>
      </c>
      <c r="F46" s="3"/>
      <c r="G46" s="3" t="e">
        <f t="shared" si="0"/>
        <v>#REF!</v>
      </c>
      <c r="H46" s="10" t="e">
        <f t="shared" si="1"/>
        <v>#REF!</v>
      </c>
      <c r="I46" s="3" t="e">
        <f t="shared" si="2"/>
        <v>#REF!</v>
      </c>
      <c r="J46" s="3" t="e">
        <f t="shared" si="3"/>
        <v>#REF!</v>
      </c>
      <c r="K46" s="3" t="e">
        <f t="shared" si="4"/>
        <v>#REF!</v>
      </c>
      <c r="L46" s="3" t="e">
        <f t="shared" si="5"/>
        <v>#REF!</v>
      </c>
      <c r="M46" s="3" t="e">
        <f>AVERAGE(K46:K48)</f>
        <v>#REF!</v>
      </c>
      <c r="N46" s="3" t="e">
        <f>AVERAGE(L46:L48)</f>
        <v>#REF!</v>
      </c>
      <c r="O46" s="4" t="e">
        <f>Data!#REF!</f>
        <v>#REF!</v>
      </c>
    </row>
    <row r="47" spans="1:15" x14ac:dyDescent="0.25">
      <c r="B47" s="3" t="e">
        <f>Data!#REF!</f>
        <v>#REF!</v>
      </c>
      <c r="C47" s="3" t="e">
        <f>Data!#REF!/Data!#REF!</f>
        <v>#REF!</v>
      </c>
      <c r="D47" s="3"/>
      <c r="E47" s="3" t="e">
        <f>Data!#REF!/Data!#REF!</f>
        <v>#REF!</v>
      </c>
      <c r="F47" s="3"/>
      <c r="G47" s="3" t="e">
        <f t="shared" si="0"/>
        <v>#REF!</v>
      </c>
      <c r="H47" s="10" t="e">
        <f t="shared" si="1"/>
        <v>#REF!</v>
      </c>
      <c r="I47" s="3" t="e">
        <f t="shared" si="2"/>
        <v>#REF!</v>
      </c>
      <c r="J47" s="3" t="e">
        <f t="shared" si="3"/>
        <v>#REF!</v>
      </c>
      <c r="K47" s="3" t="e">
        <f t="shared" si="4"/>
        <v>#REF!</v>
      </c>
      <c r="L47" s="3" t="e">
        <f t="shared" si="5"/>
        <v>#REF!</v>
      </c>
    </row>
    <row r="48" spans="1:15" x14ac:dyDescent="0.25">
      <c r="B48" s="3" t="e">
        <f>Data!#REF!</f>
        <v>#REF!</v>
      </c>
      <c r="C48" s="3" t="e">
        <f>Data!#REF!/Data!#REF!</f>
        <v>#REF!</v>
      </c>
      <c r="D48" s="3"/>
      <c r="E48" s="3" t="e">
        <f>Data!#REF!/Data!#REF!</f>
        <v>#REF!</v>
      </c>
      <c r="F48" s="3"/>
      <c r="G48" s="3" t="e">
        <f t="shared" si="0"/>
        <v>#REF!</v>
      </c>
      <c r="H48" s="10" t="e">
        <f t="shared" si="1"/>
        <v>#REF!</v>
      </c>
      <c r="I48" s="3" t="e">
        <f t="shared" si="2"/>
        <v>#REF!</v>
      </c>
      <c r="J48" s="3" t="e">
        <f t="shared" si="3"/>
        <v>#REF!</v>
      </c>
      <c r="K48" s="3" t="e">
        <f t="shared" si="4"/>
        <v>#REF!</v>
      </c>
      <c r="L48" s="3" t="e">
        <f t="shared" si="5"/>
        <v>#REF!</v>
      </c>
    </row>
    <row r="49" spans="1:15" x14ac:dyDescent="0.25">
      <c r="A49" t="e">
        <f>Data!#REF!</f>
        <v>#REF!</v>
      </c>
      <c r="B49" s="3" t="e">
        <f>Data!#REF!</f>
        <v>#REF!</v>
      </c>
      <c r="C49" s="3" t="e">
        <f>Data!#REF!/Data!#REF!</f>
        <v>#REF!</v>
      </c>
      <c r="D49" s="3"/>
      <c r="E49" s="3" t="e">
        <f>Data!#REF!/Data!#REF!</f>
        <v>#REF!</v>
      </c>
      <c r="F49" s="3"/>
      <c r="G49" s="3" t="e">
        <f t="shared" si="0"/>
        <v>#REF!</v>
      </c>
      <c r="H49" s="10" t="e">
        <f t="shared" si="1"/>
        <v>#REF!</v>
      </c>
      <c r="I49" s="3" t="e">
        <f t="shared" si="2"/>
        <v>#REF!</v>
      </c>
      <c r="J49" s="3" t="e">
        <f t="shared" si="3"/>
        <v>#REF!</v>
      </c>
      <c r="K49" s="3" t="e">
        <f t="shared" si="4"/>
        <v>#REF!</v>
      </c>
      <c r="L49" s="3" t="e">
        <f t="shared" si="5"/>
        <v>#REF!</v>
      </c>
      <c r="M49" s="3" t="e">
        <f>AVERAGE(K49:K51)</f>
        <v>#REF!</v>
      </c>
      <c r="N49" s="3" t="e">
        <f>AVERAGE(L49:L51)</f>
        <v>#REF!</v>
      </c>
      <c r="O49" s="4" t="e">
        <f>Data!#REF!</f>
        <v>#REF!</v>
      </c>
    </row>
    <row r="50" spans="1:15" x14ac:dyDescent="0.25">
      <c r="B50" s="3" t="e">
        <f>Data!#REF!</f>
        <v>#REF!</v>
      </c>
      <c r="C50" s="3" t="e">
        <f>Data!#REF!/Data!#REF!</f>
        <v>#REF!</v>
      </c>
      <c r="D50" s="3"/>
      <c r="E50" s="3" t="e">
        <f>Data!#REF!/Data!#REF!</f>
        <v>#REF!</v>
      </c>
      <c r="F50" s="3"/>
      <c r="G50" s="3" t="e">
        <f t="shared" si="0"/>
        <v>#REF!</v>
      </c>
      <c r="H50" s="10" t="e">
        <f t="shared" si="1"/>
        <v>#REF!</v>
      </c>
      <c r="I50" s="3" t="e">
        <f t="shared" si="2"/>
        <v>#REF!</v>
      </c>
      <c r="J50" s="3" t="e">
        <f t="shared" si="3"/>
        <v>#REF!</v>
      </c>
      <c r="K50" s="3" t="e">
        <f t="shared" si="4"/>
        <v>#REF!</v>
      </c>
      <c r="L50" s="3" t="e">
        <f t="shared" si="5"/>
        <v>#REF!</v>
      </c>
    </row>
    <row r="51" spans="1:15" x14ac:dyDescent="0.25">
      <c r="B51" s="3" t="e">
        <f>Data!#REF!</f>
        <v>#REF!</v>
      </c>
      <c r="C51" s="3" t="e">
        <f>Data!#REF!/Data!#REF!</f>
        <v>#REF!</v>
      </c>
      <c r="D51" s="3"/>
      <c r="E51" s="3" t="e">
        <f>Data!#REF!/Data!#REF!</f>
        <v>#REF!</v>
      </c>
      <c r="F51" s="3"/>
      <c r="G51" s="3" t="e">
        <f t="shared" si="0"/>
        <v>#REF!</v>
      </c>
      <c r="H51" s="10" t="e">
        <f t="shared" si="1"/>
        <v>#REF!</v>
      </c>
      <c r="I51" s="3" t="e">
        <f t="shared" si="2"/>
        <v>#REF!</v>
      </c>
      <c r="J51" s="3" t="e">
        <f t="shared" si="3"/>
        <v>#REF!</v>
      </c>
      <c r="K51" s="3" t="e">
        <f t="shared" si="4"/>
        <v>#REF!</v>
      </c>
      <c r="L51" s="3" t="e">
        <f t="shared" si="5"/>
        <v>#REF!</v>
      </c>
    </row>
    <row r="52" spans="1:15" x14ac:dyDescent="0.25">
      <c r="A52" t="e">
        <f>Data!#REF!</f>
        <v>#REF!</v>
      </c>
      <c r="B52" s="3" t="e">
        <f>Data!#REF!</f>
        <v>#REF!</v>
      </c>
      <c r="C52" s="3" t="e">
        <f>Data!#REF!/Data!#REF!</f>
        <v>#REF!</v>
      </c>
      <c r="D52" s="3"/>
      <c r="E52" s="3" t="e">
        <f>Data!#REF!/Data!#REF!</f>
        <v>#REF!</v>
      </c>
      <c r="F52" s="3"/>
      <c r="G52" s="3" t="e">
        <f t="shared" si="0"/>
        <v>#REF!</v>
      </c>
      <c r="H52" s="10" t="e">
        <f t="shared" si="1"/>
        <v>#REF!</v>
      </c>
      <c r="I52" s="3" t="e">
        <f t="shared" si="2"/>
        <v>#REF!</v>
      </c>
      <c r="J52" s="3" t="e">
        <f t="shared" si="3"/>
        <v>#REF!</v>
      </c>
      <c r="K52" s="3" t="e">
        <f t="shared" si="4"/>
        <v>#REF!</v>
      </c>
      <c r="L52" s="3" t="e">
        <f t="shared" si="5"/>
        <v>#REF!</v>
      </c>
      <c r="M52" s="3" t="e">
        <f>AVERAGE(K52:K54)</f>
        <v>#REF!</v>
      </c>
      <c r="N52" s="3" t="e">
        <f>AVERAGE(L52:L54)</f>
        <v>#REF!</v>
      </c>
      <c r="O52" s="4" t="e">
        <f>Data!#REF!</f>
        <v>#REF!</v>
      </c>
    </row>
    <row r="53" spans="1:15" x14ac:dyDescent="0.25">
      <c r="B53" s="3" t="e">
        <f>Data!#REF!</f>
        <v>#REF!</v>
      </c>
      <c r="C53" s="3" t="e">
        <f>Data!#REF!/Data!#REF!</f>
        <v>#REF!</v>
      </c>
      <c r="D53" s="3"/>
      <c r="E53" s="3" t="e">
        <f>Data!#REF!/Data!#REF!</f>
        <v>#REF!</v>
      </c>
      <c r="F53" s="3"/>
      <c r="G53" s="3" t="e">
        <f t="shared" si="0"/>
        <v>#REF!</v>
      </c>
      <c r="H53" s="10" t="e">
        <f t="shared" si="1"/>
        <v>#REF!</v>
      </c>
      <c r="I53" s="3" t="e">
        <f t="shared" si="2"/>
        <v>#REF!</v>
      </c>
      <c r="J53" s="3" t="e">
        <f t="shared" si="3"/>
        <v>#REF!</v>
      </c>
      <c r="K53" s="3" t="e">
        <f t="shared" si="4"/>
        <v>#REF!</v>
      </c>
      <c r="L53" s="3" t="e">
        <f t="shared" si="5"/>
        <v>#REF!</v>
      </c>
    </row>
    <row r="54" spans="1:15" x14ac:dyDescent="0.25">
      <c r="B54" s="3" t="e">
        <f>Data!#REF!</f>
        <v>#REF!</v>
      </c>
      <c r="C54" s="3" t="e">
        <f>Data!#REF!/Data!#REF!</f>
        <v>#REF!</v>
      </c>
      <c r="D54" s="3"/>
      <c r="E54" s="3" t="e">
        <f>Data!#REF!/Data!#REF!</f>
        <v>#REF!</v>
      </c>
      <c r="F54" s="3"/>
      <c r="G54" s="3" t="e">
        <f t="shared" si="0"/>
        <v>#REF!</v>
      </c>
      <c r="H54" s="10" t="e">
        <f t="shared" si="1"/>
        <v>#REF!</v>
      </c>
      <c r="I54" s="3" t="e">
        <f t="shared" si="2"/>
        <v>#REF!</v>
      </c>
      <c r="J54" s="3" t="e">
        <f t="shared" si="3"/>
        <v>#REF!</v>
      </c>
      <c r="K54" s="3" t="e">
        <f t="shared" si="4"/>
        <v>#REF!</v>
      </c>
      <c r="L54" s="3" t="e">
        <f t="shared" si="5"/>
        <v>#REF!</v>
      </c>
    </row>
    <row r="55" spans="1:15" x14ac:dyDescent="0.25">
      <c r="A55" t="e">
        <f>Data!#REF!</f>
        <v>#REF!</v>
      </c>
      <c r="B55" s="3" t="e">
        <f>Data!#REF!</f>
        <v>#REF!</v>
      </c>
      <c r="C55" s="3" t="e">
        <f>Data!#REF!/Data!#REF!</f>
        <v>#REF!</v>
      </c>
      <c r="D55" s="3"/>
      <c r="E55" s="3" t="e">
        <f>Data!#REF!/Data!#REF!</f>
        <v>#REF!</v>
      </c>
      <c r="F55" s="3"/>
      <c r="G55" s="3" t="e">
        <f t="shared" si="0"/>
        <v>#REF!</v>
      </c>
      <c r="H55" s="10" t="e">
        <f t="shared" si="1"/>
        <v>#REF!</v>
      </c>
      <c r="I55" s="3" t="e">
        <f t="shared" si="2"/>
        <v>#REF!</v>
      </c>
      <c r="J55" s="3" t="e">
        <f t="shared" si="3"/>
        <v>#REF!</v>
      </c>
      <c r="K55" s="3" t="e">
        <f t="shared" si="4"/>
        <v>#REF!</v>
      </c>
      <c r="L55" s="3" t="e">
        <f t="shared" si="5"/>
        <v>#REF!</v>
      </c>
      <c r="M55" s="3" t="e">
        <f>AVERAGE(K55:K57)</f>
        <v>#REF!</v>
      </c>
      <c r="N55" s="3" t="e">
        <f>AVERAGE(L55:L57)</f>
        <v>#REF!</v>
      </c>
      <c r="O55" s="4" t="e">
        <f>Data!#REF!</f>
        <v>#REF!</v>
      </c>
    </row>
    <row r="56" spans="1:15" x14ac:dyDescent="0.25">
      <c r="B56" s="3" t="e">
        <f>Data!#REF!</f>
        <v>#REF!</v>
      </c>
      <c r="C56" s="3" t="e">
        <f>Data!#REF!/Data!#REF!</f>
        <v>#REF!</v>
      </c>
      <c r="D56" s="3"/>
      <c r="E56" s="3" t="e">
        <f>Data!#REF!/Data!#REF!</f>
        <v>#REF!</v>
      </c>
      <c r="F56" s="3"/>
      <c r="G56" s="3" t="e">
        <f t="shared" si="0"/>
        <v>#REF!</v>
      </c>
      <c r="H56" s="10" t="e">
        <f t="shared" si="1"/>
        <v>#REF!</v>
      </c>
      <c r="I56" s="3" t="e">
        <f t="shared" si="2"/>
        <v>#REF!</v>
      </c>
      <c r="J56" s="3" t="e">
        <f t="shared" si="3"/>
        <v>#REF!</v>
      </c>
      <c r="K56" s="3" t="e">
        <f t="shared" si="4"/>
        <v>#REF!</v>
      </c>
      <c r="L56" s="3" t="e">
        <f t="shared" si="5"/>
        <v>#REF!</v>
      </c>
    </row>
    <row r="57" spans="1:15" x14ac:dyDescent="0.25">
      <c r="B57" s="3" t="e">
        <f>Data!#REF!</f>
        <v>#REF!</v>
      </c>
      <c r="C57" s="3" t="e">
        <f>Data!#REF!/Data!#REF!</f>
        <v>#REF!</v>
      </c>
      <c r="D57" s="3"/>
      <c r="E57" s="3" t="e">
        <f>Data!#REF!/Data!#REF!</f>
        <v>#REF!</v>
      </c>
      <c r="F57" s="3"/>
      <c r="G57" s="3" t="e">
        <f t="shared" si="0"/>
        <v>#REF!</v>
      </c>
      <c r="H57" s="10" t="e">
        <f t="shared" si="1"/>
        <v>#REF!</v>
      </c>
      <c r="I57" s="3" t="e">
        <f t="shared" si="2"/>
        <v>#REF!</v>
      </c>
      <c r="J57" s="3" t="e">
        <f t="shared" si="3"/>
        <v>#REF!</v>
      </c>
      <c r="K57" s="3" t="e">
        <f t="shared" si="4"/>
        <v>#REF!</v>
      </c>
      <c r="L57" s="3" t="e">
        <f t="shared" si="5"/>
        <v>#REF!</v>
      </c>
    </row>
    <row r="58" spans="1:15" x14ac:dyDescent="0.25">
      <c r="A58" t="e">
        <f>Data!#REF!</f>
        <v>#REF!</v>
      </c>
      <c r="B58" s="3" t="e">
        <f>Data!#REF!</f>
        <v>#REF!</v>
      </c>
      <c r="C58" s="3" t="e">
        <f>Data!#REF!/Data!#REF!</f>
        <v>#REF!</v>
      </c>
      <c r="D58" s="3"/>
      <c r="E58" s="3" t="e">
        <f>Data!#REF!/Data!#REF!</f>
        <v>#REF!</v>
      </c>
      <c r="F58" s="3"/>
      <c r="G58" s="3" t="e">
        <f t="shared" si="0"/>
        <v>#REF!</v>
      </c>
      <c r="H58" s="10" t="e">
        <f t="shared" si="1"/>
        <v>#REF!</v>
      </c>
      <c r="I58" s="3" t="e">
        <f t="shared" si="2"/>
        <v>#REF!</v>
      </c>
      <c r="J58" s="3" t="e">
        <f t="shared" si="3"/>
        <v>#REF!</v>
      </c>
      <c r="K58" s="3" t="e">
        <f t="shared" si="4"/>
        <v>#REF!</v>
      </c>
      <c r="L58" s="3" t="e">
        <f t="shared" si="5"/>
        <v>#REF!</v>
      </c>
      <c r="M58" s="3" t="e">
        <f>AVERAGE(K58:K60)</f>
        <v>#REF!</v>
      </c>
      <c r="N58" s="3" t="e">
        <f>AVERAGE(L58:L60)</f>
        <v>#REF!</v>
      </c>
      <c r="O58" s="4" t="e">
        <f>Data!#REF!</f>
        <v>#REF!</v>
      </c>
    </row>
    <row r="59" spans="1:15" x14ac:dyDescent="0.25">
      <c r="B59" s="3" t="e">
        <f>Data!#REF!</f>
        <v>#REF!</v>
      </c>
      <c r="C59" s="3" t="e">
        <f>Data!#REF!/Data!#REF!</f>
        <v>#REF!</v>
      </c>
      <c r="D59" s="3"/>
      <c r="E59" s="3" t="e">
        <f>Data!#REF!/Data!#REF!</f>
        <v>#REF!</v>
      </c>
      <c r="F59" s="3"/>
      <c r="G59" s="3" t="e">
        <f t="shared" si="0"/>
        <v>#REF!</v>
      </c>
      <c r="H59" s="10" t="e">
        <f t="shared" si="1"/>
        <v>#REF!</v>
      </c>
      <c r="I59" s="3" t="e">
        <f t="shared" si="2"/>
        <v>#REF!</v>
      </c>
      <c r="J59" s="3" t="e">
        <f t="shared" si="3"/>
        <v>#REF!</v>
      </c>
      <c r="K59" s="3" t="e">
        <f t="shared" si="4"/>
        <v>#REF!</v>
      </c>
      <c r="L59" s="3" t="e">
        <f t="shared" si="5"/>
        <v>#REF!</v>
      </c>
    </row>
    <row r="60" spans="1:15" x14ac:dyDescent="0.25">
      <c r="B60" s="3" t="e">
        <f>Data!#REF!</f>
        <v>#REF!</v>
      </c>
      <c r="C60" s="3" t="e">
        <f>Data!#REF!/Data!#REF!</f>
        <v>#REF!</v>
      </c>
      <c r="D60" s="3"/>
      <c r="E60" s="3" t="e">
        <f>Data!#REF!/Data!#REF!</f>
        <v>#REF!</v>
      </c>
      <c r="F60" s="3"/>
      <c r="G60" s="3" t="e">
        <f t="shared" si="0"/>
        <v>#REF!</v>
      </c>
      <c r="H60" s="10" t="e">
        <f t="shared" si="1"/>
        <v>#REF!</v>
      </c>
      <c r="I60" s="3" t="e">
        <f t="shared" si="2"/>
        <v>#REF!</v>
      </c>
      <c r="J60" s="3" t="e">
        <f t="shared" si="3"/>
        <v>#REF!</v>
      </c>
      <c r="K60" s="3" t="e">
        <f t="shared" si="4"/>
        <v>#REF!</v>
      </c>
      <c r="L60" s="3" t="e">
        <f t="shared" si="5"/>
        <v>#REF!</v>
      </c>
    </row>
    <row r="61" spans="1:15" x14ac:dyDescent="0.25">
      <c r="A61" t="e">
        <f>Data!#REF!</f>
        <v>#REF!</v>
      </c>
      <c r="B61" s="3" t="e">
        <f>Data!#REF!</f>
        <v>#REF!</v>
      </c>
      <c r="C61" s="3" t="e">
        <f>Data!#REF!/Data!#REF!</f>
        <v>#REF!</v>
      </c>
      <c r="D61" s="3" t="e">
        <f>B$3/C61</f>
        <v>#REF!</v>
      </c>
      <c r="E61" s="3" t="e">
        <f>Data!#REF!/Data!#REF!</f>
        <v>#REF!</v>
      </c>
      <c r="F61" s="3" t="e">
        <f>C$3/E61</f>
        <v>#REF!</v>
      </c>
      <c r="G61" s="3" t="e">
        <f t="shared" si="0"/>
        <v>#REF!</v>
      </c>
      <c r="H61" s="10" t="e">
        <f t="shared" si="1"/>
        <v>#REF!</v>
      </c>
      <c r="I61" s="3" t="e">
        <f t="shared" si="2"/>
        <v>#REF!</v>
      </c>
      <c r="J61" s="3" t="e">
        <f t="shared" si="3"/>
        <v>#REF!</v>
      </c>
      <c r="K61" s="3" t="e">
        <f t="shared" si="4"/>
        <v>#REF!</v>
      </c>
      <c r="L61" s="3" t="e">
        <f t="shared" si="5"/>
        <v>#REF!</v>
      </c>
      <c r="M61" s="3"/>
      <c r="N61" s="3"/>
      <c r="O61" s="4" t="e">
        <f>Data!#REF!</f>
        <v>#REF!</v>
      </c>
    </row>
    <row r="62" spans="1:15" x14ac:dyDescent="0.25">
      <c r="B62" s="3" t="e">
        <f>Data!#REF!</f>
        <v>#REF!</v>
      </c>
      <c r="C62" s="3" t="e">
        <f>Data!#REF!/Data!#REF!</f>
        <v>#REF!</v>
      </c>
      <c r="D62" s="3" t="e">
        <f>B$3/C62</f>
        <v>#REF!</v>
      </c>
      <c r="E62" s="3" t="e">
        <f>Data!#REF!/Data!#REF!</f>
        <v>#REF!</v>
      </c>
      <c r="F62" s="3" t="e">
        <f>C$3/E62</f>
        <v>#REF!</v>
      </c>
      <c r="G62" s="3" t="e">
        <f t="shared" si="0"/>
        <v>#REF!</v>
      </c>
      <c r="H62" s="10" t="e">
        <f t="shared" si="1"/>
        <v>#REF!</v>
      </c>
      <c r="I62" s="3" t="e">
        <f t="shared" si="2"/>
        <v>#REF!</v>
      </c>
      <c r="J62" s="3" t="e">
        <f t="shared" si="3"/>
        <v>#REF!</v>
      </c>
      <c r="K62" s="3" t="e">
        <f t="shared" si="4"/>
        <v>#REF!</v>
      </c>
      <c r="L62" s="3" t="e">
        <f t="shared" si="5"/>
        <v>#REF!</v>
      </c>
    </row>
    <row r="63" spans="1:15" x14ac:dyDescent="0.25">
      <c r="B63" s="3" t="e">
        <f>Data!#REF!</f>
        <v>#REF!</v>
      </c>
      <c r="C63" s="3" t="e">
        <f>Data!#REF!/Data!#REF!</f>
        <v>#REF!</v>
      </c>
      <c r="D63" s="3" t="e">
        <f>B$3/C63</f>
        <v>#REF!</v>
      </c>
      <c r="E63" s="3" t="e">
        <f>Data!#REF!/Data!#REF!</f>
        <v>#REF!</v>
      </c>
      <c r="F63" s="3" t="e">
        <f>C$3/E63</f>
        <v>#REF!</v>
      </c>
      <c r="G63" s="3" t="e">
        <f t="shared" si="0"/>
        <v>#REF!</v>
      </c>
      <c r="H63" s="10" t="e">
        <f t="shared" si="1"/>
        <v>#REF!</v>
      </c>
      <c r="I63" s="3" t="e">
        <f t="shared" si="2"/>
        <v>#REF!</v>
      </c>
      <c r="J63" s="3" t="e">
        <f t="shared" si="3"/>
        <v>#REF!</v>
      </c>
      <c r="K63" s="3" t="e">
        <f t="shared" si="4"/>
        <v>#REF!</v>
      </c>
      <c r="L63" s="3" t="e">
        <f t="shared" si="5"/>
        <v>#REF!</v>
      </c>
    </row>
    <row r="64" spans="1:15" x14ac:dyDescent="0.25">
      <c r="A64" t="e">
        <f>Data!#REF!</f>
        <v>#REF!</v>
      </c>
      <c r="B64" s="3" t="e">
        <f>Data!#REF!</f>
        <v>#REF!</v>
      </c>
      <c r="C64" s="3" t="e">
        <f>Data!#REF!/Data!#REF!</f>
        <v>#REF!</v>
      </c>
      <c r="D64" s="3" t="e">
        <f>B$4/C64</f>
        <v>#REF!</v>
      </c>
      <c r="E64" s="3" t="e">
        <f>Data!#REF!/Data!#REF!</f>
        <v>#REF!</v>
      </c>
      <c r="F64" s="3" t="e">
        <f>C$4/E64</f>
        <v>#REF!</v>
      </c>
      <c r="G64" s="3" t="e">
        <f t="shared" si="0"/>
        <v>#REF!</v>
      </c>
      <c r="H64" s="10" t="e">
        <f t="shared" si="1"/>
        <v>#REF!</v>
      </c>
      <c r="I64" s="3" t="e">
        <f t="shared" si="2"/>
        <v>#REF!</v>
      </c>
      <c r="J64" s="3" t="e">
        <f t="shared" si="3"/>
        <v>#REF!</v>
      </c>
      <c r="K64" s="3" t="e">
        <f t="shared" si="4"/>
        <v>#REF!</v>
      </c>
      <c r="L64" s="3" t="e">
        <f t="shared" si="5"/>
        <v>#REF!</v>
      </c>
      <c r="M64" s="3"/>
      <c r="N64" s="3"/>
      <c r="O64" s="4" t="e">
        <f>Data!#REF!</f>
        <v>#REF!</v>
      </c>
    </row>
    <row r="65" spans="1:15" x14ac:dyDescent="0.25">
      <c r="B65" s="3" t="e">
        <f>Data!#REF!</f>
        <v>#REF!</v>
      </c>
      <c r="C65" s="3" t="e">
        <f>Data!#REF!/Data!#REF!</f>
        <v>#REF!</v>
      </c>
      <c r="D65" s="3" t="e">
        <f>B$4/C65</f>
        <v>#REF!</v>
      </c>
      <c r="E65" s="3" t="e">
        <f>Data!#REF!/Data!#REF!</f>
        <v>#REF!</v>
      </c>
      <c r="F65" s="3" t="e">
        <f>C$4/E65</f>
        <v>#REF!</v>
      </c>
      <c r="G65" s="3" t="e">
        <f t="shared" si="0"/>
        <v>#REF!</v>
      </c>
      <c r="H65" s="10" t="e">
        <f t="shared" si="1"/>
        <v>#REF!</v>
      </c>
      <c r="I65" s="3" t="e">
        <f t="shared" si="2"/>
        <v>#REF!</v>
      </c>
      <c r="J65" s="3" t="e">
        <f t="shared" si="3"/>
        <v>#REF!</v>
      </c>
      <c r="K65" s="3" t="e">
        <f t="shared" si="4"/>
        <v>#REF!</v>
      </c>
      <c r="L65" s="3" t="e">
        <f t="shared" si="5"/>
        <v>#REF!</v>
      </c>
    </row>
    <row r="66" spans="1:15" x14ac:dyDescent="0.25">
      <c r="B66" s="3" t="e">
        <f>Data!#REF!</f>
        <v>#REF!</v>
      </c>
      <c r="C66" s="3" t="e">
        <f>Data!#REF!/Data!#REF!</f>
        <v>#REF!</v>
      </c>
      <c r="D66" s="3" t="e">
        <f>B$4/C66</f>
        <v>#REF!</v>
      </c>
      <c r="E66" s="3" t="e">
        <f>Data!#REF!/Data!#REF!</f>
        <v>#REF!</v>
      </c>
      <c r="F66" s="3" t="e">
        <f>C$4/E66</f>
        <v>#REF!</v>
      </c>
      <c r="G66" s="3" t="e">
        <f t="shared" si="0"/>
        <v>#REF!</v>
      </c>
      <c r="H66" s="10" t="e">
        <f t="shared" si="1"/>
        <v>#REF!</v>
      </c>
      <c r="I66" s="3" t="e">
        <f t="shared" si="2"/>
        <v>#REF!</v>
      </c>
      <c r="J66" s="3" t="e">
        <f t="shared" si="3"/>
        <v>#REF!</v>
      </c>
      <c r="K66" s="3" t="e">
        <f t="shared" si="4"/>
        <v>#REF!</v>
      </c>
      <c r="L66" s="3" t="e">
        <f t="shared" si="5"/>
        <v>#REF!</v>
      </c>
    </row>
    <row r="67" spans="1:15" x14ac:dyDescent="0.25">
      <c r="A67" t="e">
        <f>Data!#REF!</f>
        <v>#REF!</v>
      </c>
      <c r="B67" s="3" t="e">
        <f>Data!#REF!</f>
        <v>#REF!</v>
      </c>
      <c r="C67" s="3" t="e">
        <f>Data!#REF!/Data!#REF!</f>
        <v>#REF!</v>
      </c>
      <c r="D67" s="3"/>
      <c r="E67" s="3" t="e">
        <f>Data!#REF!/Data!#REF!</f>
        <v>#REF!</v>
      </c>
      <c r="F67" s="3"/>
      <c r="G67" s="3" t="e">
        <f t="shared" si="0"/>
        <v>#REF!</v>
      </c>
      <c r="H67" s="10" t="e">
        <f t="shared" si="1"/>
        <v>#REF!</v>
      </c>
      <c r="I67" s="3" t="e">
        <f t="shared" si="2"/>
        <v>#REF!</v>
      </c>
      <c r="J67" s="3" t="e">
        <f t="shared" si="3"/>
        <v>#REF!</v>
      </c>
      <c r="K67" s="3" t="e">
        <f t="shared" si="4"/>
        <v>#REF!</v>
      </c>
      <c r="L67" s="3" t="e">
        <f t="shared" si="5"/>
        <v>#REF!</v>
      </c>
      <c r="M67" s="3" t="e">
        <f>AVERAGE(K67:K69)</f>
        <v>#REF!</v>
      </c>
      <c r="N67" s="3" t="e">
        <f>AVERAGE(L67:L69)</f>
        <v>#REF!</v>
      </c>
      <c r="O67" s="4" t="e">
        <f>Data!#REF!</f>
        <v>#REF!</v>
      </c>
    </row>
    <row r="68" spans="1:15" x14ac:dyDescent="0.25">
      <c r="B68" s="3" t="e">
        <f>Data!#REF!</f>
        <v>#REF!</v>
      </c>
      <c r="C68" s="3" t="e">
        <f>Data!#REF!/Data!#REF!</f>
        <v>#REF!</v>
      </c>
      <c r="D68" s="3"/>
      <c r="E68" s="3" t="e">
        <f>Data!#REF!/Data!#REF!</f>
        <v>#REF!</v>
      </c>
      <c r="F68" s="3"/>
      <c r="G68" s="3" t="e">
        <f t="shared" si="0"/>
        <v>#REF!</v>
      </c>
      <c r="H68" s="10" t="e">
        <f t="shared" si="1"/>
        <v>#REF!</v>
      </c>
      <c r="I68" s="3" t="e">
        <f t="shared" si="2"/>
        <v>#REF!</v>
      </c>
      <c r="J68" s="3" t="e">
        <f t="shared" si="3"/>
        <v>#REF!</v>
      </c>
      <c r="K68" s="3" t="e">
        <f t="shared" si="4"/>
        <v>#REF!</v>
      </c>
      <c r="L68" s="3" t="e">
        <f t="shared" si="5"/>
        <v>#REF!</v>
      </c>
    </row>
    <row r="69" spans="1:15" x14ac:dyDescent="0.25">
      <c r="B69" s="3" t="e">
        <f>Data!#REF!</f>
        <v>#REF!</v>
      </c>
      <c r="C69" s="3" t="e">
        <f>Data!#REF!/Data!#REF!</f>
        <v>#REF!</v>
      </c>
      <c r="D69" s="3"/>
      <c r="E69" s="3" t="e">
        <f>Data!#REF!/Data!#REF!</f>
        <v>#REF!</v>
      </c>
      <c r="F69" s="3"/>
      <c r="G69" s="3" t="e">
        <f t="shared" si="0"/>
        <v>#REF!</v>
      </c>
      <c r="H69" s="10" t="e">
        <f t="shared" si="1"/>
        <v>#REF!</v>
      </c>
      <c r="I69" s="3" t="e">
        <f t="shared" si="2"/>
        <v>#REF!</v>
      </c>
      <c r="J69" s="3" t="e">
        <f t="shared" si="3"/>
        <v>#REF!</v>
      </c>
      <c r="K69" s="3" t="e">
        <f t="shared" si="4"/>
        <v>#REF!</v>
      </c>
      <c r="L69" s="3" t="e">
        <f t="shared" si="5"/>
        <v>#REF!</v>
      </c>
    </row>
    <row r="70" spans="1:15" x14ac:dyDescent="0.25">
      <c r="A70" t="e">
        <f>Data!#REF!</f>
        <v>#REF!</v>
      </c>
      <c r="B70" s="3" t="e">
        <f>Data!#REF!</f>
        <v>#REF!</v>
      </c>
      <c r="C70" s="3" t="e">
        <f>Data!#REF!/Data!#REF!</f>
        <v>#REF!</v>
      </c>
      <c r="D70" s="3"/>
      <c r="E70" s="3" t="e">
        <f>Data!#REF!/Data!#REF!</f>
        <v>#REF!</v>
      </c>
      <c r="F70" s="3"/>
      <c r="G70" s="3" t="e">
        <f t="shared" si="0"/>
        <v>#REF!</v>
      </c>
      <c r="H70" s="10" t="e">
        <f t="shared" si="1"/>
        <v>#REF!</v>
      </c>
      <c r="I70" s="3" t="e">
        <f t="shared" si="2"/>
        <v>#REF!</v>
      </c>
      <c r="J70" s="3" t="e">
        <f t="shared" si="3"/>
        <v>#REF!</v>
      </c>
      <c r="K70" s="3" t="e">
        <f t="shared" si="4"/>
        <v>#REF!</v>
      </c>
      <c r="L70" s="3" t="e">
        <f t="shared" si="5"/>
        <v>#REF!</v>
      </c>
      <c r="M70" s="3" t="e">
        <f>AVERAGE(K70:K72)</f>
        <v>#REF!</v>
      </c>
      <c r="N70" s="3" t="e">
        <f>AVERAGE(L70:L72)</f>
        <v>#REF!</v>
      </c>
      <c r="O70" s="4" t="e">
        <f>Data!#REF!</f>
        <v>#REF!</v>
      </c>
    </row>
    <row r="71" spans="1:15" x14ac:dyDescent="0.25">
      <c r="B71" s="3" t="e">
        <f>Data!#REF!</f>
        <v>#REF!</v>
      </c>
      <c r="C71" s="3" t="e">
        <f>Data!#REF!/Data!#REF!</f>
        <v>#REF!</v>
      </c>
      <c r="D71" s="3"/>
      <c r="E71" s="3" t="e">
        <f>Data!#REF!/Data!#REF!</f>
        <v>#REF!</v>
      </c>
      <c r="F71" s="3"/>
      <c r="G71" s="3" t="e">
        <f t="shared" si="0"/>
        <v>#REF!</v>
      </c>
      <c r="H71" s="10" t="e">
        <f t="shared" si="1"/>
        <v>#REF!</v>
      </c>
      <c r="I71" s="3" t="e">
        <f t="shared" si="2"/>
        <v>#REF!</v>
      </c>
      <c r="J71" s="3" t="e">
        <f t="shared" si="3"/>
        <v>#REF!</v>
      </c>
      <c r="K71" s="3" t="e">
        <f t="shared" si="4"/>
        <v>#REF!</v>
      </c>
      <c r="L71" s="3" t="e">
        <f t="shared" si="5"/>
        <v>#REF!</v>
      </c>
    </row>
    <row r="72" spans="1:15" x14ac:dyDescent="0.25">
      <c r="B72" s="3" t="e">
        <f>Data!#REF!</f>
        <v>#REF!</v>
      </c>
      <c r="C72" s="3" t="e">
        <f>Data!#REF!/Data!#REF!</f>
        <v>#REF!</v>
      </c>
      <c r="D72" s="3"/>
      <c r="E72" s="3" t="e">
        <f>Data!#REF!/Data!#REF!</f>
        <v>#REF!</v>
      </c>
      <c r="F72" s="3"/>
      <c r="G72" s="3" t="e">
        <f t="shared" si="0"/>
        <v>#REF!</v>
      </c>
      <c r="H72" s="10" t="e">
        <f t="shared" si="1"/>
        <v>#REF!</v>
      </c>
      <c r="I72" s="3" t="e">
        <f t="shared" si="2"/>
        <v>#REF!</v>
      </c>
      <c r="J72" s="3" t="e">
        <f t="shared" si="3"/>
        <v>#REF!</v>
      </c>
      <c r="K72" s="3" t="e">
        <f t="shared" si="4"/>
        <v>#REF!</v>
      </c>
      <c r="L72" s="3" t="e">
        <f t="shared" si="5"/>
        <v>#REF!</v>
      </c>
    </row>
    <row r="73" spans="1:15" x14ac:dyDescent="0.25">
      <c r="A73" t="e">
        <f>Data!#REF!</f>
        <v>#REF!</v>
      </c>
      <c r="B73" s="3" t="e">
        <f>Data!#REF!</f>
        <v>#REF!</v>
      </c>
      <c r="C73" s="3" t="e">
        <f>Data!#REF!/Data!#REF!</f>
        <v>#REF!</v>
      </c>
      <c r="D73" s="3"/>
      <c r="E73" s="3" t="e">
        <f>Data!#REF!/Data!#REF!</f>
        <v>#REF!</v>
      </c>
      <c r="F73" s="3"/>
      <c r="G73" s="3" t="e">
        <f t="shared" si="0"/>
        <v>#REF!</v>
      </c>
      <c r="H73" s="10" t="e">
        <f t="shared" si="1"/>
        <v>#REF!</v>
      </c>
      <c r="I73" s="3" t="e">
        <f t="shared" si="2"/>
        <v>#REF!</v>
      </c>
      <c r="J73" s="3" t="e">
        <f t="shared" si="3"/>
        <v>#REF!</v>
      </c>
      <c r="K73" s="3" t="e">
        <f t="shared" si="4"/>
        <v>#REF!</v>
      </c>
      <c r="L73" s="3" t="e">
        <f t="shared" si="5"/>
        <v>#REF!</v>
      </c>
      <c r="M73" s="3" t="e">
        <f>AVERAGE(K73:K75)</f>
        <v>#REF!</v>
      </c>
      <c r="N73" s="3" t="e">
        <f>AVERAGE(L73:L75)</f>
        <v>#REF!</v>
      </c>
      <c r="O73" s="4" t="e">
        <f>Data!#REF!</f>
        <v>#REF!</v>
      </c>
    </row>
    <row r="74" spans="1:15" x14ac:dyDescent="0.25">
      <c r="B74" s="3" t="e">
        <f>Data!#REF!</f>
        <v>#REF!</v>
      </c>
      <c r="C74" s="3" t="e">
        <f>Data!#REF!/Data!#REF!</f>
        <v>#REF!</v>
      </c>
      <c r="D74" s="3"/>
      <c r="E74" s="3" t="e">
        <f>Data!#REF!/Data!#REF!</f>
        <v>#REF!</v>
      </c>
      <c r="F74" s="3"/>
      <c r="G74" s="3" t="e">
        <f t="shared" si="0"/>
        <v>#REF!</v>
      </c>
      <c r="H74" s="10" t="e">
        <f t="shared" si="1"/>
        <v>#REF!</v>
      </c>
      <c r="I74" s="3" t="e">
        <f t="shared" si="2"/>
        <v>#REF!</v>
      </c>
      <c r="J74" s="3" t="e">
        <f t="shared" si="3"/>
        <v>#REF!</v>
      </c>
      <c r="K74" s="3" t="e">
        <f t="shared" si="4"/>
        <v>#REF!</v>
      </c>
      <c r="L74" s="3" t="e">
        <f t="shared" si="5"/>
        <v>#REF!</v>
      </c>
    </row>
    <row r="75" spans="1:15" x14ac:dyDescent="0.25">
      <c r="B75" s="3" t="e">
        <f>Data!#REF!</f>
        <v>#REF!</v>
      </c>
      <c r="C75" s="3" t="e">
        <f>Data!#REF!/Data!#REF!</f>
        <v>#REF!</v>
      </c>
      <c r="D75" s="3"/>
      <c r="E75" s="3" t="e">
        <f>Data!#REF!/Data!#REF!</f>
        <v>#REF!</v>
      </c>
      <c r="F75" s="3"/>
      <c r="G75" s="3" t="e">
        <f t="shared" si="0"/>
        <v>#REF!</v>
      </c>
      <c r="H75" s="10" t="e">
        <f t="shared" si="1"/>
        <v>#REF!</v>
      </c>
      <c r="I75" s="3" t="e">
        <f t="shared" si="2"/>
        <v>#REF!</v>
      </c>
      <c r="J75" s="3" t="e">
        <f t="shared" si="3"/>
        <v>#REF!</v>
      </c>
      <c r="K75" s="3" t="e">
        <f t="shared" si="4"/>
        <v>#REF!</v>
      </c>
      <c r="L75" s="3" t="e">
        <f t="shared" si="5"/>
        <v>#REF!</v>
      </c>
    </row>
    <row r="76" spans="1:15" x14ac:dyDescent="0.25">
      <c r="A76" t="e">
        <f>Data!#REF!</f>
        <v>#REF!</v>
      </c>
      <c r="B76" s="3" t="e">
        <f>Data!#REF!</f>
        <v>#REF!</v>
      </c>
      <c r="C76" s="3" t="e">
        <f>Data!#REF!/Data!#REF!</f>
        <v>#REF!</v>
      </c>
      <c r="D76" s="3"/>
      <c r="E76" s="3" t="e">
        <f>Data!#REF!/Data!#REF!</f>
        <v>#REF!</v>
      </c>
      <c r="F76" s="3"/>
      <c r="G76" s="3" t="e">
        <f t="shared" si="0"/>
        <v>#REF!</v>
      </c>
      <c r="H76" s="10" t="e">
        <f t="shared" si="1"/>
        <v>#REF!</v>
      </c>
      <c r="I76" s="3" t="e">
        <f t="shared" si="2"/>
        <v>#REF!</v>
      </c>
      <c r="J76" s="3" t="e">
        <f t="shared" si="3"/>
        <v>#REF!</v>
      </c>
      <c r="K76" s="3" t="e">
        <f t="shared" si="4"/>
        <v>#REF!</v>
      </c>
      <c r="L76" s="3" t="e">
        <f t="shared" si="5"/>
        <v>#REF!</v>
      </c>
      <c r="M76" s="3" t="e">
        <f>AVERAGE(K76:K78)</f>
        <v>#REF!</v>
      </c>
      <c r="N76" s="3" t="e">
        <f>AVERAGE(L76:L78)</f>
        <v>#REF!</v>
      </c>
      <c r="O76" s="4" t="e">
        <f>Data!#REF!</f>
        <v>#REF!</v>
      </c>
    </row>
    <row r="77" spans="1:15" x14ac:dyDescent="0.25">
      <c r="B77" s="3" t="e">
        <f>Data!#REF!</f>
        <v>#REF!</v>
      </c>
      <c r="C77" s="3" t="e">
        <f>Data!#REF!/Data!#REF!</f>
        <v>#REF!</v>
      </c>
      <c r="D77" s="3"/>
      <c r="E77" s="3" t="e">
        <f>Data!#REF!/Data!#REF!</f>
        <v>#REF!</v>
      </c>
      <c r="F77" s="3"/>
      <c r="G77" s="3" t="e">
        <f t="shared" si="0"/>
        <v>#REF!</v>
      </c>
      <c r="H77" s="10" t="e">
        <f t="shared" si="1"/>
        <v>#REF!</v>
      </c>
      <c r="I77" s="3" t="e">
        <f t="shared" si="2"/>
        <v>#REF!</v>
      </c>
      <c r="J77" s="3" t="e">
        <f t="shared" si="3"/>
        <v>#REF!</v>
      </c>
      <c r="K77" s="3" t="e">
        <f t="shared" si="4"/>
        <v>#REF!</v>
      </c>
      <c r="L77" s="3" t="e">
        <f t="shared" si="5"/>
        <v>#REF!</v>
      </c>
    </row>
    <row r="78" spans="1:15" x14ac:dyDescent="0.25">
      <c r="B78" s="3" t="e">
        <f>Data!#REF!</f>
        <v>#REF!</v>
      </c>
      <c r="C78" s="3" t="e">
        <f>Data!#REF!/Data!#REF!</f>
        <v>#REF!</v>
      </c>
      <c r="D78" s="3"/>
      <c r="E78" s="3" t="e">
        <f>Data!#REF!/Data!#REF!</f>
        <v>#REF!</v>
      </c>
      <c r="F78" s="3"/>
      <c r="G78" s="3" t="e">
        <f t="shared" ref="G78:G90" si="6">C78-(G$3+G$4*B78)</f>
        <v>#REF!</v>
      </c>
      <c r="H78" s="10" t="e">
        <f t="shared" ref="H78:H90" si="7">E78-(H$3+H$4*B78)</f>
        <v>#REF!</v>
      </c>
      <c r="I78" s="3" t="e">
        <f t="shared" ref="I78:I90" si="8">G78*(B$7/B$9)+B$3</f>
        <v>#REF!</v>
      </c>
      <c r="J78" s="3" t="e">
        <f t="shared" ref="J78:J90" si="9">H78*(C$7)+C$3</f>
        <v>#REF!</v>
      </c>
      <c r="K78" s="3" t="e">
        <f t="shared" ref="K78:K90" si="10">I78*D$3</f>
        <v>#REF!</v>
      </c>
      <c r="L78" s="3" t="e">
        <f t="shared" ref="L78:L90" si="11">J78*D$3</f>
        <v>#REF!</v>
      </c>
    </row>
    <row r="79" spans="1:15" x14ac:dyDescent="0.25">
      <c r="A79" t="e">
        <f>Data!#REF!</f>
        <v>#REF!</v>
      </c>
      <c r="B79" s="3" t="e">
        <f>Data!#REF!</f>
        <v>#REF!</v>
      </c>
      <c r="C79" s="3" t="e">
        <f>Data!#REF!/Data!#REF!</f>
        <v>#REF!</v>
      </c>
      <c r="D79" s="3"/>
      <c r="E79" s="3" t="e">
        <f>Data!#REF!/Data!#REF!</f>
        <v>#REF!</v>
      </c>
      <c r="F79" s="3"/>
      <c r="G79" s="3" t="e">
        <f t="shared" si="6"/>
        <v>#REF!</v>
      </c>
      <c r="H79" s="10" t="e">
        <f t="shared" si="7"/>
        <v>#REF!</v>
      </c>
      <c r="I79" s="3" t="e">
        <f t="shared" si="8"/>
        <v>#REF!</v>
      </c>
      <c r="J79" s="3" t="e">
        <f t="shared" si="9"/>
        <v>#REF!</v>
      </c>
      <c r="K79" s="3" t="e">
        <f t="shared" si="10"/>
        <v>#REF!</v>
      </c>
      <c r="L79" s="3" t="e">
        <f t="shared" si="11"/>
        <v>#REF!</v>
      </c>
      <c r="M79" s="3" t="e">
        <f>AVERAGE(K79:K81)</f>
        <v>#REF!</v>
      </c>
      <c r="N79" s="3" t="e">
        <f>AVERAGE(L79:L81)</f>
        <v>#REF!</v>
      </c>
      <c r="O79" s="4" t="e">
        <f>Data!#REF!</f>
        <v>#REF!</v>
      </c>
    </row>
    <row r="80" spans="1:15" x14ac:dyDescent="0.25">
      <c r="B80" s="3" t="e">
        <f>Data!#REF!</f>
        <v>#REF!</v>
      </c>
      <c r="C80" s="3" t="e">
        <f>Data!#REF!/Data!#REF!</f>
        <v>#REF!</v>
      </c>
      <c r="D80" s="3"/>
      <c r="E80" s="3" t="e">
        <f>Data!#REF!/Data!#REF!</f>
        <v>#REF!</v>
      </c>
      <c r="F80" s="3"/>
      <c r="G80" s="3" t="e">
        <f t="shared" si="6"/>
        <v>#REF!</v>
      </c>
      <c r="H80" s="10" t="e">
        <f t="shared" si="7"/>
        <v>#REF!</v>
      </c>
      <c r="I80" s="3" t="e">
        <f t="shared" si="8"/>
        <v>#REF!</v>
      </c>
      <c r="J80" s="3" t="e">
        <f t="shared" si="9"/>
        <v>#REF!</v>
      </c>
      <c r="K80" s="3" t="e">
        <f t="shared" si="10"/>
        <v>#REF!</v>
      </c>
      <c r="L80" s="3" t="e">
        <f t="shared" si="11"/>
        <v>#REF!</v>
      </c>
    </row>
    <row r="81" spans="1:15" x14ac:dyDescent="0.25">
      <c r="B81" s="3" t="e">
        <f>Data!#REF!</f>
        <v>#REF!</v>
      </c>
      <c r="C81" s="3" t="e">
        <f>Data!#REF!/Data!#REF!</f>
        <v>#REF!</v>
      </c>
      <c r="D81" s="3"/>
      <c r="E81" s="3" t="e">
        <f>Data!#REF!/Data!#REF!</f>
        <v>#REF!</v>
      </c>
      <c r="F81" s="3"/>
      <c r="G81" s="3" t="e">
        <f t="shared" si="6"/>
        <v>#REF!</v>
      </c>
      <c r="H81" s="10" t="e">
        <f t="shared" si="7"/>
        <v>#REF!</v>
      </c>
      <c r="I81" s="3" t="e">
        <f t="shared" si="8"/>
        <v>#REF!</v>
      </c>
      <c r="J81" s="3" t="e">
        <f t="shared" si="9"/>
        <v>#REF!</v>
      </c>
      <c r="K81" s="3" t="e">
        <f t="shared" si="10"/>
        <v>#REF!</v>
      </c>
      <c r="L81" s="3" t="e">
        <f t="shared" si="11"/>
        <v>#REF!</v>
      </c>
    </row>
    <row r="82" spans="1:15" x14ac:dyDescent="0.25">
      <c r="A82" t="e">
        <f>Data!#REF!</f>
        <v>#REF!</v>
      </c>
      <c r="B82" s="3" t="e">
        <f>Data!#REF!</f>
        <v>#REF!</v>
      </c>
      <c r="C82" s="3" t="e">
        <f>Data!#REF!/Data!#REF!</f>
        <v>#REF!</v>
      </c>
      <c r="D82" s="3"/>
      <c r="E82" s="3" t="e">
        <f>Data!#REF!/Data!#REF!</f>
        <v>#REF!</v>
      </c>
      <c r="F82" s="3"/>
      <c r="G82" s="3" t="e">
        <f t="shared" si="6"/>
        <v>#REF!</v>
      </c>
      <c r="H82" s="10" t="e">
        <f t="shared" si="7"/>
        <v>#REF!</v>
      </c>
      <c r="I82" s="3" t="e">
        <f t="shared" si="8"/>
        <v>#REF!</v>
      </c>
      <c r="J82" s="3" t="e">
        <f t="shared" si="9"/>
        <v>#REF!</v>
      </c>
      <c r="K82" s="3" t="e">
        <f t="shared" si="10"/>
        <v>#REF!</v>
      </c>
      <c r="L82" s="3" t="e">
        <f t="shared" si="11"/>
        <v>#REF!</v>
      </c>
      <c r="M82" s="3" t="e">
        <f>AVERAGE(K82:K84)</f>
        <v>#REF!</v>
      </c>
      <c r="N82" s="3" t="e">
        <f>AVERAGE(L82:L84)</f>
        <v>#REF!</v>
      </c>
      <c r="O82" s="4" t="e">
        <f>Data!#REF!</f>
        <v>#REF!</v>
      </c>
    </row>
    <row r="83" spans="1:15" x14ac:dyDescent="0.25">
      <c r="B83" s="3" t="e">
        <f>Data!#REF!</f>
        <v>#REF!</v>
      </c>
      <c r="C83" s="3" t="e">
        <f>Data!#REF!/Data!#REF!</f>
        <v>#REF!</v>
      </c>
      <c r="D83" s="3"/>
      <c r="E83" s="3" t="e">
        <f>Data!#REF!/Data!#REF!</f>
        <v>#REF!</v>
      </c>
      <c r="F83" s="3"/>
      <c r="G83" s="3" t="e">
        <f t="shared" si="6"/>
        <v>#REF!</v>
      </c>
      <c r="H83" s="10" t="e">
        <f t="shared" si="7"/>
        <v>#REF!</v>
      </c>
      <c r="I83" s="3" t="e">
        <f t="shared" si="8"/>
        <v>#REF!</v>
      </c>
      <c r="J83" s="3" t="e">
        <f t="shared" si="9"/>
        <v>#REF!</v>
      </c>
      <c r="K83" s="3" t="e">
        <f t="shared" si="10"/>
        <v>#REF!</v>
      </c>
      <c r="L83" s="3" t="e">
        <f t="shared" si="11"/>
        <v>#REF!</v>
      </c>
    </row>
    <row r="84" spans="1:15" x14ac:dyDescent="0.25">
      <c r="B84" s="3" t="e">
        <f>Data!#REF!</f>
        <v>#REF!</v>
      </c>
      <c r="C84" s="3" t="e">
        <f>Data!#REF!/Data!#REF!</f>
        <v>#REF!</v>
      </c>
      <c r="D84" s="3"/>
      <c r="E84" s="3" t="e">
        <f>Data!#REF!/Data!#REF!</f>
        <v>#REF!</v>
      </c>
      <c r="F84" s="3"/>
      <c r="G84" s="3" t="e">
        <f t="shared" si="6"/>
        <v>#REF!</v>
      </c>
      <c r="H84" s="10" t="e">
        <f t="shared" si="7"/>
        <v>#REF!</v>
      </c>
      <c r="I84" s="3" t="e">
        <f t="shared" si="8"/>
        <v>#REF!</v>
      </c>
      <c r="J84" s="3" t="e">
        <f t="shared" si="9"/>
        <v>#REF!</v>
      </c>
      <c r="K84" s="3" t="e">
        <f t="shared" si="10"/>
        <v>#REF!</v>
      </c>
      <c r="L84" s="3" t="e">
        <f t="shared" si="11"/>
        <v>#REF!</v>
      </c>
    </row>
    <row r="85" spans="1:15" x14ac:dyDescent="0.25">
      <c r="A85" t="e">
        <f>Data!#REF!</f>
        <v>#REF!</v>
      </c>
      <c r="B85" s="3" t="e">
        <f>Data!#REF!</f>
        <v>#REF!</v>
      </c>
      <c r="C85" s="3" t="e">
        <f>Data!#REF!/Data!#REF!</f>
        <v>#REF!</v>
      </c>
      <c r="D85" s="3"/>
      <c r="E85" s="3" t="e">
        <f>Data!#REF!/Data!#REF!</f>
        <v>#REF!</v>
      </c>
      <c r="F85" s="3"/>
      <c r="G85" s="3" t="e">
        <f t="shared" si="6"/>
        <v>#REF!</v>
      </c>
      <c r="H85" s="10" t="e">
        <f t="shared" si="7"/>
        <v>#REF!</v>
      </c>
      <c r="I85" s="3" t="e">
        <f t="shared" si="8"/>
        <v>#REF!</v>
      </c>
      <c r="J85" s="3" t="e">
        <f t="shared" si="9"/>
        <v>#REF!</v>
      </c>
      <c r="K85" s="3" t="e">
        <f t="shared" si="10"/>
        <v>#REF!</v>
      </c>
      <c r="L85" s="3" t="e">
        <f t="shared" si="11"/>
        <v>#REF!</v>
      </c>
      <c r="M85" s="3" t="e">
        <f>AVERAGE(K85:K87)</f>
        <v>#REF!</v>
      </c>
      <c r="N85" s="3" t="e">
        <f>AVERAGE(L85:L87)</f>
        <v>#REF!</v>
      </c>
      <c r="O85" s="4" t="e">
        <f>Data!#REF!</f>
        <v>#REF!</v>
      </c>
    </row>
    <row r="86" spans="1:15" x14ac:dyDescent="0.25">
      <c r="B86" s="3" t="e">
        <f>Data!#REF!</f>
        <v>#REF!</v>
      </c>
      <c r="C86" s="3" t="e">
        <f>Data!#REF!/Data!#REF!</f>
        <v>#REF!</v>
      </c>
      <c r="D86" s="3"/>
      <c r="E86" s="3" t="e">
        <f>Data!#REF!/Data!#REF!</f>
        <v>#REF!</v>
      </c>
      <c r="F86" s="3"/>
      <c r="G86" s="3" t="e">
        <f t="shared" si="6"/>
        <v>#REF!</v>
      </c>
      <c r="H86" s="10" t="e">
        <f t="shared" si="7"/>
        <v>#REF!</v>
      </c>
      <c r="I86" s="3" t="e">
        <f t="shared" si="8"/>
        <v>#REF!</v>
      </c>
      <c r="J86" s="3" t="e">
        <f t="shared" si="9"/>
        <v>#REF!</v>
      </c>
      <c r="K86" s="3" t="e">
        <f t="shared" si="10"/>
        <v>#REF!</v>
      </c>
      <c r="L86" s="3" t="e">
        <f t="shared" si="11"/>
        <v>#REF!</v>
      </c>
    </row>
    <row r="87" spans="1:15" x14ac:dyDescent="0.25">
      <c r="B87" s="3" t="e">
        <f>Data!#REF!</f>
        <v>#REF!</v>
      </c>
      <c r="C87" s="3" t="e">
        <f>Data!#REF!/Data!#REF!</f>
        <v>#REF!</v>
      </c>
      <c r="D87" s="3"/>
      <c r="E87" s="3" t="e">
        <f>Data!#REF!/Data!#REF!</f>
        <v>#REF!</v>
      </c>
      <c r="F87" s="3"/>
      <c r="G87" s="3" t="e">
        <f t="shared" si="6"/>
        <v>#REF!</v>
      </c>
      <c r="H87" s="10" t="e">
        <f t="shared" si="7"/>
        <v>#REF!</v>
      </c>
      <c r="I87" s="3" t="e">
        <f t="shared" si="8"/>
        <v>#REF!</v>
      </c>
      <c r="J87" s="3" t="e">
        <f t="shared" si="9"/>
        <v>#REF!</v>
      </c>
      <c r="K87" s="3" t="e">
        <f t="shared" si="10"/>
        <v>#REF!</v>
      </c>
      <c r="L87" s="3" t="e">
        <f t="shared" si="11"/>
        <v>#REF!</v>
      </c>
    </row>
    <row r="88" spans="1:15" x14ac:dyDescent="0.25">
      <c r="A88">
        <f>Data!A8</f>
        <v>20</v>
      </c>
      <c r="B88" s="3" t="e">
        <f>Data!#REF!</f>
        <v>#REF!</v>
      </c>
      <c r="C88" s="3">
        <f>Data!C8/Data!F8</f>
        <v>6.3299426550029732E-12</v>
      </c>
      <c r="D88" s="3"/>
      <c r="E88" s="3">
        <f>Data!G8/Data!F8</f>
        <v>0.47299738061113084</v>
      </c>
      <c r="F88" s="3"/>
      <c r="G88" s="3" t="e">
        <f t="shared" si="6"/>
        <v>#REF!</v>
      </c>
      <c r="H88" s="10" t="e">
        <f t="shared" si="7"/>
        <v>#REF!</v>
      </c>
      <c r="I88" s="3" t="e">
        <f t="shared" si="8"/>
        <v>#REF!</v>
      </c>
      <c r="J88" s="3" t="e">
        <f t="shared" si="9"/>
        <v>#REF!</v>
      </c>
      <c r="K88" s="3" t="e">
        <f t="shared" si="10"/>
        <v>#REF!</v>
      </c>
      <c r="L88" s="3" t="e">
        <f t="shared" si="11"/>
        <v>#REF!</v>
      </c>
      <c r="M88" s="3" t="e">
        <f>AVERAGE(K88:K90)</f>
        <v>#REF!</v>
      </c>
      <c r="N88" s="3" t="e">
        <f>AVERAGE(L88:L90)</f>
        <v>#REF!</v>
      </c>
      <c r="O88" s="4">
        <f>Data!A8</f>
        <v>20</v>
      </c>
    </row>
    <row r="89" spans="1:15" x14ac:dyDescent="0.25">
      <c r="B89" s="3" t="e">
        <f>Data!#REF!</f>
        <v>#REF!</v>
      </c>
      <c r="C89" s="3">
        <f>Data!C9/Data!F9</f>
        <v>6.3295403596052232E-12</v>
      </c>
      <c r="D89" s="3"/>
      <c r="E89" s="3">
        <f>Data!G9/Data!F9</f>
        <v>0.47334911252355549</v>
      </c>
      <c r="F89" s="3"/>
      <c r="G89" s="3" t="e">
        <f t="shared" si="6"/>
        <v>#REF!</v>
      </c>
      <c r="H89" s="10" t="e">
        <f t="shared" si="7"/>
        <v>#REF!</v>
      </c>
      <c r="I89" s="3" t="e">
        <f t="shared" si="8"/>
        <v>#REF!</v>
      </c>
      <c r="J89" s="3" t="e">
        <f t="shared" si="9"/>
        <v>#REF!</v>
      </c>
      <c r="K89" s="3" t="e">
        <f t="shared" si="10"/>
        <v>#REF!</v>
      </c>
      <c r="L89" s="3" t="e">
        <f t="shared" si="11"/>
        <v>#REF!</v>
      </c>
    </row>
    <row r="90" spans="1:15" x14ac:dyDescent="0.25">
      <c r="B90" s="3" t="e">
        <f>Data!#REF!</f>
        <v>#REF!</v>
      </c>
      <c r="C90" s="3">
        <f>Data!C10/Data!F10</f>
        <v>6.3286277085930803E-12</v>
      </c>
      <c r="D90" s="3"/>
      <c r="E90" s="3">
        <f>Data!G10/Data!F10</f>
        <v>0.47341134136334406</v>
      </c>
      <c r="F90" s="3"/>
      <c r="G90" s="3" t="e">
        <f t="shared" si="6"/>
        <v>#REF!</v>
      </c>
      <c r="H90" s="10" t="e">
        <f t="shared" si="7"/>
        <v>#REF!</v>
      </c>
      <c r="I90" s="3" t="e">
        <f t="shared" si="8"/>
        <v>#REF!</v>
      </c>
      <c r="J90" s="3" t="e">
        <f t="shared" si="9"/>
        <v>#REF!</v>
      </c>
      <c r="K90" s="3" t="e">
        <f t="shared" si="10"/>
        <v>#REF!</v>
      </c>
      <c r="L90" s="3" t="e">
        <f t="shared" si="11"/>
        <v>#REF!</v>
      </c>
    </row>
    <row r="91" spans="1:15" x14ac:dyDescent="0.25">
      <c r="A91">
        <f>Data!A11</f>
        <v>30</v>
      </c>
      <c r="B91" s="3" t="e">
        <f>Data!#REF!</f>
        <v>#REF!</v>
      </c>
      <c r="C91" s="3">
        <f>Data!C11/Data!F11</f>
        <v>5.3617583882539725E-12</v>
      </c>
      <c r="D91" s="3">
        <f>B$3/C91</f>
        <v>7122103838855.6309</v>
      </c>
      <c r="E91" s="3">
        <f>Data!G11/Data!F11</f>
        <v>0.46771069290649364</v>
      </c>
      <c r="F91" s="3">
        <f>C$3/E91</f>
        <v>43.601739941569051</v>
      </c>
      <c r="G91" s="3" t="e">
        <f t="shared" ref="G91:G108" si="12">C91-(G$3+G$4*B91)</f>
        <v>#REF!</v>
      </c>
      <c r="H91" s="10" t="e">
        <f t="shared" ref="H91:H108" si="13">E91-(H$3+H$4*B91)</f>
        <v>#REF!</v>
      </c>
      <c r="I91" s="3" t="e">
        <f t="shared" ref="I91:I108" si="14">G91*(B$7/B$9)+B$3</f>
        <v>#REF!</v>
      </c>
      <c r="J91" s="3" t="e">
        <f t="shared" ref="J91:J108" si="15">H91*(C$7)+C$3</f>
        <v>#REF!</v>
      </c>
      <c r="K91" s="3" t="e">
        <f t="shared" ref="K91:K108" si="16">I91*D$3</f>
        <v>#REF!</v>
      </c>
      <c r="L91" s="3" t="e">
        <f t="shared" ref="L91:L108" si="17">J91*D$3</f>
        <v>#REF!</v>
      </c>
      <c r="M91" s="3"/>
      <c r="N91" s="3"/>
      <c r="O91" s="4">
        <f>Data!A11</f>
        <v>30</v>
      </c>
    </row>
    <row r="92" spans="1:15" x14ac:dyDescent="0.25">
      <c r="B92" s="3" t="e">
        <f>Data!#REF!</f>
        <v>#REF!</v>
      </c>
      <c r="C92" s="3">
        <f>Data!C12/Data!F12</f>
        <v>5.3627159673421005E-12</v>
      </c>
      <c r="D92" s="3">
        <f>B$3/C92</f>
        <v>7120832099359.9912</v>
      </c>
      <c r="E92" s="3">
        <f>Data!G12/Data!F12</f>
        <v>0.46768443884849653</v>
      </c>
      <c r="F92" s="3">
        <f>C$3/E92</f>
        <v>43.604187580434306</v>
      </c>
      <c r="G92" s="3" t="e">
        <f t="shared" si="12"/>
        <v>#REF!</v>
      </c>
      <c r="H92" s="10" t="e">
        <f t="shared" si="13"/>
        <v>#REF!</v>
      </c>
      <c r="I92" s="3" t="e">
        <f t="shared" si="14"/>
        <v>#REF!</v>
      </c>
      <c r="J92" s="3" t="e">
        <f t="shared" si="15"/>
        <v>#REF!</v>
      </c>
      <c r="K92" s="3" t="e">
        <f t="shared" si="16"/>
        <v>#REF!</v>
      </c>
      <c r="L92" s="3" t="e">
        <f t="shared" si="17"/>
        <v>#REF!</v>
      </c>
    </row>
    <row r="93" spans="1:15" x14ac:dyDescent="0.25">
      <c r="B93" s="3" t="e">
        <f>Data!#REF!</f>
        <v>#REF!</v>
      </c>
      <c r="C93" s="3">
        <f>Data!C13/Data!F13</f>
        <v>5.3556862480827068E-12</v>
      </c>
      <c r="D93" s="3">
        <f>B$3/C93</f>
        <v>7130178698139.877</v>
      </c>
      <c r="E93" s="3">
        <f>Data!G13/Data!F13</f>
        <v>0.46774186459772371</v>
      </c>
      <c r="F93" s="3">
        <f>C$3/E93</f>
        <v>43.598834193596886</v>
      </c>
      <c r="G93" s="3" t="e">
        <f t="shared" si="12"/>
        <v>#REF!</v>
      </c>
      <c r="H93" s="10" t="e">
        <f t="shared" si="13"/>
        <v>#REF!</v>
      </c>
      <c r="I93" s="3" t="e">
        <f t="shared" si="14"/>
        <v>#REF!</v>
      </c>
      <c r="J93" s="3" t="e">
        <f t="shared" si="15"/>
        <v>#REF!</v>
      </c>
      <c r="K93" s="3" t="e">
        <f t="shared" si="16"/>
        <v>#REF!</v>
      </c>
      <c r="L93" s="3" t="e">
        <f t="shared" si="17"/>
        <v>#REF!</v>
      </c>
    </row>
    <row r="94" spans="1:15" x14ac:dyDescent="0.25">
      <c r="A94" t="str">
        <f>Data!A14</f>
        <v>Hardwoods_IN_T1_1</v>
      </c>
      <c r="B94" s="3" t="e">
        <f>Data!#REF!</f>
        <v>#REF!</v>
      </c>
      <c r="C94" s="3">
        <f>Data!C14/Data!F14</f>
        <v>6.3480164113830398E-12</v>
      </c>
      <c r="D94" s="3">
        <f>B$4/C94</f>
        <v>6121754809945.957</v>
      </c>
      <c r="E94" s="3">
        <f>Data!G14/Data!F14</f>
        <v>0.35230362623600514</v>
      </c>
      <c r="F94" s="3">
        <f>C$4/E94</f>
        <v>57.847829208398821</v>
      </c>
      <c r="G94" s="3" t="e">
        <f t="shared" si="12"/>
        <v>#REF!</v>
      </c>
      <c r="H94" s="10" t="e">
        <f t="shared" si="13"/>
        <v>#REF!</v>
      </c>
      <c r="I94" s="3" t="e">
        <f t="shared" si="14"/>
        <v>#REF!</v>
      </c>
      <c r="J94" s="3" t="e">
        <f t="shared" si="15"/>
        <v>#REF!</v>
      </c>
      <c r="K94" s="3" t="e">
        <f t="shared" si="16"/>
        <v>#REF!</v>
      </c>
      <c r="L94" s="3" t="e">
        <f t="shared" si="17"/>
        <v>#REF!</v>
      </c>
      <c r="M94" s="3"/>
      <c r="N94" s="3"/>
      <c r="O94" s="4" t="str">
        <f>Data!A14</f>
        <v>Hardwoods_IN_T1_1</v>
      </c>
    </row>
    <row r="95" spans="1:15" x14ac:dyDescent="0.25">
      <c r="B95" s="3" t="e">
        <f>Data!#REF!</f>
        <v>#REF!</v>
      </c>
      <c r="C95" s="3">
        <f>Data!C15/Data!F15</f>
        <v>6.3501671455563879E-12</v>
      </c>
      <c r="D95" s="3">
        <f>B$4/C95</f>
        <v>6119681436604.9385</v>
      </c>
      <c r="E95" s="3">
        <f>Data!G15/Data!F15</f>
        <v>0.35224947732075174</v>
      </c>
      <c r="F95" s="3">
        <f>C$4/E95</f>
        <v>57.856721761555249</v>
      </c>
      <c r="G95" s="3" t="e">
        <f t="shared" si="12"/>
        <v>#REF!</v>
      </c>
      <c r="H95" s="10" t="e">
        <f t="shared" si="13"/>
        <v>#REF!</v>
      </c>
      <c r="I95" s="3" t="e">
        <f t="shared" si="14"/>
        <v>#REF!</v>
      </c>
      <c r="J95" s="3" t="e">
        <f t="shared" si="15"/>
        <v>#REF!</v>
      </c>
      <c r="K95" s="3" t="e">
        <f t="shared" si="16"/>
        <v>#REF!</v>
      </c>
      <c r="L95" s="3" t="e">
        <f t="shared" si="17"/>
        <v>#REF!</v>
      </c>
    </row>
    <row r="96" spans="1:15" x14ac:dyDescent="0.25">
      <c r="B96" s="3" t="e">
        <f>Data!#REF!</f>
        <v>#REF!</v>
      </c>
      <c r="C96" s="3">
        <f>Data!C16/Data!F16</f>
        <v>6.3521640753428484E-12</v>
      </c>
      <c r="D96" s="3">
        <f>B$4/C96</f>
        <v>6117757592384.377</v>
      </c>
      <c r="E96" s="3">
        <f>Data!G16/Data!F16</f>
        <v>0.35221331732937711</v>
      </c>
      <c r="F96" s="3">
        <f>C$4/E96</f>
        <v>57.86266162372663</v>
      </c>
      <c r="G96" s="3" t="e">
        <f t="shared" si="12"/>
        <v>#REF!</v>
      </c>
      <c r="H96" s="10" t="e">
        <f t="shared" si="13"/>
        <v>#REF!</v>
      </c>
      <c r="I96" s="3" t="e">
        <f t="shared" si="14"/>
        <v>#REF!</v>
      </c>
      <c r="J96" s="3" t="e">
        <f t="shared" si="15"/>
        <v>#REF!</v>
      </c>
      <c r="K96" s="3" t="e">
        <f t="shared" si="16"/>
        <v>#REF!</v>
      </c>
      <c r="L96" s="3" t="e">
        <f t="shared" si="17"/>
        <v>#REF!</v>
      </c>
    </row>
    <row r="97" spans="1:15" x14ac:dyDescent="0.25">
      <c r="A97" t="str">
        <f>Data!A17</f>
        <v>Hardwoods_13_T1_1</v>
      </c>
      <c r="B97" s="3" t="e">
        <f>Data!#REF!</f>
        <v>#REF!</v>
      </c>
      <c r="C97" s="3">
        <f>Data!C17/Data!F17</f>
        <v>6.2757263030868949E-12</v>
      </c>
      <c r="D97" s="3">
        <f>B$3/C97</f>
        <v>6084873392457.6396</v>
      </c>
      <c r="E97" s="3">
        <f>Data!G17/Data!F17</f>
        <v>0.2936062282358925</v>
      </c>
      <c r="F97" s="3">
        <f>C$3/E97</f>
        <v>69.456973452264847</v>
      </c>
      <c r="G97" s="3" t="e">
        <f t="shared" si="12"/>
        <v>#REF!</v>
      </c>
      <c r="H97" s="10" t="e">
        <f t="shared" si="13"/>
        <v>#REF!</v>
      </c>
      <c r="I97" s="3" t="e">
        <f t="shared" si="14"/>
        <v>#REF!</v>
      </c>
      <c r="J97" s="3" t="e">
        <f t="shared" si="15"/>
        <v>#REF!</v>
      </c>
      <c r="K97" s="3" t="e">
        <f t="shared" si="16"/>
        <v>#REF!</v>
      </c>
      <c r="L97" s="3" t="e">
        <f t="shared" si="17"/>
        <v>#REF!</v>
      </c>
      <c r="M97" s="3"/>
      <c r="N97" s="3"/>
      <c r="O97" s="4" t="str">
        <f>Data!A17</f>
        <v>Hardwoods_13_T1_1</v>
      </c>
    </row>
    <row r="98" spans="1:15" x14ac:dyDescent="0.25">
      <c r="B98" s="3" t="e">
        <f>Data!#REF!</f>
        <v>#REF!</v>
      </c>
      <c r="C98" s="3">
        <f>Data!C18/Data!F18</f>
        <v>6.2774544141864971E-12</v>
      </c>
      <c r="D98" s="3">
        <f>B$3/C98</f>
        <v>6083198296701.4023</v>
      </c>
      <c r="E98" s="3">
        <f>Data!G18/Data!F18</f>
        <v>0.29347083164276</v>
      </c>
      <c r="F98" s="3">
        <f>C$3/E98</f>
        <v>69.489018332235005</v>
      </c>
      <c r="G98" s="3" t="e">
        <f t="shared" si="12"/>
        <v>#REF!</v>
      </c>
      <c r="H98" s="10" t="e">
        <f t="shared" si="13"/>
        <v>#REF!</v>
      </c>
      <c r="I98" s="3" t="e">
        <f t="shared" si="14"/>
        <v>#REF!</v>
      </c>
      <c r="J98" s="3" t="e">
        <f t="shared" si="15"/>
        <v>#REF!</v>
      </c>
      <c r="K98" s="3" t="e">
        <f t="shared" si="16"/>
        <v>#REF!</v>
      </c>
      <c r="L98" s="3" t="e">
        <f t="shared" si="17"/>
        <v>#REF!</v>
      </c>
    </row>
    <row r="99" spans="1:15" x14ac:dyDescent="0.25">
      <c r="B99" s="3" t="e">
        <f>Data!#REF!</f>
        <v>#REF!</v>
      </c>
      <c r="C99" s="3">
        <f>Data!C19/Data!F19</f>
        <v>6.2766804373352539E-12</v>
      </c>
      <c r="D99" s="3">
        <f>B$3/C99</f>
        <v>6083948415288.7949</v>
      </c>
      <c r="E99" s="3">
        <f>Data!G19/Data!F19</f>
        <v>0.29337665519297396</v>
      </c>
      <c r="F99" s="3">
        <f>C$3/E99</f>
        <v>69.511324909564209</v>
      </c>
      <c r="G99" s="3" t="e">
        <f t="shared" si="12"/>
        <v>#REF!</v>
      </c>
      <c r="H99" s="10" t="e">
        <f t="shared" si="13"/>
        <v>#REF!</v>
      </c>
      <c r="I99" s="3" t="e">
        <f t="shared" si="14"/>
        <v>#REF!</v>
      </c>
      <c r="J99" s="3" t="e">
        <f t="shared" si="15"/>
        <v>#REF!</v>
      </c>
      <c r="K99" s="3" t="e">
        <f t="shared" si="16"/>
        <v>#REF!</v>
      </c>
      <c r="L99" s="3" t="e">
        <f t="shared" si="17"/>
        <v>#REF!</v>
      </c>
    </row>
    <row r="100" spans="1:15" x14ac:dyDescent="0.25">
      <c r="A100" t="str">
        <f>Data!A20</f>
        <v>Hardwoods_14_T1_1</v>
      </c>
      <c r="B100" s="3" t="e">
        <f>Data!#REF!</f>
        <v>#REF!</v>
      </c>
      <c r="C100" s="3">
        <f>Data!C20/Data!F20</f>
        <v>6.2592964824120607E-12</v>
      </c>
      <c r="D100" s="3">
        <f>B$4/C100</f>
        <v>6208525208734.7451</v>
      </c>
      <c r="E100" s="3">
        <f>Data!G20/Data!F20</f>
        <v>0.34459898751643192</v>
      </c>
      <c r="F100" s="3">
        <f>C$4/E100</f>
        <v>59.141206847069434</v>
      </c>
      <c r="G100" s="3" t="e">
        <f t="shared" si="12"/>
        <v>#REF!</v>
      </c>
      <c r="H100" s="10" t="e">
        <f t="shared" si="13"/>
        <v>#REF!</v>
      </c>
      <c r="I100" s="3" t="e">
        <f t="shared" si="14"/>
        <v>#REF!</v>
      </c>
      <c r="J100" s="3" t="e">
        <f t="shared" si="15"/>
        <v>#REF!</v>
      </c>
      <c r="K100" s="3" t="e">
        <f t="shared" si="16"/>
        <v>#REF!</v>
      </c>
      <c r="L100" s="3" t="e">
        <f t="shared" si="17"/>
        <v>#REF!</v>
      </c>
      <c r="M100" s="3"/>
      <c r="N100" s="3"/>
      <c r="O100" s="4" t="str">
        <f>Data!A20</f>
        <v>Hardwoods_14_T1_1</v>
      </c>
    </row>
    <row r="101" spans="1:15" x14ac:dyDescent="0.25">
      <c r="B101" s="3" t="e">
        <f>Data!#REF!</f>
        <v>#REF!</v>
      </c>
      <c r="C101" s="3">
        <f>Data!C21/Data!F21</f>
        <v>6.2621781528153932E-12</v>
      </c>
      <c r="D101" s="3">
        <f>B$4/C101</f>
        <v>6205668227839.957</v>
      </c>
      <c r="E101" s="3">
        <f>Data!G21/Data!F21</f>
        <v>0.34467265035700695</v>
      </c>
      <c r="F101" s="3">
        <f>C$4/E101</f>
        <v>59.128567290995356</v>
      </c>
      <c r="G101" s="3" t="e">
        <f t="shared" si="12"/>
        <v>#REF!</v>
      </c>
      <c r="H101" s="10" t="e">
        <f t="shared" si="13"/>
        <v>#REF!</v>
      </c>
      <c r="I101" s="3" t="e">
        <f t="shared" si="14"/>
        <v>#REF!</v>
      </c>
      <c r="J101" s="3" t="e">
        <f t="shared" si="15"/>
        <v>#REF!</v>
      </c>
      <c r="K101" s="3" t="e">
        <f t="shared" si="16"/>
        <v>#REF!</v>
      </c>
      <c r="L101" s="3" t="e">
        <f t="shared" si="17"/>
        <v>#REF!</v>
      </c>
    </row>
    <row r="102" spans="1:15" x14ac:dyDescent="0.25">
      <c r="B102" s="3" t="e">
        <f>Data!#REF!</f>
        <v>#REF!</v>
      </c>
      <c r="C102" s="3">
        <f>Data!C22/Data!F22</f>
        <v>6.2624151231430243E-12</v>
      </c>
      <c r="D102" s="3">
        <f>B$4/C102</f>
        <v>6205433404819.7314</v>
      </c>
      <c r="E102" s="3">
        <f>Data!G22/Data!F22</f>
        <v>0.34469582365386175</v>
      </c>
      <c r="F102" s="3">
        <f>C$4/E102</f>
        <v>59.124592180917404</v>
      </c>
      <c r="G102" s="3" t="e">
        <f t="shared" si="12"/>
        <v>#REF!</v>
      </c>
      <c r="H102" s="10" t="e">
        <f t="shared" si="13"/>
        <v>#REF!</v>
      </c>
      <c r="I102" s="3" t="e">
        <f t="shared" si="14"/>
        <v>#REF!</v>
      </c>
      <c r="J102" s="3" t="e">
        <f t="shared" si="15"/>
        <v>#REF!</v>
      </c>
      <c r="K102" s="3" t="e">
        <f t="shared" si="16"/>
        <v>#REF!</v>
      </c>
      <c r="L102" s="3" t="e">
        <f t="shared" si="17"/>
        <v>#REF!</v>
      </c>
    </row>
    <row r="103" spans="1:15" x14ac:dyDescent="0.25">
      <c r="A103">
        <f>Data!A23</f>
        <v>20</v>
      </c>
      <c r="B103" s="3" t="e">
        <f>Data!#REF!</f>
        <v>#REF!</v>
      </c>
      <c r="C103" s="3">
        <f>Data!C23/Data!F23</f>
        <v>6.2516783904235828E-12</v>
      </c>
      <c r="D103" s="3"/>
      <c r="E103" s="3">
        <f>Data!G23/Data!F23</f>
        <v>0.47287788510818124</v>
      </c>
      <c r="F103" s="3"/>
      <c r="G103" s="3" t="e">
        <f t="shared" si="12"/>
        <v>#REF!</v>
      </c>
      <c r="H103" s="10" t="e">
        <f t="shared" si="13"/>
        <v>#REF!</v>
      </c>
      <c r="I103" s="3" t="e">
        <f t="shared" si="14"/>
        <v>#REF!</v>
      </c>
      <c r="J103" s="3" t="e">
        <f t="shared" si="15"/>
        <v>#REF!</v>
      </c>
      <c r="K103" s="3" t="e">
        <f t="shared" si="16"/>
        <v>#REF!</v>
      </c>
      <c r="L103" s="3" t="e">
        <f t="shared" si="17"/>
        <v>#REF!</v>
      </c>
      <c r="M103" s="3" t="e">
        <f>AVERAGE(K103:K105)</f>
        <v>#REF!</v>
      </c>
      <c r="N103" s="3" t="e">
        <f>AVERAGE(L103:L105)</f>
        <v>#REF!</v>
      </c>
      <c r="O103" s="4">
        <f>Data!A23</f>
        <v>20</v>
      </c>
    </row>
    <row r="104" spans="1:15" x14ac:dyDescent="0.25">
      <c r="B104" s="3" t="e">
        <f>Data!#REF!</f>
        <v>#REF!</v>
      </c>
      <c r="C104" s="3">
        <f>Data!C24/Data!F24</f>
        <v>6.2481295576523243E-12</v>
      </c>
      <c r="D104" s="3"/>
      <c r="E104" s="3">
        <f>Data!G24/Data!F24</f>
        <v>0.4730695630384486</v>
      </c>
      <c r="F104" s="3"/>
      <c r="G104" s="3" t="e">
        <f t="shared" si="12"/>
        <v>#REF!</v>
      </c>
      <c r="H104" s="10" t="e">
        <f t="shared" si="13"/>
        <v>#REF!</v>
      </c>
      <c r="I104" s="3" t="e">
        <f t="shared" si="14"/>
        <v>#REF!</v>
      </c>
      <c r="J104" s="3" t="e">
        <f t="shared" si="15"/>
        <v>#REF!</v>
      </c>
      <c r="K104" s="3" t="e">
        <f t="shared" si="16"/>
        <v>#REF!</v>
      </c>
      <c r="L104" s="3" t="e">
        <f t="shared" si="17"/>
        <v>#REF!</v>
      </c>
    </row>
    <row r="105" spans="1:15" x14ac:dyDescent="0.25">
      <c r="B105" s="3" t="e">
        <f>Data!#REF!</f>
        <v>#REF!</v>
      </c>
      <c r="C105" s="3">
        <f>Data!C25/Data!F25</f>
        <v>6.2469354231007491E-12</v>
      </c>
      <c r="D105" s="3"/>
      <c r="E105" s="3">
        <f>Data!G25/Data!F25</f>
        <v>0.47315531758866763</v>
      </c>
      <c r="F105" s="3"/>
      <c r="G105" s="3" t="e">
        <f t="shared" si="12"/>
        <v>#REF!</v>
      </c>
      <c r="H105" s="10" t="e">
        <f t="shared" si="13"/>
        <v>#REF!</v>
      </c>
      <c r="I105" s="3" t="e">
        <f t="shared" si="14"/>
        <v>#REF!</v>
      </c>
      <c r="J105" s="3" t="e">
        <f t="shared" si="15"/>
        <v>#REF!</v>
      </c>
      <c r="K105" s="3" t="e">
        <f t="shared" si="16"/>
        <v>#REF!</v>
      </c>
      <c r="L105" s="3" t="e">
        <f t="shared" si="17"/>
        <v>#REF!</v>
      </c>
    </row>
    <row r="106" spans="1:15" x14ac:dyDescent="0.25">
      <c r="A106">
        <f>Data!A26</f>
        <v>30</v>
      </c>
      <c r="B106" s="3" t="e">
        <f>Data!#REF!</f>
        <v>#REF!</v>
      </c>
      <c r="C106" s="3">
        <f>Data!C26/Data!F26</f>
        <v>5.3023645213534044E-12</v>
      </c>
      <c r="D106" s="3"/>
      <c r="E106" s="3">
        <f>Data!G26/Data!F26</f>
        <v>0.46664074695583602</v>
      </c>
      <c r="F106" s="3"/>
      <c r="G106" s="3" t="e">
        <f t="shared" si="12"/>
        <v>#REF!</v>
      </c>
      <c r="H106" s="10" t="e">
        <f t="shared" si="13"/>
        <v>#REF!</v>
      </c>
      <c r="I106" s="3" t="e">
        <f t="shared" si="14"/>
        <v>#REF!</v>
      </c>
      <c r="J106" s="3" t="e">
        <f t="shared" si="15"/>
        <v>#REF!</v>
      </c>
      <c r="K106" s="3" t="e">
        <f t="shared" si="16"/>
        <v>#REF!</v>
      </c>
      <c r="L106" s="3" t="e">
        <f t="shared" si="17"/>
        <v>#REF!</v>
      </c>
      <c r="M106" s="3" t="e">
        <f>AVERAGE(K106:K108)</f>
        <v>#REF!</v>
      </c>
      <c r="N106" s="3" t="e">
        <f>AVERAGE(L106:L108)</f>
        <v>#REF!</v>
      </c>
      <c r="O106" s="4">
        <f>Data!A26</f>
        <v>30</v>
      </c>
    </row>
    <row r="107" spans="1:15" x14ac:dyDescent="0.25">
      <c r="B107" s="3" t="e">
        <f>Data!#REF!</f>
        <v>#REF!</v>
      </c>
      <c r="C107" s="3">
        <f>Data!C27/Data!F27</f>
        <v>5.2952145235051196E-12</v>
      </c>
      <c r="D107" s="3"/>
      <c r="E107" s="3">
        <f>Data!G27/Data!F27</f>
        <v>0.46677112248041824</v>
      </c>
      <c r="F107" s="3"/>
      <c r="G107" s="3" t="e">
        <f t="shared" si="12"/>
        <v>#REF!</v>
      </c>
      <c r="H107" s="10" t="e">
        <f t="shared" si="13"/>
        <v>#REF!</v>
      </c>
      <c r="I107" s="3" t="e">
        <f t="shared" si="14"/>
        <v>#REF!</v>
      </c>
      <c r="J107" s="3" t="e">
        <f t="shared" si="15"/>
        <v>#REF!</v>
      </c>
      <c r="K107" s="3" t="e">
        <f t="shared" si="16"/>
        <v>#REF!</v>
      </c>
      <c r="L107" s="3" t="e">
        <f t="shared" si="17"/>
        <v>#REF!</v>
      </c>
    </row>
    <row r="108" spans="1:15" x14ac:dyDescent="0.25">
      <c r="B108" s="3" t="e">
        <f>Data!#REF!</f>
        <v>#REF!</v>
      </c>
      <c r="C108" s="3">
        <f>Data!C28/Data!F28</f>
        <v>5.293076535215947E-12</v>
      </c>
      <c r="D108" s="3"/>
      <c r="E108" s="3">
        <f>Data!G28/Data!F28</f>
        <v>0.46679653910919311</v>
      </c>
      <c r="F108" s="3"/>
      <c r="G108" s="3" t="e">
        <f t="shared" si="12"/>
        <v>#REF!</v>
      </c>
      <c r="H108" s="10" t="e">
        <f t="shared" si="13"/>
        <v>#REF!</v>
      </c>
      <c r="I108" s="3" t="e">
        <f t="shared" si="14"/>
        <v>#REF!</v>
      </c>
      <c r="J108" s="3" t="e">
        <f t="shared" si="15"/>
        <v>#REF!</v>
      </c>
      <c r="K108" s="3" t="e">
        <f t="shared" si="16"/>
        <v>#REF!</v>
      </c>
      <c r="L108" s="3" t="e">
        <f t="shared" si="17"/>
        <v>#REF!</v>
      </c>
    </row>
    <row r="109" spans="1:15" x14ac:dyDescent="0.25">
      <c r="A109" t="e">
        <f>Data!#REF!</f>
        <v>#REF!</v>
      </c>
      <c r="B109" s="3" t="e">
        <f>Data!#REF!</f>
        <v>#REF!</v>
      </c>
      <c r="C109" s="3" t="e">
        <f>Data!#REF!/Data!#REF!</f>
        <v>#REF!</v>
      </c>
      <c r="D109" s="3"/>
      <c r="E109" s="3" t="e">
        <f>Data!#REF!/Data!#REF!</f>
        <v>#REF!</v>
      </c>
      <c r="F109" s="3"/>
      <c r="G109" s="3" t="e">
        <f t="shared" ref="G109:G172" si="18">C109-(G$3+G$4*B109)</f>
        <v>#REF!</v>
      </c>
      <c r="H109" s="10" t="e">
        <f t="shared" ref="H109:H172" si="19">E109-(H$3+H$4*B109)</f>
        <v>#REF!</v>
      </c>
      <c r="I109" s="3" t="e">
        <f t="shared" ref="I109:I172" si="20">G109*(B$7/B$9)+B$3</f>
        <v>#REF!</v>
      </c>
      <c r="J109" s="3" t="e">
        <f t="shared" ref="J109:J172" si="21">H109*(C$7)+C$3</f>
        <v>#REF!</v>
      </c>
      <c r="K109" s="3" t="e">
        <f t="shared" ref="K109:K172" si="22">I109*D$3</f>
        <v>#REF!</v>
      </c>
      <c r="L109" s="3" t="e">
        <f t="shared" ref="L109:L172" si="23">J109*D$3</f>
        <v>#REF!</v>
      </c>
      <c r="M109" s="3" t="e">
        <f>AVERAGE(K109:K111)</f>
        <v>#REF!</v>
      </c>
      <c r="N109" s="3" t="e">
        <f>AVERAGE(L109:L111)</f>
        <v>#REF!</v>
      </c>
      <c r="O109" s="4" t="e">
        <f>Data!#REF!</f>
        <v>#REF!</v>
      </c>
    </row>
    <row r="110" spans="1:15" x14ac:dyDescent="0.25">
      <c r="B110" s="3" t="e">
        <f>Data!#REF!</f>
        <v>#REF!</v>
      </c>
      <c r="C110" s="3" t="e">
        <f>Data!#REF!/Data!#REF!</f>
        <v>#REF!</v>
      </c>
      <c r="D110" s="3"/>
      <c r="E110" s="3" t="e">
        <f>Data!#REF!/Data!#REF!</f>
        <v>#REF!</v>
      </c>
      <c r="F110" s="3"/>
      <c r="G110" s="3" t="e">
        <f t="shared" si="18"/>
        <v>#REF!</v>
      </c>
      <c r="H110" s="10" t="e">
        <f t="shared" si="19"/>
        <v>#REF!</v>
      </c>
      <c r="I110" s="3" t="e">
        <f t="shared" si="20"/>
        <v>#REF!</v>
      </c>
      <c r="J110" s="3" t="e">
        <f t="shared" si="21"/>
        <v>#REF!</v>
      </c>
      <c r="K110" s="3" t="e">
        <f t="shared" si="22"/>
        <v>#REF!</v>
      </c>
      <c r="L110" s="3" t="e">
        <f t="shared" si="23"/>
        <v>#REF!</v>
      </c>
    </row>
    <row r="111" spans="1:15" x14ac:dyDescent="0.25">
      <c r="B111" s="3" t="e">
        <f>Data!#REF!</f>
        <v>#REF!</v>
      </c>
      <c r="C111" s="3" t="e">
        <f>Data!#REF!/Data!#REF!</f>
        <v>#REF!</v>
      </c>
      <c r="D111" s="3"/>
      <c r="E111" s="3" t="e">
        <f>Data!#REF!/Data!#REF!</f>
        <v>#REF!</v>
      </c>
      <c r="F111" s="3"/>
      <c r="G111" s="3" t="e">
        <f t="shared" si="18"/>
        <v>#REF!</v>
      </c>
      <c r="H111" s="10" t="e">
        <f t="shared" si="19"/>
        <v>#REF!</v>
      </c>
      <c r="I111" s="3" t="e">
        <f t="shared" si="20"/>
        <v>#REF!</v>
      </c>
      <c r="J111" s="3" t="e">
        <f t="shared" si="21"/>
        <v>#REF!</v>
      </c>
      <c r="K111" s="3" t="e">
        <f t="shared" si="22"/>
        <v>#REF!</v>
      </c>
      <c r="L111" s="3" t="e">
        <f t="shared" si="23"/>
        <v>#REF!</v>
      </c>
    </row>
    <row r="112" spans="1:15" x14ac:dyDescent="0.25">
      <c r="A112" t="e">
        <f>Data!#REF!</f>
        <v>#REF!</v>
      </c>
      <c r="B112" s="3" t="e">
        <f>Data!#REF!</f>
        <v>#REF!</v>
      </c>
      <c r="C112" s="3" t="e">
        <f>Data!#REF!/Data!#REF!</f>
        <v>#REF!</v>
      </c>
      <c r="D112" s="3"/>
      <c r="E112" s="3" t="e">
        <f>Data!#REF!/Data!#REF!</f>
        <v>#REF!</v>
      </c>
      <c r="F112" s="3"/>
      <c r="G112" s="3" t="e">
        <f t="shared" si="18"/>
        <v>#REF!</v>
      </c>
      <c r="H112" s="10" t="e">
        <f t="shared" si="19"/>
        <v>#REF!</v>
      </c>
      <c r="I112" s="3" t="e">
        <f t="shared" si="20"/>
        <v>#REF!</v>
      </c>
      <c r="J112" s="3" t="e">
        <f t="shared" si="21"/>
        <v>#REF!</v>
      </c>
      <c r="K112" s="3" t="e">
        <f t="shared" si="22"/>
        <v>#REF!</v>
      </c>
      <c r="L112" s="3" t="e">
        <f t="shared" si="23"/>
        <v>#REF!</v>
      </c>
      <c r="M112" s="3" t="e">
        <f>AVERAGE(K112:K114)</f>
        <v>#REF!</v>
      </c>
      <c r="N112" s="3" t="e">
        <f>AVERAGE(L112:L114)</f>
        <v>#REF!</v>
      </c>
      <c r="O112" s="4" t="e">
        <f>Data!#REF!</f>
        <v>#REF!</v>
      </c>
    </row>
    <row r="113" spans="1:15" x14ac:dyDescent="0.25">
      <c r="B113" s="3" t="e">
        <f>Data!#REF!</f>
        <v>#REF!</v>
      </c>
      <c r="C113" s="3" t="e">
        <f>Data!#REF!/Data!#REF!</f>
        <v>#REF!</v>
      </c>
      <c r="D113" s="3"/>
      <c r="E113" s="3" t="e">
        <f>Data!#REF!/Data!#REF!</f>
        <v>#REF!</v>
      </c>
      <c r="F113" s="3"/>
      <c r="G113" s="3" t="e">
        <f t="shared" si="18"/>
        <v>#REF!</v>
      </c>
      <c r="H113" s="10" t="e">
        <f t="shared" si="19"/>
        <v>#REF!</v>
      </c>
      <c r="I113" s="3" t="e">
        <f t="shared" si="20"/>
        <v>#REF!</v>
      </c>
      <c r="J113" s="3" t="e">
        <f t="shared" si="21"/>
        <v>#REF!</v>
      </c>
      <c r="K113" s="3" t="e">
        <f t="shared" si="22"/>
        <v>#REF!</v>
      </c>
      <c r="L113" s="3" t="e">
        <f t="shared" si="23"/>
        <v>#REF!</v>
      </c>
    </row>
    <row r="114" spans="1:15" x14ac:dyDescent="0.25">
      <c r="B114" s="3" t="e">
        <f>Data!#REF!</f>
        <v>#REF!</v>
      </c>
      <c r="C114" s="3" t="e">
        <f>Data!#REF!/Data!#REF!</f>
        <v>#REF!</v>
      </c>
      <c r="D114" s="3"/>
      <c r="E114" s="3" t="e">
        <f>Data!#REF!/Data!#REF!</f>
        <v>#REF!</v>
      </c>
      <c r="F114" s="3"/>
      <c r="G114" s="3" t="e">
        <f t="shared" si="18"/>
        <v>#REF!</v>
      </c>
      <c r="H114" s="10" t="e">
        <f t="shared" si="19"/>
        <v>#REF!</v>
      </c>
      <c r="I114" s="3" t="e">
        <f t="shared" si="20"/>
        <v>#REF!</v>
      </c>
      <c r="J114" s="3" t="e">
        <f t="shared" si="21"/>
        <v>#REF!</v>
      </c>
      <c r="K114" s="3" t="e">
        <f t="shared" si="22"/>
        <v>#REF!</v>
      </c>
      <c r="L114" s="3" t="e">
        <f t="shared" si="23"/>
        <v>#REF!</v>
      </c>
    </row>
    <row r="115" spans="1:15" x14ac:dyDescent="0.25">
      <c r="A115" t="e">
        <f>Data!#REF!</f>
        <v>#REF!</v>
      </c>
      <c r="B115" s="3" t="e">
        <f>Data!#REF!</f>
        <v>#REF!</v>
      </c>
      <c r="C115" s="3" t="e">
        <f>Data!#REF!/Data!#REF!</f>
        <v>#REF!</v>
      </c>
      <c r="D115" s="3"/>
      <c r="E115" s="3" t="e">
        <f>Data!#REF!/Data!#REF!</f>
        <v>#REF!</v>
      </c>
      <c r="F115" s="3"/>
      <c r="G115" s="3" t="e">
        <f t="shared" si="18"/>
        <v>#REF!</v>
      </c>
      <c r="H115" s="10" t="e">
        <f t="shared" si="19"/>
        <v>#REF!</v>
      </c>
      <c r="I115" s="3" t="e">
        <f t="shared" si="20"/>
        <v>#REF!</v>
      </c>
      <c r="J115" s="3" t="e">
        <f t="shared" si="21"/>
        <v>#REF!</v>
      </c>
      <c r="K115" s="3" t="e">
        <f t="shared" si="22"/>
        <v>#REF!</v>
      </c>
      <c r="L115" s="3" t="e">
        <f t="shared" si="23"/>
        <v>#REF!</v>
      </c>
      <c r="M115" s="3" t="e">
        <f>AVERAGE(K115:K117)</f>
        <v>#REF!</v>
      </c>
      <c r="N115" s="3" t="e">
        <f>AVERAGE(L115:L117)</f>
        <v>#REF!</v>
      </c>
      <c r="O115" s="4" t="e">
        <f>Data!#REF!</f>
        <v>#REF!</v>
      </c>
    </row>
    <row r="116" spans="1:15" x14ac:dyDescent="0.25">
      <c r="B116" s="3" t="e">
        <f>Data!#REF!</f>
        <v>#REF!</v>
      </c>
      <c r="C116" s="3" t="e">
        <f>Data!#REF!/Data!#REF!</f>
        <v>#REF!</v>
      </c>
      <c r="D116" s="3"/>
      <c r="E116" s="3" t="e">
        <f>Data!#REF!/Data!#REF!</f>
        <v>#REF!</v>
      </c>
      <c r="F116" s="3"/>
      <c r="G116" s="3" t="e">
        <f t="shared" si="18"/>
        <v>#REF!</v>
      </c>
      <c r="H116" s="10" t="e">
        <f t="shared" si="19"/>
        <v>#REF!</v>
      </c>
      <c r="I116" s="3" t="e">
        <f t="shared" si="20"/>
        <v>#REF!</v>
      </c>
      <c r="J116" s="3" t="e">
        <f t="shared" si="21"/>
        <v>#REF!</v>
      </c>
      <c r="K116" s="3" t="e">
        <f t="shared" si="22"/>
        <v>#REF!</v>
      </c>
      <c r="L116" s="3" t="e">
        <f t="shared" si="23"/>
        <v>#REF!</v>
      </c>
    </row>
    <row r="117" spans="1:15" x14ac:dyDescent="0.25">
      <c r="B117" s="3" t="e">
        <f>Data!#REF!</f>
        <v>#REF!</v>
      </c>
      <c r="C117" s="3" t="e">
        <f>Data!#REF!/Data!#REF!</f>
        <v>#REF!</v>
      </c>
      <c r="D117" s="3"/>
      <c r="E117" s="3" t="e">
        <f>Data!#REF!/Data!#REF!</f>
        <v>#REF!</v>
      </c>
      <c r="F117" s="3"/>
      <c r="G117" s="3" t="e">
        <f t="shared" si="18"/>
        <v>#REF!</v>
      </c>
      <c r="H117" s="10" t="e">
        <f t="shared" si="19"/>
        <v>#REF!</v>
      </c>
      <c r="I117" s="3" t="e">
        <f t="shared" si="20"/>
        <v>#REF!</v>
      </c>
      <c r="J117" s="3" t="e">
        <f t="shared" si="21"/>
        <v>#REF!</v>
      </c>
      <c r="K117" s="3" t="e">
        <f t="shared" si="22"/>
        <v>#REF!</v>
      </c>
      <c r="L117" s="3" t="e">
        <f t="shared" si="23"/>
        <v>#REF!</v>
      </c>
    </row>
    <row r="118" spans="1:15" x14ac:dyDescent="0.25">
      <c r="A118" t="e">
        <f>Data!#REF!</f>
        <v>#REF!</v>
      </c>
      <c r="B118" s="3" t="e">
        <f>Data!#REF!</f>
        <v>#REF!</v>
      </c>
      <c r="C118" s="3" t="e">
        <f>Data!#REF!/Data!#REF!</f>
        <v>#REF!</v>
      </c>
      <c r="D118" s="3"/>
      <c r="E118" s="3" t="e">
        <f>Data!#REF!/Data!#REF!</f>
        <v>#REF!</v>
      </c>
      <c r="F118" s="3"/>
      <c r="G118" s="3" t="e">
        <f t="shared" si="18"/>
        <v>#REF!</v>
      </c>
      <c r="H118" s="10" t="e">
        <f t="shared" si="19"/>
        <v>#REF!</v>
      </c>
      <c r="I118" s="3" t="e">
        <f t="shared" si="20"/>
        <v>#REF!</v>
      </c>
      <c r="J118" s="3" t="e">
        <f t="shared" si="21"/>
        <v>#REF!</v>
      </c>
      <c r="K118" s="3" t="e">
        <f t="shared" si="22"/>
        <v>#REF!</v>
      </c>
      <c r="L118" s="3" t="e">
        <f t="shared" si="23"/>
        <v>#REF!</v>
      </c>
      <c r="M118" s="3" t="e">
        <f>AVERAGE(K118:K120)</f>
        <v>#REF!</v>
      </c>
      <c r="N118" s="3" t="e">
        <f>AVERAGE(L118:L120)</f>
        <v>#REF!</v>
      </c>
      <c r="O118" s="4" t="e">
        <f>Data!#REF!</f>
        <v>#REF!</v>
      </c>
    </row>
    <row r="119" spans="1:15" x14ac:dyDescent="0.25">
      <c r="B119" s="3" t="e">
        <f>Data!#REF!</f>
        <v>#REF!</v>
      </c>
      <c r="C119" s="3" t="e">
        <f>Data!#REF!/Data!#REF!</f>
        <v>#REF!</v>
      </c>
      <c r="D119" s="3"/>
      <c r="E119" s="3" t="e">
        <f>Data!#REF!/Data!#REF!</f>
        <v>#REF!</v>
      </c>
      <c r="F119" s="3"/>
      <c r="G119" s="3" t="e">
        <f t="shared" si="18"/>
        <v>#REF!</v>
      </c>
      <c r="H119" s="10" t="e">
        <f t="shared" si="19"/>
        <v>#REF!</v>
      </c>
      <c r="I119" s="3" t="e">
        <f t="shared" si="20"/>
        <v>#REF!</v>
      </c>
      <c r="J119" s="3" t="e">
        <f t="shared" si="21"/>
        <v>#REF!</v>
      </c>
      <c r="K119" s="3" t="e">
        <f t="shared" si="22"/>
        <v>#REF!</v>
      </c>
      <c r="L119" s="3" t="e">
        <f t="shared" si="23"/>
        <v>#REF!</v>
      </c>
    </row>
    <row r="120" spans="1:15" x14ac:dyDescent="0.25">
      <c r="B120" s="3" t="e">
        <f>Data!#REF!</f>
        <v>#REF!</v>
      </c>
      <c r="C120" s="3" t="e">
        <f>Data!#REF!/Data!#REF!</f>
        <v>#REF!</v>
      </c>
      <c r="D120" s="3"/>
      <c r="E120" s="3" t="e">
        <f>Data!#REF!/Data!#REF!</f>
        <v>#REF!</v>
      </c>
      <c r="F120" s="3"/>
      <c r="G120" s="3" t="e">
        <f t="shared" si="18"/>
        <v>#REF!</v>
      </c>
      <c r="H120" s="10" t="e">
        <f t="shared" si="19"/>
        <v>#REF!</v>
      </c>
      <c r="I120" s="3" t="e">
        <f t="shared" si="20"/>
        <v>#REF!</v>
      </c>
      <c r="J120" s="3" t="e">
        <f t="shared" si="21"/>
        <v>#REF!</v>
      </c>
      <c r="K120" s="3" t="e">
        <f t="shared" si="22"/>
        <v>#REF!</v>
      </c>
      <c r="L120" s="3" t="e">
        <f t="shared" si="23"/>
        <v>#REF!</v>
      </c>
    </row>
    <row r="121" spans="1:15" x14ac:dyDescent="0.25">
      <c r="A121" t="e">
        <f>Data!#REF!</f>
        <v>#REF!</v>
      </c>
      <c r="B121" s="3" t="e">
        <f>Data!#REF!</f>
        <v>#REF!</v>
      </c>
      <c r="C121" s="3" t="e">
        <f>Data!#REF!/Data!#REF!</f>
        <v>#REF!</v>
      </c>
      <c r="D121" s="3"/>
      <c r="E121" s="3" t="e">
        <f>Data!#REF!/Data!#REF!</f>
        <v>#REF!</v>
      </c>
      <c r="F121" s="3"/>
      <c r="G121" s="3" t="e">
        <f t="shared" si="18"/>
        <v>#REF!</v>
      </c>
      <c r="H121" s="10" t="e">
        <f t="shared" si="19"/>
        <v>#REF!</v>
      </c>
      <c r="I121" s="3" t="e">
        <f t="shared" si="20"/>
        <v>#REF!</v>
      </c>
      <c r="J121" s="3" t="e">
        <f t="shared" si="21"/>
        <v>#REF!</v>
      </c>
      <c r="K121" s="3" t="e">
        <f t="shared" si="22"/>
        <v>#REF!</v>
      </c>
      <c r="L121" s="3" t="e">
        <f t="shared" si="23"/>
        <v>#REF!</v>
      </c>
      <c r="M121" s="3" t="e">
        <f>AVERAGE(K121:K123)</f>
        <v>#REF!</v>
      </c>
      <c r="N121" s="3" t="e">
        <f>AVERAGE(L121:L123)</f>
        <v>#REF!</v>
      </c>
      <c r="O121" s="4" t="e">
        <f>Data!#REF!</f>
        <v>#REF!</v>
      </c>
    </row>
    <row r="122" spans="1:15" x14ac:dyDescent="0.25">
      <c r="B122" s="3" t="e">
        <f>Data!#REF!</f>
        <v>#REF!</v>
      </c>
      <c r="C122" s="3" t="e">
        <f>Data!#REF!/Data!#REF!</f>
        <v>#REF!</v>
      </c>
      <c r="D122" s="3"/>
      <c r="E122" s="3" t="e">
        <f>Data!#REF!/Data!#REF!</f>
        <v>#REF!</v>
      </c>
      <c r="F122" s="3"/>
      <c r="G122" s="3" t="e">
        <f t="shared" si="18"/>
        <v>#REF!</v>
      </c>
      <c r="H122" s="10" t="e">
        <f t="shared" si="19"/>
        <v>#REF!</v>
      </c>
      <c r="I122" s="3" t="e">
        <f t="shared" si="20"/>
        <v>#REF!</v>
      </c>
      <c r="J122" s="3" t="e">
        <f t="shared" si="21"/>
        <v>#REF!</v>
      </c>
      <c r="K122" s="3" t="e">
        <f t="shared" si="22"/>
        <v>#REF!</v>
      </c>
      <c r="L122" s="3" t="e">
        <f t="shared" si="23"/>
        <v>#REF!</v>
      </c>
    </row>
    <row r="123" spans="1:15" x14ac:dyDescent="0.25">
      <c r="B123" s="3" t="e">
        <f>Data!#REF!</f>
        <v>#REF!</v>
      </c>
      <c r="C123" s="3" t="e">
        <f>Data!#REF!/Data!#REF!</f>
        <v>#REF!</v>
      </c>
      <c r="D123" s="3"/>
      <c r="E123" s="3" t="e">
        <f>Data!#REF!/Data!#REF!</f>
        <v>#REF!</v>
      </c>
      <c r="F123" s="3"/>
      <c r="G123" s="3" t="e">
        <f t="shared" si="18"/>
        <v>#REF!</v>
      </c>
      <c r="H123" s="10" t="e">
        <f t="shared" si="19"/>
        <v>#REF!</v>
      </c>
      <c r="I123" s="3" t="e">
        <f t="shared" si="20"/>
        <v>#REF!</v>
      </c>
      <c r="J123" s="3" t="e">
        <f t="shared" si="21"/>
        <v>#REF!</v>
      </c>
      <c r="K123" s="3" t="e">
        <f t="shared" si="22"/>
        <v>#REF!</v>
      </c>
      <c r="L123" s="3" t="e">
        <f t="shared" si="23"/>
        <v>#REF!</v>
      </c>
    </row>
    <row r="124" spans="1:15" x14ac:dyDescent="0.25">
      <c r="A124" t="e">
        <f>Data!#REF!</f>
        <v>#REF!</v>
      </c>
      <c r="B124" s="3" t="e">
        <f>Data!#REF!</f>
        <v>#REF!</v>
      </c>
      <c r="C124" s="3" t="e">
        <f>Data!#REF!/Data!#REF!</f>
        <v>#REF!</v>
      </c>
      <c r="D124" s="3"/>
      <c r="E124" s="3" t="e">
        <f>Data!#REF!/Data!#REF!</f>
        <v>#REF!</v>
      </c>
      <c r="F124" s="3"/>
      <c r="G124" s="3" t="e">
        <f t="shared" si="18"/>
        <v>#REF!</v>
      </c>
      <c r="H124" s="10" t="e">
        <f t="shared" si="19"/>
        <v>#REF!</v>
      </c>
      <c r="I124" s="3" t="e">
        <f t="shared" si="20"/>
        <v>#REF!</v>
      </c>
      <c r="J124" s="3" t="e">
        <f t="shared" si="21"/>
        <v>#REF!</v>
      </c>
      <c r="K124" s="3" t="e">
        <f t="shared" si="22"/>
        <v>#REF!</v>
      </c>
      <c r="L124" s="3" t="e">
        <f t="shared" si="23"/>
        <v>#REF!</v>
      </c>
      <c r="M124" s="3" t="e">
        <f>AVERAGE(K124:K126)</f>
        <v>#REF!</v>
      </c>
      <c r="N124" s="3" t="e">
        <f>AVERAGE(L124:L126)</f>
        <v>#REF!</v>
      </c>
      <c r="O124" s="4" t="e">
        <f>Data!#REF!</f>
        <v>#REF!</v>
      </c>
    </row>
    <row r="125" spans="1:15" x14ac:dyDescent="0.25">
      <c r="B125" s="3" t="e">
        <f>Data!#REF!</f>
        <v>#REF!</v>
      </c>
      <c r="C125" s="3" t="e">
        <f>Data!#REF!/Data!#REF!</f>
        <v>#REF!</v>
      </c>
      <c r="D125" s="3"/>
      <c r="E125" s="3" t="e">
        <f>Data!#REF!/Data!#REF!</f>
        <v>#REF!</v>
      </c>
      <c r="F125" s="3"/>
      <c r="G125" s="3" t="e">
        <f t="shared" si="18"/>
        <v>#REF!</v>
      </c>
      <c r="H125" s="10" t="e">
        <f t="shared" si="19"/>
        <v>#REF!</v>
      </c>
      <c r="I125" s="3" t="e">
        <f t="shared" si="20"/>
        <v>#REF!</v>
      </c>
      <c r="J125" s="3" t="e">
        <f t="shared" si="21"/>
        <v>#REF!</v>
      </c>
      <c r="K125" s="3" t="e">
        <f t="shared" si="22"/>
        <v>#REF!</v>
      </c>
      <c r="L125" s="3" t="e">
        <f t="shared" si="23"/>
        <v>#REF!</v>
      </c>
    </row>
    <row r="126" spans="1:15" x14ac:dyDescent="0.25">
      <c r="B126" s="3" t="e">
        <f>Data!#REF!</f>
        <v>#REF!</v>
      </c>
      <c r="C126" s="3" t="e">
        <f>Data!#REF!/Data!#REF!</f>
        <v>#REF!</v>
      </c>
      <c r="D126" s="3"/>
      <c r="E126" s="3" t="e">
        <f>Data!#REF!/Data!#REF!</f>
        <v>#REF!</v>
      </c>
      <c r="F126" s="3"/>
      <c r="G126" s="3" t="e">
        <f t="shared" si="18"/>
        <v>#REF!</v>
      </c>
      <c r="H126" s="10" t="e">
        <f t="shared" si="19"/>
        <v>#REF!</v>
      </c>
      <c r="I126" s="3" t="e">
        <f t="shared" si="20"/>
        <v>#REF!</v>
      </c>
      <c r="J126" s="3" t="e">
        <f t="shared" si="21"/>
        <v>#REF!</v>
      </c>
      <c r="K126" s="3" t="e">
        <f t="shared" si="22"/>
        <v>#REF!</v>
      </c>
      <c r="L126" s="3" t="e">
        <f t="shared" si="23"/>
        <v>#REF!</v>
      </c>
    </row>
    <row r="127" spans="1:15" x14ac:dyDescent="0.25">
      <c r="A127" t="e">
        <f>Data!#REF!</f>
        <v>#REF!</v>
      </c>
      <c r="B127" s="3" t="e">
        <f>Data!#REF!</f>
        <v>#REF!</v>
      </c>
      <c r="C127" s="3" t="e">
        <f>Data!#REF!/Data!#REF!</f>
        <v>#REF!</v>
      </c>
      <c r="D127" s="3"/>
      <c r="E127" s="3" t="e">
        <f>Data!#REF!/Data!#REF!</f>
        <v>#REF!</v>
      </c>
      <c r="F127" s="3"/>
      <c r="G127" s="3" t="e">
        <f t="shared" si="18"/>
        <v>#REF!</v>
      </c>
      <c r="H127" s="10" t="e">
        <f t="shared" si="19"/>
        <v>#REF!</v>
      </c>
      <c r="I127" s="3" t="e">
        <f t="shared" si="20"/>
        <v>#REF!</v>
      </c>
      <c r="J127" s="3" t="e">
        <f t="shared" si="21"/>
        <v>#REF!</v>
      </c>
      <c r="K127" s="3" t="e">
        <f t="shared" si="22"/>
        <v>#REF!</v>
      </c>
      <c r="L127" s="3" t="e">
        <f t="shared" si="23"/>
        <v>#REF!</v>
      </c>
      <c r="M127" s="3" t="e">
        <f>AVERAGE(K127:K129)</f>
        <v>#REF!</v>
      </c>
      <c r="N127" s="3" t="e">
        <f>AVERAGE(L127:L129)</f>
        <v>#REF!</v>
      </c>
      <c r="O127" s="4" t="e">
        <f>Data!#REF!</f>
        <v>#REF!</v>
      </c>
    </row>
    <row r="128" spans="1:15" x14ac:dyDescent="0.25">
      <c r="B128" s="3" t="e">
        <f>Data!#REF!</f>
        <v>#REF!</v>
      </c>
      <c r="C128" s="3" t="e">
        <f>Data!#REF!/Data!#REF!</f>
        <v>#REF!</v>
      </c>
      <c r="D128" s="3"/>
      <c r="E128" s="3" t="e">
        <f>Data!#REF!/Data!#REF!</f>
        <v>#REF!</v>
      </c>
      <c r="F128" s="3"/>
      <c r="G128" s="3" t="e">
        <f t="shared" si="18"/>
        <v>#REF!</v>
      </c>
      <c r="H128" s="10" t="e">
        <f t="shared" si="19"/>
        <v>#REF!</v>
      </c>
      <c r="I128" s="3" t="e">
        <f t="shared" si="20"/>
        <v>#REF!</v>
      </c>
      <c r="J128" s="3" t="e">
        <f t="shared" si="21"/>
        <v>#REF!</v>
      </c>
      <c r="K128" s="3" t="e">
        <f t="shared" si="22"/>
        <v>#REF!</v>
      </c>
      <c r="L128" s="3" t="e">
        <f t="shared" si="23"/>
        <v>#REF!</v>
      </c>
    </row>
    <row r="129" spans="1:15" x14ac:dyDescent="0.25">
      <c r="B129" s="3" t="e">
        <f>Data!#REF!</f>
        <v>#REF!</v>
      </c>
      <c r="C129" s="3" t="e">
        <f>Data!#REF!/Data!#REF!</f>
        <v>#REF!</v>
      </c>
      <c r="D129" s="3"/>
      <c r="E129" s="3" t="e">
        <f>Data!#REF!/Data!#REF!</f>
        <v>#REF!</v>
      </c>
      <c r="F129" s="3"/>
      <c r="G129" s="3" t="e">
        <f t="shared" si="18"/>
        <v>#REF!</v>
      </c>
      <c r="H129" s="10" t="e">
        <f t="shared" si="19"/>
        <v>#REF!</v>
      </c>
      <c r="I129" s="3" t="e">
        <f t="shared" si="20"/>
        <v>#REF!</v>
      </c>
      <c r="J129" s="3" t="e">
        <f t="shared" si="21"/>
        <v>#REF!</v>
      </c>
      <c r="K129" s="3" t="e">
        <f t="shared" si="22"/>
        <v>#REF!</v>
      </c>
      <c r="L129" s="3" t="e">
        <f t="shared" si="23"/>
        <v>#REF!</v>
      </c>
    </row>
    <row r="130" spans="1:15" x14ac:dyDescent="0.25">
      <c r="A130" t="e">
        <f>Data!#REF!</f>
        <v>#REF!</v>
      </c>
      <c r="B130" s="3" t="e">
        <f>Data!#REF!</f>
        <v>#REF!</v>
      </c>
      <c r="C130" s="3" t="e">
        <f>Data!#REF!/Data!#REF!</f>
        <v>#REF!</v>
      </c>
      <c r="D130" s="3"/>
      <c r="E130" s="3" t="e">
        <f>Data!#REF!/Data!#REF!</f>
        <v>#REF!</v>
      </c>
      <c r="F130" s="3"/>
      <c r="G130" s="3" t="e">
        <f t="shared" si="18"/>
        <v>#REF!</v>
      </c>
      <c r="H130" s="10" t="e">
        <f t="shared" si="19"/>
        <v>#REF!</v>
      </c>
      <c r="I130" s="3" t="e">
        <f t="shared" si="20"/>
        <v>#REF!</v>
      </c>
      <c r="J130" s="3" t="e">
        <f t="shared" si="21"/>
        <v>#REF!</v>
      </c>
      <c r="K130" s="3" t="e">
        <f t="shared" si="22"/>
        <v>#REF!</v>
      </c>
      <c r="L130" s="3" t="e">
        <f t="shared" si="23"/>
        <v>#REF!</v>
      </c>
      <c r="M130" s="3" t="e">
        <f>AVERAGE(K130:K132)</f>
        <v>#REF!</v>
      </c>
      <c r="N130" s="3" t="e">
        <f>AVERAGE(L130:L132)</f>
        <v>#REF!</v>
      </c>
      <c r="O130" s="4" t="e">
        <f>Data!#REF!</f>
        <v>#REF!</v>
      </c>
    </row>
    <row r="131" spans="1:15" x14ac:dyDescent="0.25">
      <c r="B131" s="3" t="e">
        <f>Data!#REF!</f>
        <v>#REF!</v>
      </c>
      <c r="C131" s="3" t="e">
        <f>Data!#REF!/Data!#REF!</f>
        <v>#REF!</v>
      </c>
      <c r="D131" s="3"/>
      <c r="E131" s="3" t="e">
        <f>Data!#REF!/Data!#REF!</f>
        <v>#REF!</v>
      </c>
      <c r="F131" s="3"/>
      <c r="G131" s="3" t="e">
        <f t="shared" si="18"/>
        <v>#REF!</v>
      </c>
      <c r="H131" s="10" t="e">
        <f t="shared" si="19"/>
        <v>#REF!</v>
      </c>
      <c r="I131" s="3" t="e">
        <f t="shared" si="20"/>
        <v>#REF!</v>
      </c>
      <c r="J131" s="3" t="e">
        <f t="shared" si="21"/>
        <v>#REF!</v>
      </c>
      <c r="K131" s="3" t="e">
        <f t="shared" si="22"/>
        <v>#REF!</v>
      </c>
      <c r="L131" s="3" t="e">
        <f t="shared" si="23"/>
        <v>#REF!</v>
      </c>
    </row>
    <row r="132" spans="1:15" x14ac:dyDescent="0.25">
      <c r="B132" s="3" t="e">
        <f>Data!#REF!</f>
        <v>#REF!</v>
      </c>
      <c r="C132" s="3" t="e">
        <f>Data!#REF!/Data!#REF!</f>
        <v>#REF!</v>
      </c>
      <c r="D132" s="3"/>
      <c r="E132" s="3" t="e">
        <f>Data!#REF!/Data!#REF!</f>
        <v>#REF!</v>
      </c>
      <c r="F132" s="3"/>
      <c r="G132" s="3" t="e">
        <f t="shared" si="18"/>
        <v>#REF!</v>
      </c>
      <c r="H132" s="10" t="e">
        <f t="shared" si="19"/>
        <v>#REF!</v>
      </c>
      <c r="I132" s="3" t="e">
        <f t="shared" si="20"/>
        <v>#REF!</v>
      </c>
      <c r="J132" s="3" t="e">
        <f t="shared" si="21"/>
        <v>#REF!</v>
      </c>
      <c r="K132" s="3" t="e">
        <f t="shared" si="22"/>
        <v>#REF!</v>
      </c>
      <c r="L132" s="3" t="e">
        <f t="shared" si="23"/>
        <v>#REF!</v>
      </c>
    </row>
    <row r="133" spans="1:15" x14ac:dyDescent="0.25">
      <c r="A133" t="e">
        <f>Data!#REF!</f>
        <v>#REF!</v>
      </c>
      <c r="B133" s="3" t="e">
        <f>Data!#REF!</f>
        <v>#REF!</v>
      </c>
      <c r="C133" s="3" t="e">
        <f>Data!#REF!/Data!#REF!</f>
        <v>#REF!</v>
      </c>
      <c r="D133" s="3"/>
      <c r="E133" s="3" t="e">
        <f>Data!#REF!/Data!#REF!</f>
        <v>#REF!</v>
      </c>
      <c r="F133" s="3"/>
      <c r="G133" s="3" t="e">
        <f t="shared" si="18"/>
        <v>#REF!</v>
      </c>
      <c r="H133" s="10" t="e">
        <f t="shared" si="19"/>
        <v>#REF!</v>
      </c>
      <c r="I133" s="3" t="e">
        <f t="shared" si="20"/>
        <v>#REF!</v>
      </c>
      <c r="J133" s="3" t="e">
        <f t="shared" si="21"/>
        <v>#REF!</v>
      </c>
      <c r="K133" s="3" t="e">
        <f t="shared" si="22"/>
        <v>#REF!</v>
      </c>
      <c r="L133" s="3" t="e">
        <f t="shared" si="23"/>
        <v>#REF!</v>
      </c>
      <c r="M133" s="3" t="e">
        <f>AVERAGE(K133:K135)</f>
        <v>#REF!</v>
      </c>
      <c r="N133" s="3" t="e">
        <f>AVERAGE(L133:L135)</f>
        <v>#REF!</v>
      </c>
      <c r="O133" s="4" t="e">
        <f>Data!#REF!</f>
        <v>#REF!</v>
      </c>
    </row>
    <row r="134" spans="1:15" x14ac:dyDescent="0.25">
      <c r="B134" s="3" t="e">
        <f>Data!#REF!</f>
        <v>#REF!</v>
      </c>
      <c r="C134" s="3" t="e">
        <f>Data!#REF!/Data!#REF!</f>
        <v>#REF!</v>
      </c>
      <c r="D134" s="3"/>
      <c r="E134" s="3" t="e">
        <f>Data!#REF!/Data!#REF!</f>
        <v>#REF!</v>
      </c>
      <c r="F134" s="3"/>
      <c r="G134" s="3" t="e">
        <f t="shared" si="18"/>
        <v>#REF!</v>
      </c>
      <c r="H134" s="10" t="e">
        <f t="shared" si="19"/>
        <v>#REF!</v>
      </c>
      <c r="I134" s="3" t="e">
        <f t="shared" si="20"/>
        <v>#REF!</v>
      </c>
      <c r="J134" s="3" t="e">
        <f t="shared" si="21"/>
        <v>#REF!</v>
      </c>
      <c r="K134" s="3" t="e">
        <f t="shared" si="22"/>
        <v>#REF!</v>
      </c>
      <c r="L134" s="3" t="e">
        <f t="shared" si="23"/>
        <v>#REF!</v>
      </c>
    </row>
    <row r="135" spans="1:15" x14ac:dyDescent="0.25">
      <c r="B135" s="3" t="e">
        <f>Data!#REF!</f>
        <v>#REF!</v>
      </c>
      <c r="C135" s="3" t="e">
        <f>Data!#REF!/Data!#REF!</f>
        <v>#REF!</v>
      </c>
      <c r="D135" s="3"/>
      <c r="E135" s="3" t="e">
        <f>Data!#REF!/Data!#REF!</f>
        <v>#REF!</v>
      </c>
      <c r="F135" s="3"/>
      <c r="G135" s="3" t="e">
        <f t="shared" si="18"/>
        <v>#REF!</v>
      </c>
      <c r="H135" s="10" t="e">
        <f t="shared" si="19"/>
        <v>#REF!</v>
      </c>
      <c r="I135" s="3" t="e">
        <f t="shared" si="20"/>
        <v>#REF!</v>
      </c>
      <c r="J135" s="3" t="e">
        <f t="shared" si="21"/>
        <v>#REF!</v>
      </c>
      <c r="K135" s="3" t="e">
        <f t="shared" si="22"/>
        <v>#REF!</v>
      </c>
      <c r="L135" s="3" t="e">
        <f t="shared" si="23"/>
        <v>#REF!</v>
      </c>
    </row>
    <row r="136" spans="1:15" x14ac:dyDescent="0.25">
      <c r="A136" t="e">
        <f>Data!#REF!</f>
        <v>#REF!</v>
      </c>
      <c r="B136" s="3" t="e">
        <f>Data!#REF!</f>
        <v>#REF!</v>
      </c>
      <c r="C136" s="3" t="e">
        <f>Data!#REF!/Data!#REF!</f>
        <v>#REF!</v>
      </c>
      <c r="D136" s="3"/>
      <c r="E136" s="3" t="e">
        <f>Data!#REF!/Data!#REF!</f>
        <v>#REF!</v>
      </c>
      <c r="F136" s="3"/>
      <c r="G136" s="3" t="e">
        <f t="shared" si="18"/>
        <v>#REF!</v>
      </c>
      <c r="H136" s="10" t="e">
        <f t="shared" si="19"/>
        <v>#REF!</v>
      </c>
      <c r="I136" s="3" t="e">
        <f t="shared" si="20"/>
        <v>#REF!</v>
      </c>
      <c r="J136" s="3" t="e">
        <f t="shared" si="21"/>
        <v>#REF!</v>
      </c>
      <c r="K136" s="3" t="e">
        <f t="shared" si="22"/>
        <v>#REF!</v>
      </c>
      <c r="L136" s="3" t="e">
        <f t="shared" si="23"/>
        <v>#REF!</v>
      </c>
      <c r="M136" s="3" t="e">
        <f>AVERAGE(K136:K138)</f>
        <v>#REF!</v>
      </c>
      <c r="N136" s="3" t="e">
        <f>AVERAGE(L136:L138)</f>
        <v>#REF!</v>
      </c>
      <c r="O136" s="4" t="e">
        <f>Data!#REF!</f>
        <v>#REF!</v>
      </c>
    </row>
    <row r="137" spans="1:15" x14ac:dyDescent="0.25">
      <c r="B137" s="3" t="e">
        <f>Data!#REF!</f>
        <v>#REF!</v>
      </c>
      <c r="C137" s="3" t="e">
        <f>Data!#REF!/Data!#REF!</f>
        <v>#REF!</v>
      </c>
      <c r="D137" s="3"/>
      <c r="E137" s="3" t="e">
        <f>Data!#REF!/Data!#REF!</f>
        <v>#REF!</v>
      </c>
      <c r="F137" s="3"/>
      <c r="G137" s="3" t="e">
        <f t="shared" si="18"/>
        <v>#REF!</v>
      </c>
      <c r="H137" s="10" t="e">
        <f t="shared" si="19"/>
        <v>#REF!</v>
      </c>
      <c r="I137" s="3" t="e">
        <f t="shared" si="20"/>
        <v>#REF!</v>
      </c>
      <c r="J137" s="3" t="e">
        <f t="shared" si="21"/>
        <v>#REF!</v>
      </c>
      <c r="K137" s="3" t="e">
        <f t="shared" si="22"/>
        <v>#REF!</v>
      </c>
      <c r="L137" s="3" t="e">
        <f t="shared" si="23"/>
        <v>#REF!</v>
      </c>
    </row>
    <row r="138" spans="1:15" x14ac:dyDescent="0.25">
      <c r="B138" s="3" t="e">
        <f>Data!#REF!</f>
        <v>#REF!</v>
      </c>
      <c r="C138" s="3" t="e">
        <f>Data!#REF!/Data!#REF!</f>
        <v>#REF!</v>
      </c>
      <c r="D138" s="3"/>
      <c r="E138" s="3" t="e">
        <f>Data!#REF!/Data!#REF!</f>
        <v>#REF!</v>
      </c>
      <c r="F138" s="3"/>
      <c r="G138" s="3" t="e">
        <f t="shared" si="18"/>
        <v>#REF!</v>
      </c>
      <c r="H138" s="10" t="e">
        <f t="shared" si="19"/>
        <v>#REF!</v>
      </c>
      <c r="I138" s="3" t="e">
        <f t="shared" si="20"/>
        <v>#REF!</v>
      </c>
      <c r="J138" s="3" t="e">
        <f t="shared" si="21"/>
        <v>#REF!</v>
      </c>
      <c r="K138" s="3" t="e">
        <f t="shared" si="22"/>
        <v>#REF!</v>
      </c>
      <c r="L138" s="3" t="e">
        <f t="shared" si="23"/>
        <v>#REF!</v>
      </c>
    </row>
    <row r="139" spans="1:15" x14ac:dyDescent="0.25">
      <c r="A139" t="e">
        <f>Data!#REF!</f>
        <v>#REF!</v>
      </c>
      <c r="B139" s="3" t="e">
        <f>Data!#REF!</f>
        <v>#REF!</v>
      </c>
      <c r="C139" s="3" t="e">
        <f>Data!#REF!/Data!#REF!</f>
        <v>#REF!</v>
      </c>
      <c r="D139" s="3"/>
      <c r="E139" s="3" t="e">
        <f>Data!#REF!/Data!#REF!</f>
        <v>#REF!</v>
      </c>
      <c r="F139" s="3"/>
      <c r="G139" s="3" t="e">
        <f t="shared" si="18"/>
        <v>#REF!</v>
      </c>
      <c r="H139" s="10" t="e">
        <f t="shared" si="19"/>
        <v>#REF!</v>
      </c>
      <c r="I139" s="3" t="e">
        <f t="shared" si="20"/>
        <v>#REF!</v>
      </c>
      <c r="J139" s="3" t="e">
        <f t="shared" si="21"/>
        <v>#REF!</v>
      </c>
      <c r="K139" s="3" t="e">
        <f t="shared" si="22"/>
        <v>#REF!</v>
      </c>
      <c r="L139" s="3" t="e">
        <f t="shared" si="23"/>
        <v>#REF!</v>
      </c>
      <c r="M139" s="3" t="e">
        <f>AVERAGE(K139:K141)</f>
        <v>#REF!</v>
      </c>
      <c r="N139" s="3" t="e">
        <f>AVERAGE(L139:L141)</f>
        <v>#REF!</v>
      </c>
      <c r="O139" s="4" t="e">
        <f>Data!#REF!</f>
        <v>#REF!</v>
      </c>
    </row>
    <row r="140" spans="1:15" x14ac:dyDescent="0.25">
      <c r="B140" s="3" t="e">
        <f>Data!#REF!</f>
        <v>#REF!</v>
      </c>
      <c r="C140" s="3" t="e">
        <f>Data!#REF!/Data!#REF!</f>
        <v>#REF!</v>
      </c>
      <c r="D140" s="3"/>
      <c r="E140" s="3" t="e">
        <f>Data!#REF!/Data!#REF!</f>
        <v>#REF!</v>
      </c>
      <c r="F140" s="3"/>
      <c r="G140" s="3" t="e">
        <f t="shared" si="18"/>
        <v>#REF!</v>
      </c>
      <c r="H140" s="10" t="e">
        <f t="shared" si="19"/>
        <v>#REF!</v>
      </c>
      <c r="I140" s="3" t="e">
        <f t="shared" si="20"/>
        <v>#REF!</v>
      </c>
      <c r="J140" s="3" t="e">
        <f t="shared" si="21"/>
        <v>#REF!</v>
      </c>
      <c r="K140" s="3" t="e">
        <f t="shared" si="22"/>
        <v>#REF!</v>
      </c>
      <c r="L140" s="3" t="e">
        <f t="shared" si="23"/>
        <v>#REF!</v>
      </c>
    </row>
    <row r="141" spans="1:15" x14ac:dyDescent="0.25">
      <c r="B141" s="3" t="e">
        <f>Data!#REF!</f>
        <v>#REF!</v>
      </c>
      <c r="C141" s="3" t="e">
        <f>Data!#REF!/Data!#REF!</f>
        <v>#REF!</v>
      </c>
      <c r="D141" s="3"/>
      <c r="E141" s="3" t="e">
        <f>Data!#REF!/Data!#REF!</f>
        <v>#REF!</v>
      </c>
      <c r="F141" s="3"/>
      <c r="G141" s="3" t="e">
        <f t="shared" si="18"/>
        <v>#REF!</v>
      </c>
      <c r="H141" s="10" t="e">
        <f t="shared" si="19"/>
        <v>#REF!</v>
      </c>
      <c r="I141" s="3" t="e">
        <f t="shared" si="20"/>
        <v>#REF!</v>
      </c>
      <c r="J141" s="3" t="e">
        <f t="shared" si="21"/>
        <v>#REF!</v>
      </c>
      <c r="K141" s="3" t="e">
        <f t="shared" si="22"/>
        <v>#REF!</v>
      </c>
      <c r="L141" s="3" t="e">
        <f t="shared" si="23"/>
        <v>#REF!</v>
      </c>
    </row>
    <row r="142" spans="1:15" x14ac:dyDescent="0.25">
      <c r="A142" t="e">
        <f>Data!#REF!</f>
        <v>#REF!</v>
      </c>
      <c r="B142" s="3" t="e">
        <f>Data!#REF!</f>
        <v>#REF!</v>
      </c>
      <c r="C142" s="3" t="e">
        <f>Data!#REF!/Data!#REF!</f>
        <v>#REF!</v>
      </c>
      <c r="D142" s="3"/>
      <c r="E142" s="3" t="e">
        <f>Data!#REF!/Data!#REF!</f>
        <v>#REF!</v>
      </c>
      <c r="F142" s="3"/>
      <c r="G142" s="3" t="e">
        <f t="shared" si="18"/>
        <v>#REF!</v>
      </c>
      <c r="H142" s="10" t="e">
        <f t="shared" si="19"/>
        <v>#REF!</v>
      </c>
      <c r="I142" s="3" t="e">
        <f t="shared" si="20"/>
        <v>#REF!</v>
      </c>
      <c r="J142" s="3" t="e">
        <f t="shared" si="21"/>
        <v>#REF!</v>
      </c>
      <c r="K142" s="3" t="e">
        <f t="shared" si="22"/>
        <v>#REF!</v>
      </c>
      <c r="L142" s="3" t="e">
        <f t="shared" si="23"/>
        <v>#REF!</v>
      </c>
      <c r="M142" s="3" t="e">
        <f>AVERAGE(K142:K144)</f>
        <v>#REF!</v>
      </c>
      <c r="N142" s="3" t="e">
        <f>AVERAGE(L142:L144)</f>
        <v>#REF!</v>
      </c>
      <c r="O142" s="4" t="e">
        <f>Data!#REF!</f>
        <v>#REF!</v>
      </c>
    </row>
    <row r="143" spans="1:15" x14ac:dyDescent="0.25">
      <c r="B143" s="3" t="e">
        <f>Data!#REF!</f>
        <v>#REF!</v>
      </c>
      <c r="C143" s="3" t="e">
        <f>Data!#REF!/Data!#REF!</f>
        <v>#REF!</v>
      </c>
      <c r="D143" s="3"/>
      <c r="E143" s="3" t="e">
        <f>Data!#REF!/Data!#REF!</f>
        <v>#REF!</v>
      </c>
      <c r="F143" s="3"/>
      <c r="G143" s="3" t="e">
        <f t="shared" si="18"/>
        <v>#REF!</v>
      </c>
      <c r="H143" s="10" t="e">
        <f t="shared" si="19"/>
        <v>#REF!</v>
      </c>
      <c r="I143" s="3" t="e">
        <f t="shared" si="20"/>
        <v>#REF!</v>
      </c>
      <c r="J143" s="3" t="e">
        <f t="shared" si="21"/>
        <v>#REF!</v>
      </c>
      <c r="K143" s="3" t="e">
        <f t="shared" si="22"/>
        <v>#REF!</v>
      </c>
      <c r="L143" s="3" t="e">
        <f t="shared" si="23"/>
        <v>#REF!</v>
      </c>
    </row>
    <row r="144" spans="1:15" x14ac:dyDescent="0.25">
      <c r="B144" s="3" t="e">
        <f>Data!#REF!</f>
        <v>#REF!</v>
      </c>
      <c r="C144" s="3" t="e">
        <f>Data!#REF!/Data!#REF!</f>
        <v>#REF!</v>
      </c>
      <c r="D144" s="3"/>
      <c r="E144" s="3" t="e">
        <f>Data!#REF!/Data!#REF!</f>
        <v>#REF!</v>
      </c>
      <c r="F144" s="3"/>
      <c r="G144" s="3" t="e">
        <f t="shared" si="18"/>
        <v>#REF!</v>
      </c>
      <c r="H144" s="10" t="e">
        <f t="shared" si="19"/>
        <v>#REF!</v>
      </c>
      <c r="I144" s="3" t="e">
        <f t="shared" si="20"/>
        <v>#REF!</v>
      </c>
      <c r="J144" s="3" t="e">
        <f t="shared" si="21"/>
        <v>#REF!</v>
      </c>
      <c r="K144" s="3" t="e">
        <f t="shared" si="22"/>
        <v>#REF!</v>
      </c>
      <c r="L144" s="3" t="e">
        <f t="shared" si="23"/>
        <v>#REF!</v>
      </c>
    </row>
    <row r="145" spans="1:15" x14ac:dyDescent="0.25">
      <c r="A145" t="e">
        <f>Data!#REF!</f>
        <v>#REF!</v>
      </c>
      <c r="B145" s="3" t="e">
        <f>Data!#REF!</f>
        <v>#REF!</v>
      </c>
      <c r="C145" s="3" t="e">
        <f>Data!#REF!/Data!#REF!</f>
        <v>#REF!</v>
      </c>
      <c r="D145" s="3"/>
      <c r="E145" s="3" t="e">
        <f>Data!#REF!/Data!#REF!</f>
        <v>#REF!</v>
      </c>
      <c r="F145" s="3"/>
      <c r="G145" s="3" t="e">
        <f t="shared" si="18"/>
        <v>#REF!</v>
      </c>
      <c r="H145" s="10" t="e">
        <f t="shared" si="19"/>
        <v>#REF!</v>
      </c>
      <c r="I145" s="3" t="e">
        <f t="shared" si="20"/>
        <v>#REF!</v>
      </c>
      <c r="J145" s="3" t="e">
        <f t="shared" si="21"/>
        <v>#REF!</v>
      </c>
      <c r="K145" s="3" t="e">
        <f t="shared" si="22"/>
        <v>#REF!</v>
      </c>
      <c r="L145" s="3" t="e">
        <f t="shared" si="23"/>
        <v>#REF!</v>
      </c>
      <c r="M145" s="3" t="e">
        <f>AVERAGE(K145:K147)</f>
        <v>#REF!</v>
      </c>
      <c r="N145" s="3" t="e">
        <f>AVERAGE(L145:L147)</f>
        <v>#REF!</v>
      </c>
      <c r="O145" s="4" t="e">
        <f>Data!#REF!</f>
        <v>#REF!</v>
      </c>
    </row>
    <row r="146" spans="1:15" x14ac:dyDescent="0.25">
      <c r="B146" s="3" t="e">
        <f>Data!#REF!</f>
        <v>#REF!</v>
      </c>
      <c r="C146" s="3" t="e">
        <f>Data!#REF!/Data!#REF!</f>
        <v>#REF!</v>
      </c>
      <c r="D146" s="3"/>
      <c r="E146" s="3" t="e">
        <f>Data!#REF!/Data!#REF!</f>
        <v>#REF!</v>
      </c>
      <c r="F146" s="3"/>
      <c r="G146" s="3" t="e">
        <f t="shared" si="18"/>
        <v>#REF!</v>
      </c>
      <c r="H146" s="10" t="e">
        <f t="shared" si="19"/>
        <v>#REF!</v>
      </c>
      <c r="I146" s="3" t="e">
        <f t="shared" si="20"/>
        <v>#REF!</v>
      </c>
      <c r="J146" s="3" t="e">
        <f t="shared" si="21"/>
        <v>#REF!</v>
      </c>
      <c r="K146" s="3" t="e">
        <f t="shared" si="22"/>
        <v>#REF!</v>
      </c>
      <c r="L146" s="3" t="e">
        <f t="shared" si="23"/>
        <v>#REF!</v>
      </c>
    </row>
    <row r="147" spans="1:15" x14ac:dyDescent="0.25">
      <c r="B147" s="3" t="e">
        <f>Data!#REF!</f>
        <v>#REF!</v>
      </c>
      <c r="C147" s="3" t="e">
        <f>Data!#REF!/Data!#REF!</f>
        <v>#REF!</v>
      </c>
      <c r="D147" s="3"/>
      <c r="E147" s="3" t="e">
        <f>Data!#REF!/Data!#REF!</f>
        <v>#REF!</v>
      </c>
      <c r="F147" s="3"/>
      <c r="G147" s="3" t="e">
        <f t="shared" si="18"/>
        <v>#REF!</v>
      </c>
      <c r="H147" s="10" t="e">
        <f t="shared" si="19"/>
        <v>#REF!</v>
      </c>
      <c r="I147" s="3" t="e">
        <f t="shared" si="20"/>
        <v>#REF!</v>
      </c>
      <c r="J147" s="3" t="e">
        <f t="shared" si="21"/>
        <v>#REF!</v>
      </c>
      <c r="K147" s="3" t="e">
        <f t="shared" si="22"/>
        <v>#REF!</v>
      </c>
      <c r="L147" s="3" t="e">
        <f t="shared" si="23"/>
        <v>#REF!</v>
      </c>
    </row>
    <row r="148" spans="1:15" x14ac:dyDescent="0.25">
      <c r="A148" t="e">
        <f>Data!#REF!</f>
        <v>#REF!</v>
      </c>
      <c r="B148" s="3" t="e">
        <f>Data!#REF!</f>
        <v>#REF!</v>
      </c>
      <c r="C148" s="3" t="e">
        <f>Data!#REF!/Data!#REF!</f>
        <v>#REF!</v>
      </c>
      <c r="D148" s="3"/>
      <c r="E148" s="3" t="e">
        <f>Data!#REF!/Data!#REF!</f>
        <v>#REF!</v>
      </c>
      <c r="F148" s="3"/>
      <c r="G148" s="3" t="e">
        <f t="shared" si="18"/>
        <v>#REF!</v>
      </c>
      <c r="H148" s="10" t="e">
        <f t="shared" si="19"/>
        <v>#REF!</v>
      </c>
      <c r="I148" s="3" t="e">
        <f t="shared" si="20"/>
        <v>#REF!</v>
      </c>
      <c r="J148" s="3" t="e">
        <f t="shared" si="21"/>
        <v>#REF!</v>
      </c>
      <c r="K148" s="3" t="e">
        <f t="shared" si="22"/>
        <v>#REF!</v>
      </c>
      <c r="L148" s="3" t="e">
        <f t="shared" si="23"/>
        <v>#REF!</v>
      </c>
      <c r="M148" s="3" t="e">
        <f>AVERAGE(K148:K150)</f>
        <v>#REF!</v>
      </c>
      <c r="N148" s="3" t="e">
        <f>AVERAGE(L148:L150)</f>
        <v>#REF!</v>
      </c>
      <c r="O148" s="4" t="e">
        <f>Data!#REF!</f>
        <v>#REF!</v>
      </c>
    </row>
    <row r="149" spans="1:15" x14ac:dyDescent="0.25">
      <c r="B149" s="3" t="e">
        <f>Data!#REF!</f>
        <v>#REF!</v>
      </c>
      <c r="C149" s="3" t="e">
        <f>Data!#REF!/Data!#REF!</f>
        <v>#REF!</v>
      </c>
      <c r="D149" s="3"/>
      <c r="E149" s="3" t="e">
        <f>Data!#REF!/Data!#REF!</f>
        <v>#REF!</v>
      </c>
      <c r="F149" s="3"/>
      <c r="G149" s="3" t="e">
        <f t="shared" si="18"/>
        <v>#REF!</v>
      </c>
      <c r="H149" s="10" t="e">
        <f t="shared" si="19"/>
        <v>#REF!</v>
      </c>
      <c r="I149" s="3" t="e">
        <f t="shared" si="20"/>
        <v>#REF!</v>
      </c>
      <c r="J149" s="3" t="e">
        <f t="shared" si="21"/>
        <v>#REF!</v>
      </c>
      <c r="K149" s="3" t="e">
        <f t="shared" si="22"/>
        <v>#REF!</v>
      </c>
      <c r="L149" s="3" t="e">
        <f t="shared" si="23"/>
        <v>#REF!</v>
      </c>
    </row>
    <row r="150" spans="1:15" x14ac:dyDescent="0.25">
      <c r="B150" s="3" t="e">
        <f>Data!#REF!</f>
        <v>#REF!</v>
      </c>
      <c r="C150" s="3" t="e">
        <f>Data!#REF!/Data!#REF!</f>
        <v>#REF!</v>
      </c>
      <c r="D150" s="3"/>
      <c r="E150" s="3" t="e">
        <f>Data!#REF!/Data!#REF!</f>
        <v>#REF!</v>
      </c>
      <c r="F150" s="3"/>
      <c r="G150" s="3" t="e">
        <f t="shared" si="18"/>
        <v>#REF!</v>
      </c>
      <c r="H150" s="10" t="e">
        <f t="shared" si="19"/>
        <v>#REF!</v>
      </c>
      <c r="I150" s="3" t="e">
        <f t="shared" si="20"/>
        <v>#REF!</v>
      </c>
      <c r="J150" s="3" t="e">
        <f t="shared" si="21"/>
        <v>#REF!</v>
      </c>
      <c r="K150" s="3" t="e">
        <f t="shared" si="22"/>
        <v>#REF!</v>
      </c>
      <c r="L150" s="3" t="e">
        <f t="shared" si="23"/>
        <v>#REF!</v>
      </c>
    </row>
    <row r="151" spans="1:15" x14ac:dyDescent="0.25">
      <c r="A151" t="e">
        <f>Data!#REF!</f>
        <v>#REF!</v>
      </c>
      <c r="B151" s="3" t="e">
        <f>Data!#REF!</f>
        <v>#REF!</v>
      </c>
      <c r="C151" s="3" t="e">
        <f>Data!#REF!/Data!#REF!</f>
        <v>#REF!</v>
      </c>
      <c r="D151" s="3"/>
      <c r="E151" s="3" t="e">
        <f>Data!#REF!/Data!#REF!</f>
        <v>#REF!</v>
      </c>
      <c r="F151" s="3"/>
      <c r="G151" s="3" t="e">
        <f t="shared" si="18"/>
        <v>#REF!</v>
      </c>
      <c r="H151" s="10" t="e">
        <f t="shared" si="19"/>
        <v>#REF!</v>
      </c>
      <c r="I151" s="3" t="e">
        <f t="shared" si="20"/>
        <v>#REF!</v>
      </c>
      <c r="J151" s="3" t="e">
        <f t="shared" si="21"/>
        <v>#REF!</v>
      </c>
      <c r="K151" s="3" t="e">
        <f t="shared" si="22"/>
        <v>#REF!</v>
      </c>
      <c r="L151" s="3" t="e">
        <f t="shared" si="23"/>
        <v>#REF!</v>
      </c>
      <c r="M151" s="3" t="e">
        <f>AVERAGE(K151:K153)</f>
        <v>#REF!</v>
      </c>
      <c r="N151" s="3" t="e">
        <f>AVERAGE(L151:L153)</f>
        <v>#REF!</v>
      </c>
      <c r="O151" s="4" t="e">
        <f>Data!#REF!</f>
        <v>#REF!</v>
      </c>
    </row>
    <row r="152" spans="1:15" x14ac:dyDescent="0.25">
      <c r="B152" s="3" t="e">
        <f>Data!#REF!</f>
        <v>#REF!</v>
      </c>
      <c r="C152" s="3" t="e">
        <f>Data!#REF!/Data!#REF!</f>
        <v>#REF!</v>
      </c>
      <c r="D152" s="3"/>
      <c r="E152" s="3" t="e">
        <f>Data!#REF!/Data!#REF!</f>
        <v>#REF!</v>
      </c>
      <c r="F152" s="3"/>
      <c r="G152" s="3" t="e">
        <f t="shared" si="18"/>
        <v>#REF!</v>
      </c>
      <c r="H152" s="10" t="e">
        <f t="shared" si="19"/>
        <v>#REF!</v>
      </c>
      <c r="I152" s="3" t="e">
        <f t="shared" si="20"/>
        <v>#REF!</v>
      </c>
      <c r="J152" s="3" t="e">
        <f t="shared" si="21"/>
        <v>#REF!</v>
      </c>
      <c r="K152" s="3" t="e">
        <f t="shared" si="22"/>
        <v>#REF!</v>
      </c>
      <c r="L152" s="3" t="e">
        <f t="shared" si="23"/>
        <v>#REF!</v>
      </c>
    </row>
    <row r="153" spans="1:15" x14ac:dyDescent="0.25">
      <c r="B153" s="3" t="e">
        <f>Data!#REF!</f>
        <v>#REF!</v>
      </c>
      <c r="C153" s="3" t="e">
        <f>Data!#REF!/Data!#REF!</f>
        <v>#REF!</v>
      </c>
      <c r="D153" s="3"/>
      <c r="E153" s="3" t="e">
        <f>Data!#REF!/Data!#REF!</f>
        <v>#REF!</v>
      </c>
      <c r="F153" s="3"/>
      <c r="G153" s="3" t="e">
        <f t="shared" si="18"/>
        <v>#REF!</v>
      </c>
      <c r="H153" s="10" t="e">
        <f t="shared" si="19"/>
        <v>#REF!</v>
      </c>
      <c r="I153" s="3" t="e">
        <f t="shared" si="20"/>
        <v>#REF!</v>
      </c>
      <c r="J153" s="3" t="e">
        <f t="shared" si="21"/>
        <v>#REF!</v>
      </c>
      <c r="K153" s="3" t="e">
        <f t="shared" si="22"/>
        <v>#REF!</v>
      </c>
      <c r="L153" s="3" t="e">
        <f t="shared" si="23"/>
        <v>#REF!</v>
      </c>
    </row>
    <row r="154" spans="1:15" x14ac:dyDescent="0.25">
      <c r="A154" t="e">
        <f>Data!#REF!</f>
        <v>#REF!</v>
      </c>
      <c r="B154" s="3" t="e">
        <f>Data!#REF!</f>
        <v>#REF!</v>
      </c>
      <c r="C154" s="3" t="e">
        <f>Data!#REF!/Data!#REF!</f>
        <v>#REF!</v>
      </c>
      <c r="D154" s="3"/>
      <c r="E154" s="3" t="e">
        <f>Data!#REF!/Data!#REF!</f>
        <v>#REF!</v>
      </c>
      <c r="F154" s="3"/>
      <c r="G154" s="3" t="e">
        <f t="shared" si="18"/>
        <v>#REF!</v>
      </c>
      <c r="H154" s="10" t="e">
        <f t="shared" si="19"/>
        <v>#REF!</v>
      </c>
      <c r="I154" s="3" t="e">
        <f t="shared" si="20"/>
        <v>#REF!</v>
      </c>
      <c r="J154" s="3" t="e">
        <f t="shared" si="21"/>
        <v>#REF!</v>
      </c>
      <c r="K154" s="3" t="e">
        <f t="shared" si="22"/>
        <v>#REF!</v>
      </c>
      <c r="L154" s="3" t="e">
        <f t="shared" si="23"/>
        <v>#REF!</v>
      </c>
      <c r="M154" s="3" t="e">
        <f>AVERAGE(K154:K156)</f>
        <v>#REF!</v>
      </c>
      <c r="N154" s="3" t="e">
        <f>AVERAGE(L154:L156)</f>
        <v>#REF!</v>
      </c>
      <c r="O154" s="4" t="e">
        <f>Data!#REF!</f>
        <v>#REF!</v>
      </c>
    </row>
    <row r="155" spans="1:15" x14ac:dyDescent="0.25">
      <c r="B155" s="3" t="e">
        <f>Data!#REF!</f>
        <v>#REF!</v>
      </c>
      <c r="C155" s="3" t="e">
        <f>Data!#REF!/Data!#REF!</f>
        <v>#REF!</v>
      </c>
      <c r="D155" s="3"/>
      <c r="E155" s="3" t="e">
        <f>Data!#REF!/Data!#REF!</f>
        <v>#REF!</v>
      </c>
      <c r="F155" s="3"/>
      <c r="G155" s="3" t="e">
        <f t="shared" si="18"/>
        <v>#REF!</v>
      </c>
      <c r="H155" s="10" t="e">
        <f t="shared" si="19"/>
        <v>#REF!</v>
      </c>
      <c r="I155" s="3" t="e">
        <f t="shared" si="20"/>
        <v>#REF!</v>
      </c>
      <c r="J155" s="3" t="e">
        <f t="shared" si="21"/>
        <v>#REF!</v>
      </c>
      <c r="K155" s="3" t="e">
        <f t="shared" si="22"/>
        <v>#REF!</v>
      </c>
      <c r="L155" s="3" t="e">
        <f t="shared" si="23"/>
        <v>#REF!</v>
      </c>
    </row>
    <row r="156" spans="1:15" x14ac:dyDescent="0.25">
      <c r="B156" s="3" t="e">
        <f>Data!#REF!</f>
        <v>#REF!</v>
      </c>
      <c r="C156" s="3" t="e">
        <f>Data!#REF!/Data!#REF!</f>
        <v>#REF!</v>
      </c>
      <c r="D156" s="3"/>
      <c r="E156" s="3" t="e">
        <f>Data!#REF!/Data!#REF!</f>
        <v>#REF!</v>
      </c>
      <c r="F156" s="3"/>
      <c r="G156" s="3" t="e">
        <f t="shared" si="18"/>
        <v>#REF!</v>
      </c>
      <c r="H156" s="10" t="e">
        <f t="shared" si="19"/>
        <v>#REF!</v>
      </c>
      <c r="I156" s="3" t="e">
        <f t="shared" si="20"/>
        <v>#REF!</v>
      </c>
      <c r="J156" s="3" t="e">
        <f t="shared" si="21"/>
        <v>#REF!</v>
      </c>
      <c r="K156" s="3" t="e">
        <f t="shared" si="22"/>
        <v>#REF!</v>
      </c>
      <c r="L156" s="3" t="e">
        <f t="shared" si="23"/>
        <v>#REF!</v>
      </c>
    </row>
    <row r="157" spans="1:15" x14ac:dyDescent="0.25">
      <c r="A157" t="e">
        <f>Data!#REF!</f>
        <v>#REF!</v>
      </c>
      <c r="B157" s="3" t="e">
        <f>Data!#REF!</f>
        <v>#REF!</v>
      </c>
      <c r="C157" s="3" t="e">
        <f>Data!#REF!/Data!#REF!</f>
        <v>#REF!</v>
      </c>
      <c r="D157" s="3" t="e">
        <f>B$3/C157</f>
        <v>#REF!</v>
      </c>
      <c r="E157" s="3" t="e">
        <f>Data!#REF!/Data!#REF!</f>
        <v>#REF!</v>
      </c>
      <c r="F157" s="3" t="e">
        <f>C$3/E157</f>
        <v>#REF!</v>
      </c>
      <c r="G157" s="3" t="e">
        <f t="shared" si="18"/>
        <v>#REF!</v>
      </c>
      <c r="H157" s="10" t="e">
        <f t="shared" si="19"/>
        <v>#REF!</v>
      </c>
      <c r="I157" s="3" t="e">
        <f t="shared" si="20"/>
        <v>#REF!</v>
      </c>
      <c r="J157" s="3" t="e">
        <f t="shared" si="21"/>
        <v>#REF!</v>
      </c>
      <c r="K157" s="3" t="e">
        <f t="shared" si="22"/>
        <v>#REF!</v>
      </c>
      <c r="L157" s="3" t="e">
        <f t="shared" si="23"/>
        <v>#REF!</v>
      </c>
      <c r="M157" s="3"/>
      <c r="N157" s="3"/>
      <c r="O157" s="4" t="e">
        <f>Data!#REF!</f>
        <v>#REF!</v>
      </c>
    </row>
    <row r="158" spans="1:15" x14ac:dyDescent="0.25">
      <c r="B158" s="3" t="e">
        <f>Data!#REF!</f>
        <v>#REF!</v>
      </c>
      <c r="C158" s="3" t="e">
        <f>Data!#REF!/Data!#REF!</f>
        <v>#REF!</v>
      </c>
      <c r="D158" s="3" t="e">
        <f>B$3/C158</f>
        <v>#REF!</v>
      </c>
      <c r="E158" s="3" t="e">
        <f>Data!#REF!/Data!#REF!</f>
        <v>#REF!</v>
      </c>
      <c r="F158" s="3" t="e">
        <f>C$3/E158</f>
        <v>#REF!</v>
      </c>
      <c r="G158" s="3" t="e">
        <f t="shared" si="18"/>
        <v>#REF!</v>
      </c>
      <c r="H158" s="10" t="e">
        <f t="shared" si="19"/>
        <v>#REF!</v>
      </c>
      <c r="I158" s="3" t="e">
        <f t="shared" si="20"/>
        <v>#REF!</v>
      </c>
      <c r="J158" s="3" t="e">
        <f t="shared" si="21"/>
        <v>#REF!</v>
      </c>
      <c r="K158" s="3" t="e">
        <f t="shared" si="22"/>
        <v>#REF!</v>
      </c>
      <c r="L158" s="3" t="e">
        <f t="shared" si="23"/>
        <v>#REF!</v>
      </c>
    </row>
    <row r="159" spans="1:15" x14ac:dyDescent="0.25">
      <c r="B159" s="3" t="e">
        <f>Data!#REF!</f>
        <v>#REF!</v>
      </c>
      <c r="C159" s="3" t="e">
        <f>Data!#REF!/Data!#REF!</f>
        <v>#REF!</v>
      </c>
      <c r="D159" s="3" t="e">
        <f>B$3/C159</f>
        <v>#REF!</v>
      </c>
      <c r="E159" s="3" t="e">
        <f>Data!#REF!/Data!#REF!</f>
        <v>#REF!</v>
      </c>
      <c r="F159" s="3" t="e">
        <f>C$3/E159</f>
        <v>#REF!</v>
      </c>
      <c r="G159" s="3" t="e">
        <f t="shared" si="18"/>
        <v>#REF!</v>
      </c>
      <c r="H159" s="10" t="e">
        <f t="shared" si="19"/>
        <v>#REF!</v>
      </c>
      <c r="I159" s="3" t="e">
        <f t="shared" si="20"/>
        <v>#REF!</v>
      </c>
      <c r="J159" s="3" t="e">
        <f t="shared" si="21"/>
        <v>#REF!</v>
      </c>
      <c r="K159" s="3" t="e">
        <f t="shared" si="22"/>
        <v>#REF!</v>
      </c>
      <c r="L159" s="3" t="e">
        <f t="shared" si="23"/>
        <v>#REF!</v>
      </c>
    </row>
    <row r="160" spans="1:15" x14ac:dyDescent="0.25">
      <c r="A160" t="e">
        <f>Data!#REF!</f>
        <v>#REF!</v>
      </c>
      <c r="B160" s="3" t="e">
        <f>Data!#REF!</f>
        <v>#REF!</v>
      </c>
      <c r="C160" s="3" t="e">
        <f>Data!#REF!/Data!#REF!</f>
        <v>#REF!</v>
      </c>
      <c r="D160" s="3" t="e">
        <f>B$4/C160</f>
        <v>#REF!</v>
      </c>
      <c r="E160" s="3" t="e">
        <f>Data!#REF!/Data!#REF!</f>
        <v>#REF!</v>
      </c>
      <c r="F160" s="3" t="e">
        <f>C$4/E160</f>
        <v>#REF!</v>
      </c>
      <c r="G160" s="3" t="e">
        <f t="shared" si="18"/>
        <v>#REF!</v>
      </c>
      <c r="H160" s="10" t="e">
        <f t="shared" si="19"/>
        <v>#REF!</v>
      </c>
      <c r="I160" s="3" t="e">
        <f t="shared" si="20"/>
        <v>#REF!</v>
      </c>
      <c r="J160" s="3" t="e">
        <f t="shared" si="21"/>
        <v>#REF!</v>
      </c>
      <c r="K160" s="3" t="e">
        <f t="shared" si="22"/>
        <v>#REF!</v>
      </c>
      <c r="L160" s="3" t="e">
        <f t="shared" si="23"/>
        <v>#REF!</v>
      </c>
      <c r="M160" s="3"/>
      <c r="N160" s="3"/>
      <c r="O160" s="4" t="e">
        <f>Data!#REF!</f>
        <v>#REF!</v>
      </c>
    </row>
    <row r="161" spans="1:15" x14ac:dyDescent="0.25">
      <c r="B161" s="3" t="e">
        <f>Data!#REF!</f>
        <v>#REF!</v>
      </c>
      <c r="C161" s="3" t="e">
        <f>Data!#REF!/Data!#REF!</f>
        <v>#REF!</v>
      </c>
      <c r="D161" s="3" t="e">
        <f>B$4/C161</f>
        <v>#REF!</v>
      </c>
      <c r="E161" s="3" t="e">
        <f>Data!#REF!/Data!#REF!</f>
        <v>#REF!</v>
      </c>
      <c r="F161" s="3" t="e">
        <f>C$4/E161</f>
        <v>#REF!</v>
      </c>
      <c r="G161" s="3" t="e">
        <f t="shared" si="18"/>
        <v>#REF!</v>
      </c>
      <c r="H161" s="10" t="e">
        <f t="shared" si="19"/>
        <v>#REF!</v>
      </c>
      <c r="I161" s="3" t="e">
        <f t="shared" si="20"/>
        <v>#REF!</v>
      </c>
      <c r="J161" s="3" t="e">
        <f t="shared" si="21"/>
        <v>#REF!</v>
      </c>
      <c r="K161" s="3" t="e">
        <f t="shared" si="22"/>
        <v>#REF!</v>
      </c>
      <c r="L161" s="3" t="e">
        <f t="shared" si="23"/>
        <v>#REF!</v>
      </c>
    </row>
    <row r="162" spans="1:15" x14ac:dyDescent="0.25">
      <c r="B162" s="3" t="e">
        <f>Data!#REF!</f>
        <v>#REF!</v>
      </c>
      <c r="C162" s="3" t="e">
        <f>Data!#REF!/Data!#REF!</f>
        <v>#REF!</v>
      </c>
      <c r="D162" s="3" t="e">
        <f>B$4/C162</f>
        <v>#REF!</v>
      </c>
      <c r="E162" s="3" t="e">
        <f>Data!#REF!/Data!#REF!</f>
        <v>#REF!</v>
      </c>
      <c r="F162" s="3" t="e">
        <f>C$4/E162</f>
        <v>#REF!</v>
      </c>
      <c r="G162" s="3" t="e">
        <f t="shared" si="18"/>
        <v>#REF!</v>
      </c>
      <c r="H162" s="10" t="e">
        <f t="shared" si="19"/>
        <v>#REF!</v>
      </c>
      <c r="I162" s="3" t="e">
        <f t="shared" si="20"/>
        <v>#REF!</v>
      </c>
      <c r="J162" s="3" t="e">
        <f t="shared" si="21"/>
        <v>#REF!</v>
      </c>
      <c r="K162" s="3" t="e">
        <f t="shared" si="22"/>
        <v>#REF!</v>
      </c>
      <c r="L162" s="3" t="e">
        <f t="shared" si="23"/>
        <v>#REF!</v>
      </c>
    </row>
    <row r="163" spans="1:15" x14ac:dyDescent="0.25">
      <c r="A163" t="e">
        <f>Data!#REF!</f>
        <v>#REF!</v>
      </c>
      <c r="B163" s="3" t="e">
        <f>Data!#REF!</f>
        <v>#REF!</v>
      </c>
      <c r="C163" s="3" t="e">
        <f>Data!#REF!/Data!#REF!</f>
        <v>#REF!</v>
      </c>
      <c r="D163" s="3"/>
      <c r="E163" s="3" t="e">
        <f>Data!#REF!/Data!#REF!</f>
        <v>#REF!</v>
      </c>
      <c r="F163" s="3"/>
      <c r="G163" s="3" t="e">
        <f t="shared" si="18"/>
        <v>#REF!</v>
      </c>
      <c r="H163" s="10" t="e">
        <f t="shared" si="19"/>
        <v>#REF!</v>
      </c>
      <c r="I163" s="3" t="e">
        <f t="shared" si="20"/>
        <v>#REF!</v>
      </c>
      <c r="J163" s="3" t="e">
        <f t="shared" si="21"/>
        <v>#REF!</v>
      </c>
      <c r="K163" s="3" t="e">
        <f t="shared" si="22"/>
        <v>#REF!</v>
      </c>
      <c r="L163" s="3" t="e">
        <f t="shared" si="23"/>
        <v>#REF!</v>
      </c>
      <c r="M163" s="3" t="e">
        <f>AVERAGE(K163:K165)</f>
        <v>#REF!</v>
      </c>
      <c r="N163" s="3" t="e">
        <f>AVERAGE(L163:L165)</f>
        <v>#REF!</v>
      </c>
      <c r="O163" s="4" t="e">
        <f>Data!#REF!</f>
        <v>#REF!</v>
      </c>
    </row>
    <row r="164" spans="1:15" x14ac:dyDescent="0.25">
      <c r="B164" s="3" t="e">
        <f>Data!#REF!</f>
        <v>#REF!</v>
      </c>
      <c r="C164" s="3" t="e">
        <f>Data!#REF!/Data!#REF!</f>
        <v>#REF!</v>
      </c>
      <c r="D164" s="3"/>
      <c r="E164" s="3" t="e">
        <f>Data!#REF!/Data!#REF!</f>
        <v>#REF!</v>
      </c>
      <c r="F164" s="3"/>
      <c r="G164" s="3" t="e">
        <f t="shared" si="18"/>
        <v>#REF!</v>
      </c>
      <c r="H164" s="10" t="e">
        <f t="shared" si="19"/>
        <v>#REF!</v>
      </c>
      <c r="I164" s="3" t="e">
        <f t="shared" si="20"/>
        <v>#REF!</v>
      </c>
      <c r="J164" s="3" t="e">
        <f t="shared" si="21"/>
        <v>#REF!</v>
      </c>
      <c r="K164" s="3" t="e">
        <f t="shared" si="22"/>
        <v>#REF!</v>
      </c>
      <c r="L164" s="3" t="e">
        <f t="shared" si="23"/>
        <v>#REF!</v>
      </c>
    </row>
    <row r="165" spans="1:15" x14ac:dyDescent="0.25">
      <c r="B165" s="3" t="e">
        <f>Data!#REF!</f>
        <v>#REF!</v>
      </c>
      <c r="C165" s="3" t="e">
        <f>Data!#REF!/Data!#REF!</f>
        <v>#REF!</v>
      </c>
      <c r="D165" s="3"/>
      <c r="E165" s="3" t="e">
        <f>Data!#REF!/Data!#REF!</f>
        <v>#REF!</v>
      </c>
      <c r="F165" s="3"/>
      <c r="G165" s="3" t="e">
        <f t="shared" si="18"/>
        <v>#REF!</v>
      </c>
      <c r="H165" s="10" t="e">
        <f t="shared" si="19"/>
        <v>#REF!</v>
      </c>
      <c r="I165" s="3" t="e">
        <f t="shared" si="20"/>
        <v>#REF!</v>
      </c>
      <c r="J165" s="3" t="e">
        <f t="shared" si="21"/>
        <v>#REF!</v>
      </c>
      <c r="K165" s="3" t="e">
        <f t="shared" si="22"/>
        <v>#REF!</v>
      </c>
      <c r="L165" s="3" t="e">
        <f t="shared" si="23"/>
        <v>#REF!</v>
      </c>
    </row>
    <row r="166" spans="1:15" x14ac:dyDescent="0.25">
      <c r="A166" t="e">
        <f>Data!#REF!</f>
        <v>#REF!</v>
      </c>
      <c r="B166" s="3" t="e">
        <f>Data!#REF!</f>
        <v>#REF!</v>
      </c>
      <c r="C166" s="3" t="e">
        <f>Data!#REF!/Data!#REF!</f>
        <v>#REF!</v>
      </c>
      <c r="D166" s="3"/>
      <c r="E166" s="3" t="e">
        <f>Data!#REF!/Data!#REF!</f>
        <v>#REF!</v>
      </c>
      <c r="F166" s="3"/>
      <c r="G166" s="3" t="e">
        <f t="shared" si="18"/>
        <v>#REF!</v>
      </c>
      <c r="H166" s="10" t="e">
        <f t="shared" si="19"/>
        <v>#REF!</v>
      </c>
      <c r="I166" s="3" t="e">
        <f t="shared" si="20"/>
        <v>#REF!</v>
      </c>
      <c r="J166" s="3" t="e">
        <f t="shared" si="21"/>
        <v>#REF!</v>
      </c>
      <c r="K166" s="3" t="e">
        <f t="shared" si="22"/>
        <v>#REF!</v>
      </c>
      <c r="L166" s="3" t="e">
        <f t="shared" si="23"/>
        <v>#REF!</v>
      </c>
      <c r="M166" s="3" t="e">
        <f>AVERAGE(K166:K168)</f>
        <v>#REF!</v>
      </c>
      <c r="N166" s="3" t="e">
        <f>AVERAGE(L166:L168)</f>
        <v>#REF!</v>
      </c>
      <c r="O166" s="4" t="e">
        <f>Data!#REF!</f>
        <v>#REF!</v>
      </c>
    </row>
    <row r="167" spans="1:15" x14ac:dyDescent="0.25">
      <c r="B167" s="3" t="e">
        <f>Data!#REF!</f>
        <v>#REF!</v>
      </c>
      <c r="C167" s="3" t="e">
        <f>Data!#REF!/Data!#REF!</f>
        <v>#REF!</v>
      </c>
      <c r="D167" s="3"/>
      <c r="E167" s="3" t="e">
        <f>Data!#REF!/Data!#REF!</f>
        <v>#REF!</v>
      </c>
      <c r="F167" s="3"/>
      <c r="G167" s="3" t="e">
        <f t="shared" si="18"/>
        <v>#REF!</v>
      </c>
      <c r="H167" s="10" t="e">
        <f t="shared" si="19"/>
        <v>#REF!</v>
      </c>
      <c r="I167" s="3" t="e">
        <f t="shared" si="20"/>
        <v>#REF!</v>
      </c>
      <c r="J167" s="3" t="e">
        <f t="shared" si="21"/>
        <v>#REF!</v>
      </c>
      <c r="K167" s="3" t="e">
        <f t="shared" si="22"/>
        <v>#REF!</v>
      </c>
      <c r="L167" s="3" t="e">
        <f t="shared" si="23"/>
        <v>#REF!</v>
      </c>
    </row>
    <row r="168" spans="1:15" x14ac:dyDescent="0.25">
      <c r="B168" s="3" t="e">
        <f>Data!#REF!</f>
        <v>#REF!</v>
      </c>
      <c r="C168" s="3" t="e">
        <f>Data!#REF!/Data!#REF!</f>
        <v>#REF!</v>
      </c>
      <c r="D168" s="3"/>
      <c r="E168" s="3" t="e">
        <f>Data!#REF!/Data!#REF!</f>
        <v>#REF!</v>
      </c>
      <c r="F168" s="3"/>
      <c r="G168" s="3" t="e">
        <f t="shared" si="18"/>
        <v>#REF!</v>
      </c>
      <c r="H168" s="10" t="e">
        <f t="shared" si="19"/>
        <v>#REF!</v>
      </c>
      <c r="I168" s="3" t="e">
        <f t="shared" si="20"/>
        <v>#REF!</v>
      </c>
      <c r="J168" s="3" t="e">
        <f t="shared" si="21"/>
        <v>#REF!</v>
      </c>
      <c r="K168" s="3" t="e">
        <f t="shared" si="22"/>
        <v>#REF!</v>
      </c>
      <c r="L168" s="3" t="e">
        <f t="shared" si="23"/>
        <v>#REF!</v>
      </c>
    </row>
    <row r="169" spans="1:15" x14ac:dyDescent="0.25">
      <c r="A169" t="e">
        <f>Data!#REF!</f>
        <v>#REF!</v>
      </c>
      <c r="B169" s="3" t="e">
        <f>Data!#REF!</f>
        <v>#REF!</v>
      </c>
      <c r="C169" s="3" t="e">
        <f>Data!#REF!/Data!#REF!</f>
        <v>#REF!</v>
      </c>
      <c r="D169" s="3"/>
      <c r="E169" s="3" t="e">
        <f>Data!#REF!/Data!#REF!</f>
        <v>#REF!</v>
      </c>
      <c r="F169" s="3"/>
      <c r="G169" s="3" t="e">
        <f t="shared" si="18"/>
        <v>#REF!</v>
      </c>
      <c r="H169" s="10" t="e">
        <f t="shared" si="19"/>
        <v>#REF!</v>
      </c>
      <c r="I169" s="3" t="e">
        <f t="shared" si="20"/>
        <v>#REF!</v>
      </c>
      <c r="J169" s="3" t="e">
        <f t="shared" si="21"/>
        <v>#REF!</v>
      </c>
      <c r="K169" s="3" t="e">
        <f t="shared" si="22"/>
        <v>#REF!</v>
      </c>
      <c r="L169" s="3" t="e">
        <f t="shared" si="23"/>
        <v>#REF!</v>
      </c>
      <c r="M169" s="3" t="e">
        <f>AVERAGE(K169:K171)</f>
        <v>#REF!</v>
      </c>
      <c r="N169" s="3" t="e">
        <f>AVERAGE(L169:L171)</f>
        <v>#REF!</v>
      </c>
      <c r="O169" s="4" t="e">
        <f>Data!#REF!</f>
        <v>#REF!</v>
      </c>
    </row>
    <row r="170" spans="1:15" x14ac:dyDescent="0.25">
      <c r="B170" s="3" t="e">
        <f>Data!#REF!</f>
        <v>#REF!</v>
      </c>
      <c r="C170" s="3" t="e">
        <f>Data!#REF!/Data!#REF!</f>
        <v>#REF!</v>
      </c>
      <c r="D170" s="3"/>
      <c r="E170" s="3" t="e">
        <f>Data!#REF!/Data!#REF!</f>
        <v>#REF!</v>
      </c>
      <c r="F170" s="3"/>
      <c r="G170" s="3" t="e">
        <f t="shared" si="18"/>
        <v>#REF!</v>
      </c>
      <c r="H170" s="10" t="e">
        <f t="shared" si="19"/>
        <v>#REF!</v>
      </c>
      <c r="I170" s="3" t="e">
        <f t="shared" si="20"/>
        <v>#REF!</v>
      </c>
      <c r="J170" s="3" t="e">
        <f t="shared" si="21"/>
        <v>#REF!</v>
      </c>
      <c r="K170" s="3" t="e">
        <f t="shared" si="22"/>
        <v>#REF!</v>
      </c>
      <c r="L170" s="3" t="e">
        <f t="shared" si="23"/>
        <v>#REF!</v>
      </c>
    </row>
    <row r="171" spans="1:15" x14ac:dyDescent="0.25">
      <c r="B171" s="3" t="e">
        <f>Data!#REF!</f>
        <v>#REF!</v>
      </c>
      <c r="C171" s="3" t="e">
        <f>Data!#REF!/Data!#REF!</f>
        <v>#REF!</v>
      </c>
      <c r="D171" s="3"/>
      <c r="E171" s="3" t="e">
        <f>Data!#REF!/Data!#REF!</f>
        <v>#REF!</v>
      </c>
      <c r="F171" s="3"/>
      <c r="G171" s="3" t="e">
        <f t="shared" si="18"/>
        <v>#REF!</v>
      </c>
      <c r="H171" s="10" t="e">
        <f t="shared" si="19"/>
        <v>#REF!</v>
      </c>
      <c r="I171" s="3" t="e">
        <f t="shared" si="20"/>
        <v>#REF!</v>
      </c>
      <c r="J171" s="3" t="e">
        <f t="shared" si="21"/>
        <v>#REF!</v>
      </c>
      <c r="K171" s="3" t="e">
        <f t="shared" si="22"/>
        <v>#REF!</v>
      </c>
      <c r="L171" s="3" t="e">
        <f t="shared" si="23"/>
        <v>#REF!</v>
      </c>
    </row>
    <row r="172" spans="1:15" x14ac:dyDescent="0.25">
      <c r="A172" t="e">
        <f>Data!#REF!</f>
        <v>#REF!</v>
      </c>
      <c r="B172" s="3" t="e">
        <f>Data!#REF!</f>
        <v>#REF!</v>
      </c>
      <c r="C172" s="3" t="e">
        <f>Data!#REF!/Data!#REF!</f>
        <v>#REF!</v>
      </c>
      <c r="D172" s="3"/>
      <c r="E172" s="3" t="e">
        <f>Data!#REF!/Data!#REF!</f>
        <v>#REF!</v>
      </c>
      <c r="F172" s="3"/>
      <c r="G172" s="3" t="e">
        <f t="shared" si="18"/>
        <v>#REF!</v>
      </c>
      <c r="H172" s="10" t="e">
        <f t="shared" si="19"/>
        <v>#REF!</v>
      </c>
      <c r="I172" s="3" t="e">
        <f t="shared" si="20"/>
        <v>#REF!</v>
      </c>
      <c r="J172" s="3" t="e">
        <f t="shared" si="21"/>
        <v>#REF!</v>
      </c>
      <c r="K172" s="3" t="e">
        <f t="shared" si="22"/>
        <v>#REF!</v>
      </c>
      <c r="L172" s="3" t="e">
        <f t="shared" si="23"/>
        <v>#REF!</v>
      </c>
      <c r="M172" s="3" t="e">
        <f>AVERAGE(K172:K174)</f>
        <v>#REF!</v>
      </c>
      <c r="N172" s="3" t="e">
        <f>AVERAGE(L172:L174)</f>
        <v>#REF!</v>
      </c>
      <c r="O172" s="4" t="e">
        <f>Data!#REF!</f>
        <v>#REF!</v>
      </c>
    </row>
    <row r="173" spans="1:15" x14ac:dyDescent="0.25">
      <c r="B173" s="3" t="e">
        <f>Data!#REF!</f>
        <v>#REF!</v>
      </c>
      <c r="C173" s="3" t="e">
        <f>Data!#REF!/Data!#REF!</f>
        <v>#REF!</v>
      </c>
      <c r="D173" s="3"/>
      <c r="E173" s="3" t="e">
        <f>Data!#REF!/Data!#REF!</f>
        <v>#REF!</v>
      </c>
      <c r="F173" s="3"/>
      <c r="G173" s="3" t="e">
        <f t="shared" ref="G173:G190" si="24">C173-(G$3+G$4*B173)</f>
        <v>#REF!</v>
      </c>
      <c r="H173" s="10" t="e">
        <f t="shared" ref="H173:H190" si="25">E173-(H$3+H$4*B173)</f>
        <v>#REF!</v>
      </c>
      <c r="I173" s="3" t="e">
        <f t="shared" ref="I173:I190" si="26">G173*(B$7/B$9)+B$3</f>
        <v>#REF!</v>
      </c>
      <c r="J173" s="3" t="e">
        <f t="shared" ref="J173:J190" si="27">H173*(C$7)+C$3</f>
        <v>#REF!</v>
      </c>
      <c r="K173" s="3" t="e">
        <f t="shared" ref="K173:K190" si="28">I173*D$3</f>
        <v>#REF!</v>
      </c>
      <c r="L173" s="3" t="e">
        <f t="shared" ref="L173:L190" si="29">J173*D$3</f>
        <v>#REF!</v>
      </c>
    </row>
    <row r="174" spans="1:15" x14ac:dyDescent="0.25">
      <c r="B174" s="3" t="e">
        <f>Data!#REF!</f>
        <v>#REF!</v>
      </c>
      <c r="C174" s="3" t="e">
        <f>Data!#REF!/Data!#REF!</f>
        <v>#REF!</v>
      </c>
      <c r="D174" s="3"/>
      <c r="E174" s="3" t="e">
        <f>Data!#REF!/Data!#REF!</f>
        <v>#REF!</v>
      </c>
      <c r="F174" s="3"/>
      <c r="G174" s="3" t="e">
        <f t="shared" si="24"/>
        <v>#REF!</v>
      </c>
      <c r="H174" s="10" t="e">
        <f t="shared" si="25"/>
        <v>#REF!</v>
      </c>
      <c r="I174" s="3" t="e">
        <f t="shared" si="26"/>
        <v>#REF!</v>
      </c>
      <c r="J174" s="3" t="e">
        <f t="shared" si="27"/>
        <v>#REF!</v>
      </c>
      <c r="K174" s="3" t="e">
        <f t="shared" si="28"/>
        <v>#REF!</v>
      </c>
      <c r="L174" s="3" t="e">
        <f t="shared" si="29"/>
        <v>#REF!</v>
      </c>
    </row>
    <row r="175" spans="1:15" x14ac:dyDescent="0.25">
      <c r="A175" t="e">
        <f>Data!#REF!</f>
        <v>#REF!</v>
      </c>
      <c r="B175" s="3" t="e">
        <f>Data!#REF!</f>
        <v>#REF!</v>
      </c>
      <c r="C175" s="3" t="e">
        <f>Data!#REF!/Data!#REF!</f>
        <v>#REF!</v>
      </c>
      <c r="D175" s="3"/>
      <c r="E175" s="3" t="e">
        <f>Data!#REF!/Data!#REF!</f>
        <v>#REF!</v>
      </c>
      <c r="F175" s="3"/>
      <c r="G175" s="3" t="e">
        <f t="shared" si="24"/>
        <v>#REF!</v>
      </c>
      <c r="H175" s="10" t="e">
        <f t="shared" si="25"/>
        <v>#REF!</v>
      </c>
      <c r="I175" s="3" t="e">
        <f t="shared" si="26"/>
        <v>#REF!</v>
      </c>
      <c r="J175" s="3" t="e">
        <f t="shared" si="27"/>
        <v>#REF!</v>
      </c>
      <c r="K175" s="3" t="e">
        <f t="shared" si="28"/>
        <v>#REF!</v>
      </c>
      <c r="L175" s="3" t="e">
        <f t="shared" si="29"/>
        <v>#REF!</v>
      </c>
      <c r="M175" s="3" t="e">
        <f>AVERAGE(K175:K177)</f>
        <v>#REF!</v>
      </c>
      <c r="N175" s="3" t="e">
        <f>AVERAGE(L175:L177)</f>
        <v>#REF!</v>
      </c>
      <c r="O175" s="4" t="e">
        <f>Data!#REF!</f>
        <v>#REF!</v>
      </c>
    </row>
    <row r="176" spans="1:15" x14ac:dyDescent="0.25">
      <c r="B176" s="3" t="e">
        <f>Data!#REF!</f>
        <v>#REF!</v>
      </c>
      <c r="C176" s="3" t="e">
        <f>Data!#REF!/Data!#REF!</f>
        <v>#REF!</v>
      </c>
      <c r="D176" s="3"/>
      <c r="E176" s="3" t="e">
        <f>Data!#REF!/Data!#REF!</f>
        <v>#REF!</v>
      </c>
      <c r="F176" s="3"/>
      <c r="G176" s="3" t="e">
        <f t="shared" si="24"/>
        <v>#REF!</v>
      </c>
      <c r="H176" s="10" t="e">
        <f t="shared" si="25"/>
        <v>#REF!</v>
      </c>
      <c r="I176" s="3" t="e">
        <f t="shared" si="26"/>
        <v>#REF!</v>
      </c>
      <c r="J176" s="3" t="e">
        <f t="shared" si="27"/>
        <v>#REF!</v>
      </c>
      <c r="K176" s="3" t="e">
        <f t="shared" si="28"/>
        <v>#REF!</v>
      </c>
      <c r="L176" s="3" t="e">
        <f t="shared" si="29"/>
        <v>#REF!</v>
      </c>
    </row>
    <row r="177" spans="1:15" x14ac:dyDescent="0.25">
      <c r="B177" s="3" t="e">
        <f>Data!#REF!</f>
        <v>#REF!</v>
      </c>
      <c r="C177" s="3" t="e">
        <f>Data!#REF!/Data!#REF!</f>
        <v>#REF!</v>
      </c>
      <c r="D177" s="3"/>
      <c r="E177" s="3" t="e">
        <f>Data!#REF!/Data!#REF!</f>
        <v>#REF!</v>
      </c>
      <c r="F177" s="3"/>
      <c r="G177" s="3" t="e">
        <f t="shared" si="24"/>
        <v>#REF!</v>
      </c>
      <c r="H177" s="10" t="e">
        <f t="shared" si="25"/>
        <v>#REF!</v>
      </c>
      <c r="I177" s="3" t="e">
        <f t="shared" si="26"/>
        <v>#REF!</v>
      </c>
      <c r="J177" s="3" t="e">
        <f t="shared" si="27"/>
        <v>#REF!</v>
      </c>
      <c r="K177" s="3" t="e">
        <f t="shared" si="28"/>
        <v>#REF!</v>
      </c>
      <c r="L177" s="3" t="e">
        <f t="shared" si="29"/>
        <v>#REF!</v>
      </c>
    </row>
    <row r="178" spans="1:15" x14ac:dyDescent="0.25">
      <c r="A178" t="e">
        <f>Data!#REF!</f>
        <v>#REF!</v>
      </c>
      <c r="B178" s="3" t="e">
        <f>Data!#REF!</f>
        <v>#REF!</v>
      </c>
      <c r="C178" s="3" t="e">
        <f>Data!#REF!/Data!#REF!</f>
        <v>#REF!</v>
      </c>
      <c r="D178" s="3"/>
      <c r="E178" s="3" t="e">
        <f>Data!#REF!/Data!#REF!</f>
        <v>#REF!</v>
      </c>
      <c r="F178" s="3"/>
      <c r="G178" s="3" t="e">
        <f t="shared" si="24"/>
        <v>#REF!</v>
      </c>
      <c r="H178" s="10" t="e">
        <f t="shared" si="25"/>
        <v>#REF!</v>
      </c>
      <c r="I178" s="3" t="e">
        <f t="shared" si="26"/>
        <v>#REF!</v>
      </c>
      <c r="J178" s="3" t="e">
        <f t="shared" si="27"/>
        <v>#REF!</v>
      </c>
      <c r="K178" s="3" t="e">
        <f t="shared" si="28"/>
        <v>#REF!</v>
      </c>
      <c r="L178" s="3" t="e">
        <f t="shared" si="29"/>
        <v>#REF!</v>
      </c>
      <c r="M178" s="3" t="e">
        <f>AVERAGE(K178:K180)</f>
        <v>#REF!</v>
      </c>
      <c r="N178" s="3" t="e">
        <f>AVERAGE(L178:L180)</f>
        <v>#REF!</v>
      </c>
      <c r="O178" s="4" t="e">
        <f>Data!#REF!</f>
        <v>#REF!</v>
      </c>
    </row>
    <row r="179" spans="1:15" x14ac:dyDescent="0.25">
      <c r="B179" s="3" t="e">
        <f>Data!#REF!</f>
        <v>#REF!</v>
      </c>
      <c r="C179" s="3" t="e">
        <f>Data!#REF!/Data!#REF!</f>
        <v>#REF!</v>
      </c>
      <c r="D179" s="3"/>
      <c r="E179" s="3" t="e">
        <f>Data!#REF!/Data!#REF!</f>
        <v>#REF!</v>
      </c>
      <c r="F179" s="3"/>
      <c r="G179" s="3" t="e">
        <f t="shared" si="24"/>
        <v>#REF!</v>
      </c>
      <c r="H179" s="10" t="e">
        <f t="shared" si="25"/>
        <v>#REF!</v>
      </c>
      <c r="I179" s="3" t="e">
        <f t="shared" si="26"/>
        <v>#REF!</v>
      </c>
      <c r="J179" s="3" t="e">
        <f t="shared" si="27"/>
        <v>#REF!</v>
      </c>
      <c r="K179" s="3" t="e">
        <f t="shared" si="28"/>
        <v>#REF!</v>
      </c>
      <c r="L179" s="3" t="e">
        <f t="shared" si="29"/>
        <v>#REF!</v>
      </c>
    </row>
    <row r="180" spans="1:15" x14ac:dyDescent="0.25">
      <c r="B180" s="3" t="e">
        <f>Data!#REF!</f>
        <v>#REF!</v>
      </c>
      <c r="C180" s="3" t="e">
        <f>Data!#REF!/Data!#REF!</f>
        <v>#REF!</v>
      </c>
      <c r="D180" s="3"/>
      <c r="E180" s="3" t="e">
        <f>Data!#REF!/Data!#REF!</f>
        <v>#REF!</v>
      </c>
      <c r="F180" s="3"/>
      <c r="G180" s="3" t="e">
        <f t="shared" si="24"/>
        <v>#REF!</v>
      </c>
      <c r="H180" s="10" t="e">
        <f t="shared" si="25"/>
        <v>#REF!</v>
      </c>
      <c r="I180" s="3" t="e">
        <f t="shared" si="26"/>
        <v>#REF!</v>
      </c>
      <c r="J180" s="3" t="e">
        <f t="shared" si="27"/>
        <v>#REF!</v>
      </c>
      <c r="K180" s="3" t="e">
        <f t="shared" si="28"/>
        <v>#REF!</v>
      </c>
      <c r="L180" s="3" t="e">
        <f t="shared" si="29"/>
        <v>#REF!</v>
      </c>
    </row>
    <row r="181" spans="1:15" x14ac:dyDescent="0.25">
      <c r="A181" t="e">
        <f>Data!#REF!</f>
        <v>#REF!</v>
      </c>
      <c r="B181" s="3" t="e">
        <f>Data!#REF!</f>
        <v>#REF!</v>
      </c>
      <c r="C181" s="3" t="e">
        <f>Data!#REF!/Data!#REF!</f>
        <v>#REF!</v>
      </c>
      <c r="D181" s="3"/>
      <c r="E181" s="3" t="e">
        <f>Data!#REF!/Data!#REF!</f>
        <v>#REF!</v>
      </c>
      <c r="F181" s="3"/>
      <c r="G181" s="3" t="e">
        <f t="shared" si="24"/>
        <v>#REF!</v>
      </c>
      <c r="H181" s="10" t="e">
        <f t="shared" si="25"/>
        <v>#REF!</v>
      </c>
      <c r="I181" s="3" t="e">
        <f t="shared" si="26"/>
        <v>#REF!</v>
      </c>
      <c r="J181" s="3" t="e">
        <f t="shared" si="27"/>
        <v>#REF!</v>
      </c>
      <c r="K181" s="3" t="e">
        <f t="shared" si="28"/>
        <v>#REF!</v>
      </c>
      <c r="L181" s="3" t="e">
        <f t="shared" si="29"/>
        <v>#REF!</v>
      </c>
      <c r="M181" s="3" t="e">
        <f>AVERAGE(K181:K183)</f>
        <v>#REF!</v>
      </c>
      <c r="N181" s="3" t="e">
        <f>AVERAGE(L181:L183)</f>
        <v>#REF!</v>
      </c>
      <c r="O181" s="4" t="e">
        <f>Data!#REF!</f>
        <v>#REF!</v>
      </c>
    </row>
    <row r="182" spans="1:15" x14ac:dyDescent="0.25">
      <c r="B182" s="3" t="e">
        <f>Data!#REF!</f>
        <v>#REF!</v>
      </c>
      <c r="C182" s="3" t="e">
        <f>Data!#REF!/Data!#REF!</f>
        <v>#REF!</v>
      </c>
      <c r="D182" s="3"/>
      <c r="E182" s="3" t="e">
        <f>Data!#REF!/Data!#REF!</f>
        <v>#REF!</v>
      </c>
      <c r="F182" s="3"/>
      <c r="G182" s="3" t="e">
        <f t="shared" si="24"/>
        <v>#REF!</v>
      </c>
      <c r="H182" s="10" t="e">
        <f t="shared" si="25"/>
        <v>#REF!</v>
      </c>
      <c r="I182" s="3" t="e">
        <f t="shared" si="26"/>
        <v>#REF!</v>
      </c>
      <c r="J182" s="3" t="e">
        <f t="shared" si="27"/>
        <v>#REF!</v>
      </c>
      <c r="K182" s="3" t="e">
        <f t="shared" si="28"/>
        <v>#REF!</v>
      </c>
      <c r="L182" s="3" t="e">
        <f t="shared" si="29"/>
        <v>#REF!</v>
      </c>
    </row>
    <row r="183" spans="1:15" x14ac:dyDescent="0.25">
      <c r="B183" s="3" t="e">
        <f>Data!#REF!</f>
        <v>#REF!</v>
      </c>
      <c r="C183" s="3" t="e">
        <f>Data!#REF!/Data!#REF!</f>
        <v>#REF!</v>
      </c>
      <c r="D183" s="3"/>
      <c r="E183" s="3" t="e">
        <f>Data!#REF!/Data!#REF!</f>
        <v>#REF!</v>
      </c>
      <c r="F183" s="3"/>
      <c r="G183" s="3" t="e">
        <f t="shared" si="24"/>
        <v>#REF!</v>
      </c>
      <c r="H183" s="10" t="e">
        <f t="shared" si="25"/>
        <v>#REF!</v>
      </c>
      <c r="I183" s="3" t="e">
        <f t="shared" si="26"/>
        <v>#REF!</v>
      </c>
      <c r="J183" s="3" t="e">
        <f t="shared" si="27"/>
        <v>#REF!</v>
      </c>
      <c r="K183" s="3" t="e">
        <f t="shared" si="28"/>
        <v>#REF!</v>
      </c>
      <c r="L183" s="3" t="e">
        <f t="shared" si="29"/>
        <v>#REF!</v>
      </c>
    </row>
    <row r="184" spans="1:15" x14ac:dyDescent="0.25">
      <c r="A184" t="e">
        <f>Data!#REF!</f>
        <v>#REF!</v>
      </c>
      <c r="B184" s="3" t="e">
        <f>Data!#REF!</f>
        <v>#REF!</v>
      </c>
      <c r="C184" s="3" t="e">
        <f>Data!#REF!/Data!#REF!</f>
        <v>#REF!</v>
      </c>
      <c r="D184" s="3"/>
      <c r="E184" s="3" t="e">
        <f>Data!#REF!/Data!#REF!</f>
        <v>#REF!</v>
      </c>
      <c r="F184" s="3"/>
      <c r="G184" s="3" t="e">
        <f t="shared" si="24"/>
        <v>#REF!</v>
      </c>
      <c r="H184" s="10" t="e">
        <f t="shared" si="25"/>
        <v>#REF!</v>
      </c>
      <c r="I184" s="3" t="e">
        <f t="shared" si="26"/>
        <v>#REF!</v>
      </c>
      <c r="J184" s="3" t="e">
        <f t="shared" si="27"/>
        <v>#REF!</v>
      </c>
      <c r="K184" s="3" t="e">
        <f t="shared" si="28"/>
        <v>#REF!</v>
      </c>
      <c r="L184" s="3" t="e">
        <f t="shared" si="29"/>
        <v>#REF!</v>
      </c>
      <c r="M184" s="3" t="e">
        <f>AVERAGE(K184:K186)</f>
        <v>#REF!</v>
      </c>
      <c r="N184" s="3" t="e">
        <f>AVERAGE(L184:L186)</f>
        <v>#REF!</v>
      </c>
      <c r="O184" s="4" t="e">
        <f>Data!#REF!</f>
        <v>#REF!</v>
      </c>
    </row>
    <row r="185" spans="1:15" x14ac:dyDescent="0.25">
      <c r="B185" s="3" t="e">
        <f>Data!#REF!</f>
        <v>#REF!</v>
      </c>
      <c r="C185" s="3" t="e">
        <f>Data!#REF!/Data!#REF!</f>
        <v>#REF!</v>
      </c>
      <c r="D185" s="3"/>
      <c r="E185" s="3" t="e">
        <f>Data!#REF!/Data!#REF!</f>
        <v>#REF!</v>
      </c>
      <c r="F185" s="3"/>
      <c r="G185" s="3" t="e">
        <f t="shared" si="24"/>
        <v>#REF!</v>
      </c>
      <c r="H185" s="10" t="e">
        <f t="shared" si="25"/>
        <v>#REF!</v>
      </c>
      <c r="I185" s="3" t="e">
        <f t="shared" si="26"/>
        <v>#REF!</v>
      </c>
      <c r="J185" s="3" t="e">
        <f t="shared" si="27"/>
        <v>#REF!</v>
      </c>
      <c r="K185" s="3" t="e">
        <f t="shared" si="28"/>
        <v>#REF!</v>
      </c>
      <c r="L185" s="3" t="e">
        <f t="shared" si="29"/>
        <v>#REF!</v>
      </c>
    </row>
    <row r="186" spans="1:15" x14ac:dyDescent="0.25">
      <c r="B186" s="3" t="e">
        <f>Data!#REF!</f>
        <v>#REF!</v>
      </c>
      <c r="C186" s="3" t="e">
        <f>Data!#REF!/Data!#REF!</f>
        <v>#REF!</v>
      </c>
      <c r="D186" s="3"/>
      <c r="E186" s="3" t="e">
        <f>Data!#REF!/Data!#REF!</f>
        <v>#REF!</v>
      </c>
      <c r="F186" s="3"/>
      <c r="G186" s="3" t="e">
        <f t="shared" si="24"/>
        <v>#REF!</v>
      </c>
      <c r="H186" s="10" t="e">
        <f t="shared" si="25"/>
        <v>#REF!</v>
      </c>
      <c r="I186" s="3" t="e">
        <f t="shared" si="26"/>
        <v>#REF!</v>
      </c>
      <c r="J186" s="3" t="e">
        <f t="shared" si="27"/>
        <v>#REF!</v>
      </c>
      <c r="K186" s="3" t="e">
        <f t="shared" si="28"/>
        <v>#REF!</v>
      </c>
      <c r="L186" s="3" t="e">
        <f t="shared" si="29"/>
        <v>#REF!</v>
      </c>
    </row>
    <row r="187" spans="1:15" x14ac:dyDescent="0.25">
      <c r="A187" t="e">
        <f>Data!#REF!</f>
        <v>#REF!</v>
      </c>
      <c r="B187" s="3" t="e">
        <f>Data!#REF!</f>
        <v>#REF!</v>
      </c>
      <c r="C187" s="3" t="e">
        <f>Data!#REF!/Data!#REF!</f>
        <v>#REF!</v>
      </c>
      <c r="D187" s="3"/>
      <c r="E187" s="3" t="e">
        <f>Data!#REF!/Data!#REF!</f>
        <v>#REF!</v>
      </c>
      <c r="F187" s="3"/>
      <c r="G187" s="3" t="e">
        <f t="shared" si="24"/>
        <v>#REF!</v>
      </c>
      <c r="H187" s="10" t="e">
        <f t="shared" si="25"/>
        <v>#REF!</v>
      </c>
      <c r="I187" s="3" t="e">
        <f t="shared" si="26"/>
        <v>#REF!</v>
      </c>
      <c r="J187" s="3" t="e">
        <f t="shared" si="27"/>
        <v>#REF!</v>
      </c>
      <c r="K187" s="3" t="e">
        <f t="shared" si="28"/>
        <v>#REF!</v>
      </c>
      <c r="L187" s="3" t="e">
        <f t="shared" si="29"/>
        <v>#REF!</v>
      </c>
      <c r="M187" s="3" t="e">
        <f>AVERAGE(K187:K189)</f>
        <v>#REF!</v>
      </c>
      <c r="N187" s="3" t="e">
        <f>AVERAGE(L187:L189)</f>
        <v>#REF!</v>
      </c>
      <c r="O187" s="4" t="e">
        <f>Data!#REF!</f>
        <v>#REF!</v>
      </c>
    </row>
    <row r="188" spans="1:15" x14ac:dyDescent="0.25">
      <c r="B188" s="3" t="e">
        <f>Data!#REF!</f>
        <v>#REF!</v>
      </c>
      <c r="C188" s="3" t="e">
        <f>Data!#REF!/Data!#REF!</f>
        <v>#REF!</v>
      </c>
      <c r="D188" s="3"/>
      <c r="E188" s="3" t="e">
        <f>Data!#REF!/Data!#REF!</f>
        <v>#REF!</v>
      </c>
      <c r="F188" s="3"/>
      <c r="G188" s="3" t="e">
        <f t="shared" si="24"/>
        <v>#REF!</v>
      </c>
      <c r="H188" s="10" t="e">
        <f t="shared" si="25"/>
        <v>#REF!</v>
      </c>
      <c r="I188" s="3" t="e">
        <f t="shared" si="26"/>
        <v>#REF!</v>
      </c>
      <c r="J188" s="3" t="e">
        <f t="shared" si="27"/>
        <v>#REF!</v>
      </c>
      <c r="K188" s="3" t="e">
        <f t="shared" si="28"/>
        <v>#REF!</v>
      </c>
      <c r="L188" s="3" t="e">
        <f t="shared" si="29"/>
        <v>#REF!</v>
      </c>
    </row>
    <row r="189" spans="1:15" x14ac:dyDescent="0.25">
      <c r="B189" s="3" t="e">
        <f>Data!#REF!</f>
        <v>#REF!</v>
      </c>
      <c r="C189" s="3" t="e">
        <f>Data!#REF!/Data!#REF!</f>
        <v>#REF!</v>
      </c>
      <c r="D189" s="3"/>
      <c r="E189" s="3" t="e">
        <f>Data!#REF!/Data!#REF!</f>
        <v>#REF!</v>
      </c>
      <c r="F189" s="3"/>
      <c r="G189" s="3" t="e">
        <f t="shared" si="24"/>
        <v>#REF!</v>
      </c>
      <c r="H189" s="10" t="e">
        <f t="shared" si="25"/>
        <v>#REF!</v>
      </c>
      <c r="I189" s="3" t="e">
        <f t="shared" si="26"/>
        <v>#REF!</v>
      </c>
      <c r="J189" s="3" t="e">
        <f t="shared" si="27"/>
        <v>#REF!</v>
      </c>
      <c r="K189" s="3" t="e">
        <f t="shared" si="28"/>
        <v>#REF!</v>
      </c>
      <c r="L189" s="3" t="e">
        <f t="shared" si="29"/>
        <v>#REF!</v>
      </c>
    </row>
    <row r="190" spans="1:15" x14ac:dyDescent="0.25">
      <c r="A190" t="e">
        <f>Data!#REF!</f>
        <v>#REF!</v>
      </c>
      <c r="B190" s="3" t="e">
        <f>Data!#REF!</f>
        <v>#REF!</v>
      </c>
      <c r="C190" s="3" t="e">
        <f>Data!#REF!/Data!#REF!</f>
        <v>#REF!</v>
      </c>
      <c r="D190" s="3"/>
      <c r="E190" s="3" t="e">
        <f>Data!#REF!/Data!#REF!</f>
        <v>#REF!</v>
      </c>
      <c r="F190" s="3"/>
      <c r="G190" s="3" t="e">
        <f t="shared" si="24"/>
        <v>#REF!</v>
      </c>
      <c r="H190" s="10" t="e">
        <f t="shared" si="25"/>
        <v>#REF!</v>
      </c>
      <c r="I190" s="3" t="e">
        <f t="shared" si="26"/>
        <v>#REF!</v>
      </c>
      <c r="J190" s="3" t="e">
        <f t="shared" si="27"/>
        <v>#REF!</v>
      </c>
      <c r="K190" s="3" t="e">
        <f t="shared" si="28"/>
        <v>#REF!</v>
      </c>
      <c r="L190" s="3" t="e">
        <f t="shared" si="29"/>
        <v>#REF!</v>
      </c>
      <c r="M190" s="3" t="e">
        <f>AVERAGE(K190:K192)</f>
        <v>#REF!</v>
      </c>
      <c r="N190" s="3" t="e">
        <f>AVERAGE(L190:L192)</f>
        <v>#REF!</v>
      </c>
      <c r="O190" s="4" t="e">
        <f>Data!#REF!</f>
        <v>#REF!</v>
      </c>
    </row>
    <row r="191" spans="1:15" x14ac:dyDescent="0.25">
      <c r="B191" s="3" t="e">
        <f>Data!#REF!</f>
        <v>#REF!</v>
      </c>
      <c r="C191" s="3" t="e">
        <f>Data!#REF!/Data!#REF!</f>
        <v>#REF!</v>
      </c>
      <c r="D191" s="3"/>
      <c r="E191" s="3" t="e">
        <f>Data!#REF!/Data!#REF!</f>
        <v>#REF!</v>
      </c>
      <c r="F191" s="3"/>
      <c r="G191" s="3" t="e">
        <f t="shared" ref="G191:G228" si="30">C191-(G$3+G$4*B191)</f>
        <v>#REF!</v>
      </c>
      <c r="H191" s="10" t="e">
        <f t="shared" ref="H191:H228" si="31">E191-(H$3+H$4*B191)</f>
        <v>#REF!</v>
      </c>
      <c r="I191" s="3" t="e">
        <f t="shared" ref="I191:I228" si="32">G191*(B$7/B$9)+B$3</f>
        <v>#REF!</v>
      </c>
      <c r="J191" s="3" t="e">
        <f t="shared" ref="J191:J228" si="33">H191*(C$7)+C$3</f>
        <v>#REF!</v>
      </c>
      <c r="K191" s="3" t="e">
        <f t="shared" ref="K191:K228" si="34">I191*D$3</f>
        <v>#REF!</v>
      </c>
      <c r="L191" s="3" t="e">
        <f t="shared" ref="L191:L228" si="35">J191*D$3</f>
        <v>#REF!</v>
      </c>
    </row>
    <row r="192" spans="1:15" x14ac:dyDescent="0.25">
      <c r="B192" s="3" t="e">
        <f>Data!#REF!</f>
        <v>#REF!</v>
      </c>
      <c r="C192" s="3" t="e">
        <f>Data!#REF!/Data!#REF!</f>
        <v>#REF!</v>
      </c>
      <c r="D192" s="3"/>
      <c r="E192" s="3" t="e">
        <f>Data!#REF!/Data!#REF!</f>
        <v>#REF!</v>
      </c>
      <c r="F192" s="3"/>
      <c r="G192" s="3" t="e">
        <f t="shared" si="30"/>
        <v>#REF!</v>
      </c>
      <c r="H192" s="10" t="e">
        <f t="shared" si="31"/>
        <v>#REF!</v>
      </c>
      <c r="I192" s="3" t="e">
        <f t="shared" si="32"/>
        <v>#REF!</v>
      </c>
      <c r="J192" s="3" t="e">
        <f t="shared" si="33"/>
        <v>#REF!</v>
      </c>
      <c r="K192" s="3" t="e">
        <f t="shared" si="34"/>
        <v>#REF!</v>
      </c>
      <c r="L192" s="3" t="e">
        <f t="shared" si="35"/>
        <v>#REF!</v>
      </c>
    </row>
    <row r="193" spans="1:15" x14ac:dyDescent="0.25">
      <c r="A193" t="e">
        <f>Data!#REF!</f>
        <v>#REF!</v>
      </c>
      <c r="B193" s="3" t="e">
        <f>Data!#REF!</f>
        <v>#REF!</v>
      </c>
      <c r="C193" s="3" t="e">
        <f>Data!#REF!/Data!#REF!</f>
        <v>#REF!</v>
      </c>
      <c r="D193" s="3"/>
      <c r="E193" s="3" t="e">
        <f>Data!#REF!/Data!#REF!</f>
        <v>#REF!</v>
      </c>
      <c r="F193" s="3"/>
      <c r="G193" s="3" t="e">
        <f t="shared" si="30"/>
        <v>#REF!</v>
      </c>
      <c r="H193" s="10" t="e">
        <f t="shared" si="31"/>
        <v>#REF!</v>
      </c>
      <c r="I193" s="3" t="e">
        <f t="shared" si="32"/>
        <v>#REF!</v>
      </c>
      <c r="J193" s="3" t="e">
        <f t="shared" si="33"/>
        <v>#REF!</v>
      </c>
      <c r="K193" s="3" t="e">
        <f t="shared" si="34"/>
        <v>#REF!</v>
      </c>
      <c r="L193" s="3" t="e">
        <f t="shared" si="35"/>
        <v>#REF!</v>
      </c>
      <c r="M193" s="3" t="e">
        <f>AVERAGE(K193:K195)</f>
        <v>#REF!</v>
      </c>
      <c r="N193" s="3" t="e">
        <f>AVERAGE(L193:L195)</f>
        <v>#REF!</v>
      </c>
      <c r="O193" s="4" t="e">
        <f>Data!#REF!</f>
        <v>#REF!</v>
      </c>
    </row>
    <row r="194" spans="1:15" x14ac:dyDescent="0.25">
      <c r="B194" s="3" t="e">
        <f>Data!#REF!</f>
        <v>#REF!</v>
      </c>
      <c r="C194" s="3" t="e">
        <f>Data!#REF!/Data!#REF!</f>
        <v>#REF!</v>
      </c>
      <c r="D194" s="3"/>
      <c r="E194" s="3" t="e">
        <f>Data!#REF!/Data!#REF!</f>
        <v>#REF!</v>
      </c>
      <c r="F194" s="3"/>
      <c r="G194" s="3" t="e">
        <f t="shared" si="30"/>
        <v>#REF!</v>
      </c>
      <c r="H194" s="10" t="e">
        <f t="shared" si="31"/>
        <v>#REF!</v>
      </c>
      <c r="I194" s="3" t="e">
        <f t="shared" si="32"/>
        <v>#REF!</v>
      </c>
      <c r="J194" s="3" t="e">
        <f t="shared" si="33"/>
        <v>#REF!</v>
      </c>
      <c r="K194" s="3" t="e">
        <f t="shared" si="34"/>
        <v>#REF!</v>
      </c>
      <c r="L194" s="3" t="e">
        <f t="shared" si="35"/>
        <v>#REF!</v>
      </c>
    </row>
    <row r="195" spans="1:15" x14ac:dyDescent="0.25">
      <c r="B195" s="3" t="e">
        <f>Data!#REF!</f>
        <v>#REF!</v>
      </c>
      <c r="C195" s="3" t="e">
        <f>Data!#REF!/Data!#REF!</f>
        <v>#REF!</v>
      </c>
      <c r="D195" s="3"/>
      <c r="E195" s="3" t="e">
        <f>Data!#REF!/Data!#REF!</f>
        <v>#REF!</v>
      </c>
      <c r="F195" s="3"/>
      <c r="G195" s="3" t="e">
        <f t="shared" si="30"/>
        <v>#REF!</v>
      </c>
      <c r="H195" s="10" t="e">
        <f t="shared" si="31"/>
        <v>#REF!</v>
      </c>
      <c r="I195" s="3" t="e">
        <f t="shared" si="32"/>
        <v>#REF!</v>
      </c>
      <c r="J195" s="3" t="e">
        <f t="shared" si="33"/>
        <v>#REF!</v>
      </c>
      <c r="K195" s="3" t="e">
        <f t="shared" si="34"/>
        <v>#REF!</v>
      </c>
      <c r="L195" s="3" t="e">
        <f t="shared" si="35"/>
        <v>#REF!</v>
      </c>
    </row>
    <row r="196" spans="1:15" x14ac:dyDescent="0.25">
      <c r="A196" t="e">
        <f>Data!#REF!</f>
        <v>#REF!</v>
      </c>
      <c r="B196" s="3" t="e">
        <f>Data!#REF!</f>
        <v>#REF!</v>
      </c>
      <c r="C196" s="3" t="e">
        <f>Data!#REF!/Data!#REF!</f>
        <v>#REF!</v>
      </c>
      <c r="D196" s="3"/>
      <c r="E196" s="3" t="e">
        <f>Data!#REF!/Data!#REF!</f>
        <v>#REF!</v>
      </c>
      <c r="F196" s="3"/>
      <c r="G196" s="3" t="e">
        <f t="shared" si="30"/>
        <v>#REF!</v>
      </c>
      <c r="H196" s="10" t="e">
        <f t="shared" si="31"/>
        <v>#REF!</v>
      </c>
      <c r="I196" s="3" t="e">
        <f t="shared" si="32"/>
        <v>#REF!</v>
      </c>
      <c r="J196" s="3" t="e">
        <f t="shared" si="33"/>
        <v>#REF!</v>
      </c>
      <c r="K196" s="3" t="e">
        <f t="shared" si="34"/>
        <v>#REF!</v>
      </c>
      <c r="L196" s="3" t="e">
        <f t="shared" si="35"/>
        <v>#REF!</v>
      </c>
      <c r="M196" s="3" t="e">
        <f>AVERAGE(K196:K198)</f>
        <v>#REF!</v>
      </c>
      <c r="N196" s="3" t="e">
        <f>AVERAGE(L196:L198)</f>
        <v>#REF!</v>
      </c>
      <c r="O196" s="4" t="e">
        <f>Data!#REF!</f>
        <v>#REF!</v>
      </c>
    </row>
    <row r="197" spans="1:15" x14ac:dyDescent="0.25">
      <c r="B197" s="3" t="e">
        <f>Data!#REF!</f>
        <v>#REF!</v>
      </c>
      <c r="C197" s="3" t="e">
        <f>Data!#REF!/Data!#REF!</f>
        <v>#REF!</v>
      </c>
      <c r="D197" s="3"/>
      <c r="E197" s="3" t="e">
        <f>Data!#REF!/Data!#REF!</f>
        <v>#REF!</v>
      </c>
      <c r="F197" s="3"/>
      <c r="G197" s="3" t="e">
        <f t="shared" si="30"/>
        <v>#REF!</v>
      </c>
      <c r="H197" s="10" t="e">
        <f t="shared" si="31"/>
        <v>#REF!</v>
      </c>
      <c r="I197" s="3" t="e">
        <f t="shared" si="32"/>
        <v>#REF!</v>
      </c>
      <c r="J197" s="3" t="e">
        <f t="shared" si="33"/>
        <v>#REF!</v>
      </c>
      <c r="K197" s="3" t="e">
        <f t="shared" si="34"/>
        <v>#REF!</v>
      </c>
      <c r="L197" s="3" t="e">
        <f t="shared" si="35"/>
        <v>#REF!</v>
      </c>
    </row>
    <row r="198" spans="1:15" x14ac:dyDescent="0.25">
      <c r="B198" s="3" t="e">
        <f>Data!#REF!</f>
        <v>#REF!</v>
      </c>
      <c r="C198" s="3" t="e">
        <f>Data!#REF!/Data!#REF!</f>
        <v>#REF!</v>
      </c>
      <c r="D198" s="3"/>
      <c r="E198" s="3" t="e">
        <f>Data!#REF!/Data!#REF!</f>
        <v>#REF!</v>
      </c>
      <c r="F198" s="3"/>
      <c r="G198" s="3" t="e">
        <f t="shared" si="30"/>
        <v>#REF!</v>
      </c>
      <c r="H198" s="10" t="e">
        <f t="shared" si="31"/>
        <v>#REF!</v>
      </c>
      <c r="I198" s="3" t="e">
        <f t="shared" si="32"/>
        <v>#REF!</v>
      </c>
      <c r="J198" s="3" t="e">
        <f t="shared" si="33"/>
        <v>#REF!</v>
      </c>
      <c r="K198" s="3" t="e">
        <f t="shared" si="34"/>
        <v>#REF!</v>
      </c>
      <c r="L198" s="3" t="e">
        <f t="shared" si="35"/>
        <v>#REF!</v>
      </c>
    </row>
    <row r="199" spans="1:15" x14ac:dyDescent="0.25">
      <c r="A199" t="e">
        <f>Data!#REF!</f>
        <v>#REF!</v>
      </c>
      <c r="B199" s="3" t="e">
        <f>Data!#REF!</f>
        <v>#REF!</v>
      </c>
      <c r="C199" s="3" t="e">
        <f>Data!#REF!/Data!#REF!</f>
        <v>#REF!</v>
      </c>
      <c r="D199" s="3"/>
      <c r="E199" s="3" t="e">
        <f>Data!#REF!/Data!#REF!</f>
        <v>#REF!</v>
      </c>
      <c r="F199" s="3"/>
      <c r="G199" s="3" t="e">
        <f t="shared" si="30"/>
        <v>#REF!</v>
      </c>
      <c r="H199" s="10" t="e">
        <f t="shared" si="31"/>
        <v>#REF!</v>
      </c>
      <c r="I199" s="3" t="e">
        <f t="shared" si="32"/>
        <v>#REF!</v>
      </c>
      <c r="J199" s="3" t="e">
        <f t="shared" si="33"/>
        <v>#REF!</v>
      </c>
      <c r="K199" s="3" t="e">
        <f t="shared" si="34"/>
        <v>#REF!</v>
      </c>
      <c r="L199" s="3" t="e">
        <f t="shared" si="35"/>
        <v>#REF!</v>
      </c>
      <c r="M199" s="3" t="e">
        <f>AVERAGE(K199:K201)</f>
        <v>#REF!</v>
      </c>
      <c r="N199" s="3" t="e">
        <f>AVERAGE(L199:L201)</f>
        <v>#REF!</v>
      </c>
      <c r="O199" s="4" t="e">
        <f>Data!#REF!</f>
        <v>#REF!</v>
      </c>
    </row>
    <row r="200" spans="1:15" x14ac:dyDescent="0.25">
      <c r="B200" s="3" t="e">
        <f>Data!#REF!</f>
        <v>#REF!</v>
      </c>
      <c r="C200" s="3" t="e">
        <f>Data!#REF!/Data!#REF!</f>
        <v>#REF!</v>
      </c>
      <c r="D200" s="3"/>
      <c r="E200" s="3" t="e">
        <f>Data!#REF!/Data!#REF!</f>
        <v>#REF!</v>
      </c>
      <c r="F200" s="3"/>
      <c r="G200" s="3" t="e">
        <f t="shared" si="30"/>
        <v>#REF!</v>
      </c>
      <c r="H200" s="10" t="e">
        <f t="shared" si="31"/>
        <v>#REF!</v>
      </c>
      <c r="I200" s="3" t="e">
        <f t="shared" si="32"/>
        <v>#REF!</v>
      </c>
      <c r="J200" s="3" t="e">
        <f t="shared" si="33"/>
        <v>#REF!</v>
      </c>
      <c r="K200" s="3" t="e">
        <f t="shared" si="34"/>
        <v>#REF!</v>
      </c>
      <c r="L200" s="3" t="e">
        <f t="shared" si="35"/>
        <v>#REF!</v>
      </c>
    </row>
    <row r="201" spans="1:15" x14ac:dyDescent="0.25">
      <c r="B201" s="3" t="e">
        <f>Data!#REF!</f>
        <v>#REF!</v>
      </c>
      <c r="C201" s="3" t="e">
        <f>Data!#REF!/Data!#REF!</f>
        <v>#REF!</v>
      </c>
      <c r="D201" s="3"/>
      <c r="E201" s="3" t="e">
        <f>Data!#REF!/Data!#REF!</f>
        <v>#REF!</v>
      </c>
      <c r="F201" s="3"/>
      <c r="G201" s="3" t="e">
        <f t="shared" si="30"/>
        <v>#REF!</v>
      </c>
      <c r="H201" s="10" t="e">
        <f t="shared" si="31"/>
        <v>#REF!</v>
      </c>
      <c r="I201" s="3" t="e">
        <f t="shared" si="32"/>
        <v>#REF!</v>
      </c>
      <c r="J201" s="3" t="e">
        <f t="shared" si="33"/>
        <v>#REF!</v>
      </c>
      <c r="K201" s="3" t="e">
        <f t="shared" si="34"/>
        <v>#REF!</v>
      </c>
      <c r="L201" s="3" t="e">
        <f t="shared" si="35"/>
        <v>#REF!</v>
      </c>
    </row>
    <row r="202" spans="1:15" x14ac:dyDescent="0.25">
      <c r="A202" t="e">
        <f>Data!#REF!</f>
        <v>#REF!</v>
      </c>
      <c r="B202" s="3" t="e">
        <f>Data!#REF!</f>
        <v>#REF!</v>
      </c>
      <c r="C202" s="3" t="e">
        <f>Data!#REF!/Data!#REF!</f>
        <v>#REF!</v>
      </c>
      <c r="D202" s="3"/>
      <c r="E202" s="3" t="e">
        <f>Data!#REF!/Data!#REF!</f>
        <v>#REF!</v>
      </c>
      <c r="F202" s="3"/>
      <c r="G202" s="3" t="e">
        <f t="shared" si="30"/>
        <v>#REF!</v>
      </c>
      <c r="H202" s="10" t="e">
        <f t="shared" si="31"/>
        <v>#REF!</v>
      </c>
      <c r="I202" s="3" t="e">
        <f t="shared" si="32"/>
        <v>#REF!</v>
      </c>
      <c r="J202" s="3" t="e">
        <f t="shared" si="33"/>
        <v>#REF!</v>
      </c>
      <c r="K202" s="3" t="e">
        <f t="shared" si="34"/>
        <v>#REF!</v>
      </c>
      <c r="L202" s="3" t="e">
        <f t="shared" si="35"/>
        <v>#REF!</v>
      </c>
      <c r="M202" s="3" t="e">
        <f>AVERAGE(K202:K204)</f>
        <v>#REF!</v>
      </c>
      <c r="N202" s="3" t="e">
        <f>AVERAGE(L202:L204)</f>
        <v>#REF!</v>
      </c>
      <c r="O202" s="4" t="e">
        <f>Data!#REF!</f>
        <v>#REF!</v>
      </c>
    </row>
    <row r="203" spans="1:15" x14ac:dyDescent="0.25">
      <c r="B203" s="3" t="e">
        <f>Data!#REF!</f>
        <v>#REF!</v>
      </c>
      <c r="C203" s="3" t="e">
        <f>Data!#REF!/Data!#REF!</f>
        <v>#REF!</v>
      </c>
      <c r="D203" s="3"/>
      <c r="E203" s="3" t="e">
        <f>Data!#REF!/Data!#REF!</f>
        <v>#REF!</v>
      </c>
      <c r="F203" s="3"/>
      <c r="G203" s="3" t="e">
        <f t="shared" si="30"/>
        <v>#REF!</v>
      </c>
      <c r="H203" s="10" t="e">
        <f t="shared" si="31"/>
        <v>#REF!</v>
      </c>
      <c r="I203" s="3" t="e">
        <f t="shared" si="32"/>
        <v>#REF!</v>
      </c>
      <c r="J203" s="3" t="e">
        <f t="shared" si="33"/>
        <v>#REF!</v>
      </c>
      <c r="K203" s="3" t="e">
        <f t="shared" si="34"/>
        <v>#REF!</v>
      </c>
      <c r="L203" s="3" t="e">
        <f t="shared" si="35"/>
        <v>#REF!</v>
      </c>
    </row>
    <row r="204" spans="1:15" x14ac:dyDescent="0.25">
      <c r="B204" s="3" t="e">
        <f>Data!#REF!</f>
        <v>#REF!</v>
      </c>
      <c r="C204" s="3" t="e">
        <f>Data!#REF!/Data!#REF!</f>
        <v>#REF!</v>
      </c>
      <c r="D204" s="3"/>
      <c r="E204" s="3" t="e">
        <f>Data!#REF!/Data!#REF!</f>
        <v>#REF!</v>
      </c>
      <c r="F204" s="3"/>
      <c r="G204" s="3" t="e">
        <f t="shared" si="30"/>
        <v>#REF!</v>
      </c>
      <c r="H204" s="10" t="e">
        <f t="shared" si="31"/>
        <v>#REF!</v>
      </c>
      <c r="I204" s="3" t="e">
        <f t="shared" si="32"/>
        <v>#REF!</v>
      </c>
      <c r="J204" s="3" t="e">
        <f t="shared" si="33"/>
        <v>#REF!</v>
      </c>
      <c r="K204" s="3" t="e">
        <f t="shared" si="34"/>
        <v>#REF!</v>
      </c>
      <c r="L204" s="3" t="e">
        <f t="shared" si="35"/>
        <v>#REF!</v>
      </c>
    </row>
    <row r="205" spans="1:15" x14ac:dyDescent="0.25">
      <c r="A205" t="e">
        <f>Data!#REF!</f>
        <v>#REF!</v>
      </c>
      <c r="B205" s="3" t="e">
        <f>Data!#REF!</f>
        <v>#REF!</v>
      </c>
      <c r="C205" s="3" t="e">
        <f>Data!#REF!/Data!#REF!</f>
        <v>#REF!</v>
      </c>
      <c r="D205" s="3"/>
      <c r="E205" s="3" t="e">
        <f>Data!#REF!/Data!#REF!</f>
        <v>#REF!</v>
      </c>
      <c r="F205" s="3"/>
      <c r="G205" s="3" t="e">
        <f t="shared" si="30"/>
        <v>#REF!</v>
      </c>
      <c r="H205" s="10" t="e">
        <f t="shared" si="31"/>
        <v>#REF!</v>
      </c>
      <c r="I205" s="3" t="e">
        <f t="shared" si="32"/>
        <v>#REF!</v>
      </c>
      <c r="J205" s="3" t="e">
        <f t="shared" si="33"/>
        <v>#REF!</v>
      </c>
      <c r="K205" s="3" t="e">
        <f t="shared" si="34"/>
        <v>#REF!</v>
      </c>
      <c r="L205" s="3" t="e">
        <f t="shared" si="35"/>
        <v>#REF!</v>
      </c>
      <c r="M205" s="3" t="e">
        <f>AVERAGE(K205:K207)</f>
        <v>#REF!</v>
      </c>
      <c r="N205" s="3" t="e">
        <f>AVERAGE(L205:L207)</f>
        <v>#REF!</v>
      </c>
      <c r="O205" s="4" t="e">
        <f>Data!#REF!</f>
        <v>#REF!</v>
      </c>
    </row>
    <row r="206" spans="1:15" x14ac:dyDescent="0.25">
      <c r="B206" s="3" t="e">
        <f>Data!#REF!</f>
        <v>#REF!</v>
      </c>
      <c r="C206" s="3" t="e">
        <f>Data!#REF!/Data!#REF!</f>
        <v>#REF!</v>
      </c>
      <c r="D206" s="3"/>
      <c r="E206" s="3" t="e">
        <f>Data!#REF!/Data!#REF!</f>
        <v>#REF!</v>
      </c>
      <c r="F206" s="3"/>
      <c r="G206" s="3" t="e">
        <f t="shared" si="30"/>
        <v>#REF!</v>
      </c>
      <c r="H206" s="10" t="e">
        <f t="shared" si="31"/>
        <v>#REF!</v>
      </c>
      <c r="I206" s="3" t="e">
        <f t="shared" si="32"/>
        <v>#REF!</v>
      </c>
      <c r="J206" s="3" t="e">
        <f t="shared" si="33"/>
        <v>#REF!</v>
      </c>
      <c r="K206" s="3" t="e">
        <f t="shared" si="34"/>
        <v>#REF!</v>
      </c>
      <c r="L206" s="3" t="e">
        <f t="shared" si="35"/>
        <v>#REF!</v>
      </c>
    </row>
    <row r="207" spans="1:15" x14ac:dyDescent="0.25">
      <c r="B207" s="3" t="e">
        <f>Data!#REF!</f>
        <v>#REF!</v>
      </c>
      <c r="C207" s="3" t="e">
        <f>Data!#REF!/Data!#REF!</f>
        <v>#REF!</v>
      </c>
      <c r="D207" s="3"/>
      <c r="E207" s="3" t="e">
        <f>Data!#REF!/Data!#REF!</f>
        <v>#REF!</v>
      </c>
      <c r="F207" s="3"/>
      <c r="G207" s="3" t="e">
        <f t="shared" si="30"/>
        <v>#REF!</v>
      </c>
      <c r="H207" s="10" t="e">
        <f t="shared" si="31"/>
        <v>#REF!</v>
      </c>
      <c r="I207" s="3" t="e">
        <f t="shared" si="32"/>
        <v>#REF!</v>
      </c>
      <c r="J207" s="3" t="e">
        <f t="shared" si="33"/>
        <v>#REF!</v>
      </c>
      <c r="K207" s="3" t="e">
        <f t="shared" si="34"/>
        <v>#REF!</v>
      </c>
      <c r="L207" s="3" t="e">
        <f t="shared" si="35"/>
        <v>#REF!</v>
      </c>
    </row>
    <row r="208" spans="1:15" x14ac:dyDescent="0.25">
      <c r="A208" t="e">
        <f>Data!#REF!</f>
        <v>#REF!</v>
      </c>
      <c r="B208" s="3" t="e">
        <f>Data!#REF!</f>
        <v>#REF!</v>
      </c>
      <c r="C208" s="3" t="e">
        <f>Data!#REF!/Data!#REF!</f>
        <v>#REF!</v>
      </c>
      <c r="D208" s="3"/>
      <c r="E208" s="3" t="e">
        <f>Data!#REF!/Data!#REF!</f>
        <v>#REF!</v>
      </c>
      <c r="F208" s="3"/>
      <c r="G208" s="3" t="e">
        <f t="shared" si="30"/>
        <v>#REF!</v>
      </c>
      <c r="H208" s="10" t="e">
        <f t="shared" si="31"/>
        <v>#REF!</v>
      </c>
      <c r="I208" s="3" t="e">
        <f t="shared" si="32"/>
        <v>#REF!</v>
      </c>
      <c r="J208" s="3" t="e">
        <f t="shared" si="33"/>
        <v>#REF!</v>
      </c>
      <c r="K208" s="3" t="e">
        <f t="shared" si="34"/>
        <v>#REF!</v>
      </c>
      <c r="L208" s="3" t="e">
        <f t="shared" si="35"/>
        <v>#REF!</v>
      </c>
      <c r="M208" s="3" t="e">
        <f>AVERAGE(K208:K210)</f>
        <v>#REF!</v>
      </c>
      <c r="N208" s="3" t="e">
        <f>AVERAGE(L208:L210)</f>
        <v>#REF!</v>
      </c>
      <c r="O208" s="4" t="e">
        <f>Data!#REF!</f>
        <v>#REF!</v>
      </c>
    </row>
    <row r="209" spans="1:15" x14ac:dyDescent="0.25">
      <c r="B209" s="3" t="e">
        <f>Data!#REF!</f>
        <v>#REF!</v>
      </c>
      <c r="C209" s="3" t="e">
        <f>Data!#REF!/Data!#REF!</f>
        <v>#REF!</v>
      </c>
      <c r="D209" s="3"/>
      <c r="E209" s="3" t="e">
        <f>Data!#REF!/Data!#REF!</f>
        <v>#REF!</v>
      </c>
      <c r="F209" s="3"/>
      <c r="G209" s="3" t="e">
        <f t="shared" si="30"/>
        <v>#REF!</v>
      </c>
      <c r="H209" s="10" t="e">
        <f t="shared" si="31"/>
        <v>#REF!</v>
      </c>
      <c r="I209" s="3" t="e">
        <f t="shared" si="32"/>
        <v>#REF!</v>
      </c>
      <c r="J209" s="3" t="e">
        <f t="shared" si="33"/>
        <v>#REF!</v>
      </c>
      <c r="K209" s="3" t="e">
        <f t="shared" si="34"/>
        <v>#REF!</v>
      </c>
      <c r="L209" s="3" t="e">
        <f t="shared" si="35"/>
        <v>#REF!</v>
      </c>
    </row>
    <row r="210" spans="1:15" x14ac:dyDescent="0.25">
      <c r="B210" s="3" t="e">
        <f>Data!#REF!</f>
        <v>#REF!</v>
      </c>
      <c r="C210" s="3" t="e">
        <f>Data!#REF!/Data!#REF!</f>
        <v>#REF!</v>
      </c>
      <c r="D210" s="3"/>
      <c r="E210" s="3" t="e">
        <f>Data!#REF!/Data!#REF!</f>
        <v>#REF!</v>
      </c>
      <c r="F210" s="3"/>
      <c r="G210" s="3" t="e">
        <f t="shared" si="30"/>
        <v>#REF!</v>
      </c>
      <c r="H210" s="10" t="e">
        <f t="shared" si="31"/>
        <v>#REF!</v>
      </c>
      <c r="I210" s="3" t="e">
        <f t="shared" si="32"/>
        <v>#REF!</v>
      </c>
      <c r="J210" s="3" t="e">
        <f t="shared" si="33"/>
        <v>#REF!</v>
      </c>
      <c r="K210" s="3" t="e">
        <f t="shared" si="34"/>
        <v>#REF!</v>
      </c>
      <c r="L210" s="3" t="e">
        <f t="shared" si="35"/>
        <v>#REF!</v>
      </c>
    </row>
    <row r="211" spans="1:15" x14ac:dyDescent="0.25">
      <c r="A211" t="e">
        <f>Data!#REF!</f>
        <v>#REF!</v>
      </c>
      <c r="B211" s="3" t="e">
        <f>Data!#REF!</f>
        <v>#REF!</v>
      </c>
      <c r="C211" s="3" t="e">
        <f>Data!#REF!/Data!#REF!</f>
        <v>#REF!</v>
      </c>
      <c r="D211" s="3"/>
      <c r="E211" s="3" t="e">
        <f>Data!#REF!/Data!#REF!</f>
        <v>#REF!</v>
      </c>
      <c r="F211" s="3"/>
      <c r="G211" s="3" t="e">
        <f t="shared" si="30"/>
        <v>#REF!</v>
      </c>
      <c r="H211" s="10" t="e">
        <f t="shared" si="31"/>
        <v>#REF!</v>
      </c>
      <c r="I211" s="3" t="e">
        <f t="shared" si="32"/>
        <v>#REF!</v>
      </c>
      <c r="J211" s="3" t="e">
        <f t="shared" si="33"/>
        <v>#REF!</v>
      </c>
      <c r="K211" s="3" t="e">
        <f t="shared" si="34"/>
        <v>#REF!</v>
      </c>
      <c r="L211" s="3" t="e">
        <f t="shared" si="35"/>
        <v>#REF!</v>
      </c>
      <c r="M211" s="3" t="e">
        <f>AVERAGE(K211:K213)</f>
        <v>#REF!</v>
      </c>
      <c r="N211" s="3" t="e">
        <f>AVERAGE(L211:L213)</f>
        <v>#REF!</v>
      </c>
      <c r="O211" s="4" t="e">
        <f>Data!#REF!</f>
        <v>#REF!</v>
      </c>
    </row>
    <row r="212" spans="1:15" x14ac:dyDescent="0.25">
      <c r="B212" s="3" t="e">
        <f>Data!#REF!</f>
        <v>#REF!</v>
      </c>
      <c r="C212" s="3" t="e">
        <f>Data!#REF!/Data!#REF!</f>
        <v>#REF!</v>
      </c>
      <c r="D212" s="3"/>
      <c r="E212" s="3" t="e">
        <f>Data!#REF!/Data!#REF!</f>
        <v>#REF!</v>
      </c>
      <c r="F212" s="3"/>
      <c r="G212" s="3" t="e">
        <f t="shared" si="30"/>
        <v>#REF!</v>
      </c>
      <c r="H212" s="10" t="e">
        <f t="shared" si="31"/>
        <v>#REF!</v>
      </c>
      <c r="I212" s="3" t="e">
        <f t="shared" si="32"/>
        <v>#REF!</v>
      </c>
      <c r="J212" s="3" t="e">
        <f t="shared" si="33"/>
        <v>#REF!</v>
      </c>
      <c r="K212" s="3" t="e">
        <f t="shared" si="34"/>
        <v>#REF!</v>
      </c>
      <c r="L212" s="3" t="e">
        <f t="shared" si="35"/>
        <v>#REF!</v>
      </c>
    </row>
    <row r="213" spans="1:15" x14ac:dyDescent="0.25">
      <c r="B213" s="3" t="e">
        <f>Data!#REF!</f>
        <v>#REF!</v>
      </c>
      <c r="C213" s="3" t="e">
        <f>Data!#REF!/Data!#REF!</f>
        <v>#REF!</v>
      </c>
      <c r="D213" s="3"/>
      <c r="E213" s="3" t="e">
        <f>Data!#REF!/Data!#REF!</f>
        <v>#REF!</v>
      </c>
      <c r="F213" s="3"/>
      <c r="G213" s="3" t="e">
        <f t="shared" si="30"/>
        <v>#REF!</v>
      </c>
      <c r="H213" s="10" t="e">
        <f t="shared" si="31"/>
        <v>#REF!</v>
      </c>
      <c r="I213" s="3" t="e">
        <f t="shared" si="32"/>
        <v>#REF!</v>
      </c>
      <c r="J213" s="3" t="e">
        <f t="shared" si="33"/>
        <v>#REF!</v>
      </c>
      <c r="K213" s="3" t="e">
        <f t="shared" si="34"/>
        <v>#REF!</v>
      </c>
      <c r="L213" s="3" t="e">
        <f t="shared" si="35"/>
        <v>#REF!</v>
      </c>
    </row>
    <row r="214" spans="1:15" x14ac:dyDescent="0.25">
      <c r="A214" t="e">
        <f>Data!#REF!</f>
        <v>#REF!</v>
      </c>
      <c r="B214" s="3" t="e">
        <f>Data!#REF!</f>
        <v>#REF!</v>
      </c>
      <c r="C214" s="3" t="e">
        <f>Data!#REF!/Data!#REF!</f>
        <v>#REF!</v>
      </c>
      <c r="D214" s="3"/>
      <c r="E214" s="3" t="e">
        <f>Data!#REF!/Data!#REF!</f>
        <v>#REF!</v>
      </c>
      <c r="F214" s="3"/>
      <c r="G214" s="3" t="e">
        <f t="shared" si="30"/>
        <v>#REF!</v>
      </c>
      <c r="H214" s="10" t="e">
        <f t="shared" si="31"/>
        <v>#REF!</v>
      </c>
      <c r="I214" s="3" t="e">
        <f t="shared" si="32"/>
        <v>#REF!</v>
      </c>
      <c r="J214" s="3" t="e">
        <f t="shared" si="33"/>
        <v>#REF!</v>
      </c>
      <c r="K214" s="3" t="e">
        <f t="shared" si="34"/>
        <v>#REF!</v>
      </c>
      <c r="L214" s="3" t="e">
        <f t="shared" si="35"/>
        <v>#REF!</v>
      </c>
      <c r="M214" s="3" t="e">
        <f>AVERAGE(K214:K216)</f>
        <v>#REF!</v>
      </c>
      <c r="N214" s="3" t="e">
        <f>AVERAGE(L214:L216)</f>
        <v>#REF!</v>
      </c>
      <c r="O214" s="4" t="e">
        <f>Data!#REF!</f>
        <v>#REF!</v>
      </c>
    </row>
    <row r="215" spans="1:15" x14ac:dyDescent="0.25">
      <c r="B215" s="3" t="e">
        <f>Data!#REF!</f>
        <v>#REF!</v>
      </c>
      <c r="C215" s="3" t="e">
        <f>Data!#REF!/Data!#REF!</f>
        <v>#REF!</v>
      </c>
      <c r="D215" s="3"/>
      <c r="E215" s="3" t="e">
        <f>Data!#REF!/Data!#REF!</f>
        <v>#REF!</v>
      </c>
      <c r="F215" s="3"/>
      <c r="G215" s="3" t="e">
        <f t="shared" si="30"/>
        <v>#REF!</v>
      </c>
      <c r="H215" s="10" t="e">
        <f t="shared" si="31"/>
        <v>#REF!</v>
      </c>
      <c r="I215" s="3" t="e">
        <f t="shared" si="32"/>
        <v>#REF!</v>
      </c>
      <c r="J215" s="3" t="e">
        <f t="shared" si="33"/>
        <v>#REF!</v>
      </c>
      <c r="K215" s="3" t="e">
        <f t="shared" si="34"/>
        <v>#REF!</v>
      </c>
      <c r="L215" s="3" t="e">
        <f t="shared" si="35"/>
        <v>#REF!</v>
      </c>
    </row>
    <row r="216" spans="1:15" x14ac:dyDescent="0.25">
      <c r="B216" s="3" t="e">
        <f>Data!#REF!</f>
        <v>#REF!</v>
      </c>
      <c r="C216" s="3" t="e">
        <f>Data!#REF!/Data!#REF!</f>
        <v>#REF!</v>
      </c>
      <c r="D216" s="3"/>
      <c r="E216" s="3" t="e">
        <f>Data!#REF!/Data!#REF!</f>
        <v>#REF!</v>
      </c>
      <c r="F216" s="3"/>
      <c r="G216" s="3" t="e">
        <f t="shared" si="30"/>
        <v>#REF!</v>
      </c>
      <c r="H216" s="10" t="e">
        <f t="shared" si="31"/>
        <v>#REF!</v>
      </c>
      <c r="I216" s="3" t="e">
        <f t="shared" si="32"/>
        <v>#REF!</v>
      </c>
      <c r="J216" s="3" t="e">
        <f t="shared" si="33"/>
        <v>#REF!</v>
      </c>
      <c r="K216" s="3" t="e">
        <f t="shared" si="34"/>
        <v>#REF!</v>
      </c>
      <c r="L216" s="3" t="e">
        <f t="shared" si="35"/>
        <v>#REF!</v>
      </c>
    </row>
    <row r="217" spans="1:15" x14ac:dyDescent="0.25">
      <c r="A217" t="e">
        <f>Data!#REF!</f>
        <v>#REF!</v>
      </c>
      <c r="B217" s="3" t="e">
        <f>Data!#REF!</f>
        <v>#REF!</v>
      </c>
      <c r="C217" s="3" t="e">
        <f>Data!#REF!/Data!#REF!</f>
        <v>#REF!</v>
      </c>
      <c r="D217" s="3" t="e">
        <f>B$3/C217</f>
        <v>#REF!</v>
      </c>
      <c r="E217" s="3" t="e">
        <f>Data!#REF!/Data!#REF!</f>
        <v>#REF!</v>
      </c>
      <c r="F217" s="3" t="e">
        <f>C$3/E217</f>
        <v>#REF!</v>
      </c>
      <c r="G217" s="3" t="e">
        <f t="shared" si="30"/>
        <v>#REF!</v>
      </c>
      <c r="H217" s="10" t="e">
        <f t="shared" si="31"/>
        <v>#REF!</v>
      </c>
      <c r="I217" s="3" t="e">
        <f t="shared" si="32"/>
        <v>#REF!</v>
      </c>
      <c r="J217" s="3" t="e">
        <f t="shared" si="33"/>
        <v>#REF!</v>
      </c>
      <c r="K217" s="3" t="e">
        <f t="shared" si="34"/>
        <v>#REF!</v>
      </c>
      <c r="L217" s="3" t="e">
        <f t="shared" si="35"/>
        <v>#REF!</v>
      </c>
      <c r="M217" s="3"/>
      <c r="N217" s="3"/>
      <c r="O217" s="4" t="e">
        <f>Data!#REF!</f>
        <v>#REF!</v>
      </c>
    </row>
    <row r="218" spans="1:15" x14ac:dyDescent="0.25">
      <c r="B218" s="3" t="e">
        <f>Data!#REF!</f>
        <v>#REF!</v>
      </c>
      <c r="C218" s="3" t="e">
        <f>Data!#REF!/Data!#REF!</f>
        <v>#REF!</v>
      </c>
      <c r="D218" s="3" t="e">
        <f>B$3/C218</f>
        <v>#REF!</v>
      </c>
      <c r="E218" s="3" t="e">
        <f>Data!#REF!/Data!#REF!</f>
        <v>#REF!</v>
      </c>
      <c r="F218" s="3" t="e">
        <f>C$3/E218</f>
        <v>#REF!</v>
      </c>
      <c r="G218" s="3" t="e">
        <f t="shared" si="30"/>
        <v>#REF!</v>
      </c>
      <c r="H218" s="10" t="e">
        <f t="shared" si="31"/>
        <v>#REF!</v>
      </c>
      <c r="I218" s="3" t="e">
        <f t="shared" si="32"/>
        <v>#REF!</v>
      </c>
      <c r="J218" s="3" t="e">
        <f t="shared" si="33"/>
        <v>#REF!</v>
      </c>
      <c r="K218" s="3" t="e">
        <f t="shared" si="34"/>
        <v>#REF!</v>
      </c>
      <c r="L218" s="3" t="e">
        <f t="shared" si="35"/>
        <v>#REF!</v>
      </c>
    </row>
    <row r="219" spans="1:15" x14ac:dyDescent="0.25">
      <c r="B219" s="3" t="e">
        <f>Data!#REF!</f>
        <v>#REF!</v>
      </c>
      <c r="C219" s="3" t="e">
        <f>Data!#REF!/Data!#REF!</f>
        <v>#REF!</v>
      </c>
      <c r="D219" s="3" t="e">
        <f>B$3/C219</f>
        <v>#REF!</v>
      </c>
      <c r="E219" s="3" t="e">
        <f>Data!#REF!/Data!#REF!</f>
        <v>#REF!</v>
      </c>
      <c r="F219" s="3" t="e">
        <f>C$3/E219</f>
        <v>#REF!</v>
      </c>
      <c r="G219" s="3" t="e">
        <f t="shared" si="30"/>
        <v>#REF!</v>
      </c>
      <c r="H219" s="10" t="e">
        <f t="shared" si="31"/>
        <v>#REF!</v>
      </c>
      <c r="I219" s="3" t="e">
        <f t="shared" si="32"/>
        <v>#REF!</v>
      </c>
      <c r="J219" s="3" t="e">
        <f t="shared" si="33"/>
        <v>#REF!</v>
      </c>
      <c r="K219" s="3" t="e">
        <f t="shared" si="34"/>
        <v>#REF!</v>
      </c>
      <c r="L219" s="3" t="e">
        <f t="shared" si="35"/>
        <v>#REF!</v>
      </c>
    </row>
    <row r="220" spans="1:15" x14ac:dyDescent="0.25">
      <c r="A220" t="e">
        <f>Data!#REF!</f>
        <v>#REF!</v>
      </c>
      <c r="B220" s="3" t="e">
        <f>Data!#REF!</f>
        <v>#REF!</v>
      </c>
      <c r="C220" s="3" t="e">
        <f>Data!#REF!/Data!#REF!</f>
        <v>#REF!</v>
      </c>
      <c r="D220" s="3" t="e">
        <f>B$4/C220</f>
        <v>#REF!</v>
      </c>
      <c r="E220" s="3" t="e">
        <f>Data!#REF!/Data!#REF!</f>
        <v>#REF!</v>
      </c>
      <c r="F220" s="3" t="e">
        <f>C$4/E220</f>
        <v>#REF!</v>
      </c>
      <c r="G220" s="3" t="e">
        <f t="shared" si="30"/>
        <v>#REF!</v>
      </c>
      <c r="H220" s="10" t="e">
        <f t="shared" si="31"/>
        <v>#REF!</v>
      </c>
      <c r="I220" s="3" t="e">
        <f t="shared" si="32"/>
        <v>#REF!</v>
      </c>
      <c r="J220" s="3" t="e">
        <f t="shared" si="33"/>
        <v>#REF!</v>
      </c>
      <c r="K220" s="3" t="e">
        <f t="shared" si="34"/>
        <v>#REF!</v>
      </c>
      <c r="L220" s="3" t="e">
        <f t="shared" si="35"/>
        <v>#REF!</v>
      </c>
      <c r="M220" s="3"/>
      <c r="N220" s="3"/>
      <c r="O220" s="4" t="e">
        <f>Data!#REF!</f>
        <v>#REF!</v>
      </c>
    </row>
    <row r="221" spans="1:15" x14ac:dyDescent="0.25">
      <c r="B221" s="3" t="e">
        <f>Data!#REF!</f>
        <v>#REF!</v>
      </c>
      <c r="C221" s="3" t="e">
        <f>Data!#REF!/Data!#REF!</f>
        <v>#REF!</v>
      </c>
      <c r="D221" s="3" t="e">
        <f>B$4/C221</f>
        <v>#REF!</v>
      </c>
      <c r="E221" s="3" t="e">
        <f>Data!#REF!/Data!#REF!</f>
        <v>#REF!</v>
      </c>
      <c r="F221" s="3" t="e">
        <f>C$4/E221</f>
        <v>#REF!</v>
      </c>
      <c r="G221" s="3" t="e">
        <f t="shared" si="30"/>
        <v>#REF!</v>
      </c>
      <c r="H221" s="10" t="e">
        <f t="shared" si="31"/>
        <v>#REF!</v>
      </c>
      <c r="I221" s="3" t="e">
        <f t="shared" si="32"/>
        <v>#REF!</v>
      </c>
      <c r="J221" s="3" t="e">
        <f t="shared" si="33"/>
        <v>#REF!</v>
      </c>
      <c r="K221" s="3" t="e">
        <f t="shared" si="34"/>
        <v>#REF!</v>
      </c>
      <c r="L221" s="3" t="e">
        <f t="shared" si="35"/>
        <v>#REF!</v>
      </c>
    </row>
    <row r="222" spans="1:15" x14ac:dyDescent="0.25">
      <c r="B222" s="3" t="e">
        <f>Data!#REF!</f>
        <v>#REF!</v>
      </c>
      <c r="C222" s="3" t="e">
        <f>Data!#REF!/Data!#REF!</f>
        <v>#REF!</v>
      </c>
      <c r="D222" s="3" t="e">
        <f>B$4/C222</f>
        <v>#REF!</v>
      </c>
      <c r="E222" s="3" t="e">
        <f>Data!#REF!/Data!#REF!</f>
        <v>#REF!</v>
      </c>
      <c r="F222" s="3" t="e">
        <f>C$4/E222</f>
        <v>#REF!</v>
      </c>
      <c r="G222" s="3" t="e">
        <f t="shared" si="30"/>
        <v>#REF!</v>
      </c>
      <c r="H222" s="10" t="e">
        <f t="shared" si="31"/>
        <v>#REF!</v>
      </c>
      <c r="I222" s="3" t="e">
        <f t="shared" si="32"/>
        <v>#REF!</v>
      </c>
      <c r="J222" s="3" t="e">
        <f t="shared" si="33"/>
        <v>#REF!</v>
      </c>
      <c r="K222" s="3" t="e">
        <f t="shared" si="34"/>
        <v>#REF!</v>
      </c>
      <c r="L222" s="3" t="e">
        <f t="shared" si="35"/>
        <v>#REF!</v>
      </c>
    </row>
    <row r="223" spans="1:15" x14ac:dyDescent="0.25">
      <c r="A223" t="e">
        <f>Data!#REF!</f>
        <v>#REF!</v>
      </c>
      <c r="B223" s="3" t="e">
        <f>Data!#REF!</f>
        <v>#REF!</v>
      </c>
      <c r="C223" s="3" t="e">
        <f>Data!#REF!/Data!#REF!</f>
        <v>#REF!</v>
      </c>
      <c r="D223" s="3" t="e">
        <f>B$3/C223</f>
        <v>#REF!</v>
      </c>
      <c r="E223" s="3" t="e">
        <f>Data!#REF!/Data!#REF!</f>
        <v>#REF!</v>
      </c>
      <c r="F223" s="3" t="e">
        <f>C$3/E223</f>
        <v>#REF!</v>
      </c>
      <c r="G223" s="3" t="e">
        <f t="shared" si="30"/>
        <v>#REF!</v>
      </c>
      <c r="H223" s="10" t="e">
        <f t="shared" si="31"/>
        <v>#REF!</v>
      </c>
      <c r="I223" s="3" t="e">
        <f t="shared" si="32"/>
        <v>#REF!</v>
      </c>
      <c r="J223" s="3" t="e">
        <f t="shared" si="33"/>
        <v>#REF!</v>
      </c>
      <c r="K223" s="3" t="e">
        <f t="shared" si="34"/>
        <v>#REF!</v>
      </c>
      <c r="L223" s="3" t="e">
        <f t="shared" si="35"/>
        <v>#REF!</v>
      </c>
      <c r="M223" s="3"/>
      <c r="N223" s="3"/>
      <c r="O223" s="4" t="e">
        <f>Data!#REF!</f>
        <v>#REF!</v>
      </c>
    </row>
    <row r="224" spans="1:15" x14ac:dyDescent="0.25">
      <c r="B224" s="3" t="e">
        <f>Data!#REF!</f>
        <v>#REF!</v>
      </c>
      <c r="C224" s="3" t="e">
        <f>Data!#REF!/Data!#REF!</f>
        <v>#REF!</v>
      </c>
      <c r="D224" s="3" t="e">
        <f>B$3/C224</f>
        <v>#REF!</v>
      </c>
      <c r="E224" s="3" t="e">
        <f>Data!#REF!/Data!#REF!</f>
        <v>#REF!</v>
      </c>
      <c r="F224" s="3" t="e">
        <f>C$3/E224</f>
        <v>#REF!</v>
      </c>
      <c r="G224" s="3" t="e">
        <f t="shared" si="30"/>
        <v>#REF!</v>
      </c>
      <c r="H224" s="10" t="e">
        <f t="shared" si="31"/>
        <v>#REF!</v>
      </c>
      <c r="I224" s="3" t="e">
        <f t="shared" si="32"/>
        <v>#REF!</v>
      </c>
      <c r="J224" s="3" t="e">
        <f t="shared" si="33"/>
        <v>#REF!</v>
      </c>
      <c r="K224" s="3" t="e">
        <f t="shared" si="34"/>
        <v>#REF!</v>
      </c>
      <c r="L224" s="3" t="e">
        <f t="shared" si="35"/>
        <v>#REF!</v>
      </c>
    </row>
    <row r="225" spans="1:15" x14ac:dyDescent="0.25">
      <c r="B225" s="3" t="e">
        <f>Data!#REF!</f>
        <v>#REF!</v>
      </c>
      <c r="C225" s="3" t="e">
        <f>Data!#REF!/Data!#REF!</f>
        <v>#REF!</v>
      </c>
      <c r="D225" s="3" t="e">
        <f>B$3/C225</f>
        <v>#REF!</v>
      </c>
      <c r="E225" s="3" t="e">
        <f>Data!#REF!/Data!#REF!</f>
        <v>#REF!</v>
      </c>
      <c r="F225" s="3" t="e">
        <f>C$3/E225</f>
        <v>#REF!</v>
      </c>
      <c r="G225" s="3" t="e">
        <f t="shared" si="30"/>
        <v>#REF!</v>
      </c>
      <c r="H225" s="10" t="e">
        <f t="shared" si="31"/>
        <v>#REF!</v>
      </c>
      <c r="I225" s="3" t="e">
        <f t="shared" si="32"/>
        <v>#REF!</v>
      </c>
      <c r="J225" s="3" t="e">
        <f t="shared" si="33"/>
        <v>#REF!</v>
      </c>
      <c r="K225" s="3" t="e">
        <f t="shared" si="34"/>
        <v>#REF!</v>
      </c>
      <c r="L225" s="3" t="e">
        <f t="shared" si="35"/>
        <v>#REF!</v>
      </c>
    </row>
    <row r="226" spans="1:15" x14ac:dyDescent="0.25">
      <c r="A226" t="e">
        <f>Data!#REF!</f>
        <v>#REF!</v>
      </c>
      <c r="B226" s="3" t="e">
        <f>Data!#REF!</f>
        <v>#REF!</v>
      </c>
      <c r="C226" s="3" t="e">
        <f>Data!#REF!/Data!#REF!</f>
        <v>#REF!</v>
      </c>
      <c r="D226" s="3" t="e">
        <f>B$4/C226</f>
        <v>#REF!</v>
      </c>
      <c r="E226" s="3" t="e">
        <f>Data!#REF!/Data!#REF!</f>
        <v>#REF!</v>
      </c>
      <c r="F226" s="3" t="e">
        <f>C$4/E226</f>
        <v>#REF!</v>
      </c>
      <c r="G226" s="3" t="e">
        <f t="shared" si="30"/>
        <v>#REF!</v>
      </c>
      <c r="H226" s="10" t="e">
        <f t="shared" si="31"/>
        <v>#REF!</v>
      </c>
      <c r="I226" s="3" t="e">
        <f t="shared" si="32"/>
        <v>#REF!</v>
      </c>
      <c r="J226" s="3" t="e">
        <f t="shared" si="33"/>
        <v>#REF!</v>
      </c>
      <c r="K226" s="3" t="e">
        <f t="shared" si="34"/>
        <v>#REF!</v>
      </c>
      <c r="L226" s="3" t="e">
        <f t="shared" si="35"/>
        <v>#REF!</v>
      </c>
      <c r="M226" s="3"/>
      <c r="N226" s="3"/>
      <c r="O226" s="4" t="e">
        <f>Data!#REF!</f>
        <v>#REF!</v>
      </c>
    </row>
    <row r="227" spans="1:15" x14ac:dyDescent="0.25">
      <c r="B227" s="3" t="e">
        <f>Data!#REF!</f>
        <v>#REF!</v>
      </c>
      <c r="C227" s="3" t="e">
        <f>Data!#REF!/Data!#REF!</f>
        <v>#REF!</v>
      </c>
      <c r="D227" s="3" t="e">
        <f>B$4/C227</f>
        <v>#REF!</v>
      </c>
      <c r="E227" s="3" t="e">
        <f>Data!#REF!/Data!#REF!</f>
        <v>#REF!</v>
      </c>
      <c r="F227" s="3" t="e">
        <f>C$4/E227</f>
        <v>#REF!</v>
      </c>
      <c r="G227" s="3" t="e">
        <f t="shared" si="30"/>
        <v>#REF!</v>
      </c>
      <c r="H227" s="10" t="e">
        <f t="shared" si="31"/>
        <v>#REF!</v>
      </c>
      <c r="I227" s="3" t="e">
        <f t="shared" si="32"/>
        <v>#REF!</v>
      </c>
      <c r="J227" s="3" t="e">
        <f t="shared" si="33"/>
        <v>#REF!</v>
      </c>
      <c r="K227" s="3" t="e">
        <f t="shared" si="34"/>
        <v>#REF!</v>
      </c>
      <c r="L227" s="3" t="e">
        <f t="shared" si="35"/>
        <v>#REF!</v>
      </c>
    </row>
    <row r="228" spans="1:15" x14ac:dyDescent="0.25">
      <c r="B228" s="3" t="e">
        <f>Data!#REF!</f>
        <v>#REF!</v>
      </c>
      <c r="C228" s="3" t="e">
        <f>Data!#REF!/Data!#REF!</f>
        <v>#REF!</v>
      </c>
      <c r="D228" s="3" t="e">
        <f>B$4/C228</f>
        <v>#REF!</v>
      </c>
      <c r="E228" s="3" t="e">
        <f>Data!#REF!/Data!#REF!</f>
        <v>#REF!</v>
      </c>
      <c r="F228" s="3" t="e">
        <f>C$4/E228</f>
        <v>#REF!</v>
      </c>
      <c r="G228" s="3" t="e">
        <f t="shared" si="30"/>
        <v>#REF!</v>
      </c>
      <c r="H228" s="10" t="e">
        <f t="shared" si="31"/>
        <v>#REF!</v>
      </c>
      <c r="I228" s="3" t="e">
        <f t="shared" si="32"/>
        <v>#REF!</v>
      </c>
      <c r="J228" s="3" t="e">
        <f t="shared" si="33"/>
        <v>#REF!</v>
      </c>
      <c r="K228" s="3" t="e">
        <f t="shared" si="34"/>
        <v>#REF!</v>
      </c>
      <c r="L228" s="3" t="e">
        <f t="shared" si="35"/>
        <v>#REF!</v>
      </c>
    </row>
    <row r="229" spans="1:15" x14ac:dyDescent="0.2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1:15" x14ac:dyDescent="0.2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1:15" x14ac:dyDescent="0.2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1:15" x14ac:dyDescent="0.2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1:15" x14ac:dyDescent="0.2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1:15" x14ac:dyDescent="0.2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1:15" x14ac:dyDescent="0.2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1:15" x14ac:dyDescent="0.2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1:15" x14ac:dyDescent="0.2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1:15" x14ac:dyDescent="0.2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1:15" x14ac:dyDescent="0.2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1:15" x14ac:dyDescent="0.2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2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2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2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2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2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2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2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2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2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2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2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2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2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2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2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2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2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2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2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2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2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2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2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2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2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2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2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2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2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2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2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2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2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2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2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2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2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2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2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2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2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2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2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2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2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2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2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2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2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2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2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2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2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2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2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2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2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2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2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2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2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2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2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2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2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2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2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2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2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2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2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2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2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2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2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2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2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2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2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2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2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2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2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2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2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2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2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2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2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2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2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2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2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2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2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2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2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2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2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2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2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2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2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2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2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2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2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2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2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2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2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2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2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2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2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2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2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2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2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2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2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2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2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2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2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2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2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2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2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2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2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2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2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2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2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2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2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2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2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2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2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2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2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2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2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2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2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2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2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2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2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2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2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2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2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2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2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2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2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2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2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2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2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2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2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2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2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2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2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2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2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2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2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2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2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2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2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2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2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2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2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2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2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2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2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2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2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2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2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2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2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2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2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2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2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2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2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2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2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2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2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2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2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2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  <row r="445" spans="2:14" x14ac:dyDescent="0.25"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</row>
    <row r="446" spans="2:14" x14ac:dyDescent="0.25"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</row>
    <row r="447" spans="2:14" x14ac:dyDescent="0.25"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</row>
    <row r="448" spans="2:14" x14ac:dyDescent="0.25"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</row>
    <row r="449" spans="2:14" x14ac:dyDescent="0.25"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</row>
    <row r="450" spans="2:14" x14ac:dyDescent="0.25"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</row>
    <row r="451" spans="2:14" x14ac:dyDescent="0.25"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</row>
    <row r="452" spans="2:14" x14ac:dyDescent="0.25"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</row>
    <row r="453" spans="2:14" x14ac:dyDescent="0.25"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</row>
    <row r="454" spans="2:14" x14ac:dyDescent="0.25"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</row>
    <row r="455" spans="2:14" x14ac:dyDescent="0.25"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</row>
    <row r="456" spans="2:14" x14ac:dyDescent="0.25"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</row>
    <row r="457" spans="2:14" x14ac:dyDescent="0.25"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</row>
    <row r="458" spans="2:14" x14ac:dyDescent="0.25"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</row>
    <row r="459" spans="2:14" x14ac:dyDescent="0.25"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</row>
    <row r="460" spans="2:14" x14ac:dyDescent="0.25"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</row>
    <row r="461" spans="2:14" x14ac:dyDescent="0.25"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</row>
    <row r="462" spans="2:14" x14ac:dyDescent="0.25"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</row>
    <row r="463" spans="2:14" x14ac:dyDescent="0.25"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</row>
    <row r="464" spans="2:14" x14ac:dyDescent="0.25"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</row>
    <row r="465" spans="2:14" x14ac:dyDescent="0.25"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</row>
    <row r="466" spans="2:14" x14ac:dyDescent="0.25"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</row>
    <row r="467" spans="2:14" x14ac:dyDescent="0.25"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</row>
    <row r="468" spans="2:14" x14ac:dyDescent="0.25"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</row>
    <row r="469" spans="2:14" x14ac:dyDescent="0.25"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</row>
    <row r="470" spans="2:14" x14ac:dyDescent="0.25"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</row>
    <row r="471" spans="2:14" x14ac:dyDescent="0.25"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</row>
    <row r="472" spans="2:14" x14ac:dyDescent="0.25"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</row>
    <row r="473" spans="2:14" x14ac:dyDescent="0.25"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</row>
    <row r="474" spans="2:14" x14ac:dyDescent="0.25"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</row>
    <row r="475" spans="2:14" x14ac:dyDescent="0.25"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</row>
    <row r="476" spans="2:14" x14ac:dyDescent="0.25"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</row>
    <row r="477" spans="2:14" x14ac:dyDescent="0.25"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</row>
    <row r="478" spans="2:14" x14ac:dyDescent="0.25"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</row>
    <row r="479" spans="2:14" x14ac:dyDescent="0.25"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</row>
    <row r="480" spans="2:14" x14ac:dyDescent="0.25"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</row>
    <row r="481" spans="2:14" x14ac:dyDescent="0.25"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</row>
    <row r="482" spans="2:14" x14ac:dyDescent="0.25"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</row>
    <row r="483" spans="2:14" x14ac:dyDescent="0.25"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</row>
    <row r="484" spans="2:14" x14ac:dyDescent="0.25"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</row>
    <row r="485" spans="2:14" x14ac:dyDescent="0.25"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</row>
    <row r="486" spans="2:14" x14ac:dyDescent="0.25"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</row>
    <row r="487" spans="2:14" x14ac:dyDescent="0.25"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</row>
    <row r="488" spans="2:14" x14ac:dyDescent="0.25"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</row>
    <row r="489" spans="2:14" x14ac:dyDescent="0.25"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</row>
    <row r="490" spans="2:14" x14ac:dyDescent="0.25"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</row>
    <row r="491" spans="2:14" x14ac:dyDescent="0.25"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</row>
    <row r="492" spans="2:14" x14ac:dyDescent="0.25"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</row>
    <row r="493" spans="2:14" x14ac:dyDescent="0.25"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</row>
    <row r="494" spans="2:14" x14ac:dyDescent="0.25"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</row>
    <row r="495" spans="2:14" x14ac:dyDescent="0.25"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</row>
    <row r="496" spans="2:14" x14ac:dyDescent="0.25"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</row>
    <row r="497" spans="2:14" x14ac:dyDescent="0.25"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</row>
    <row r="498" spans="2:14" x14ac:dyDescent="0.25"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</row>
    <row r="499" spans="2:14" x14ac:dyDescent="0.25"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</row>
    <row r="500" spans="2:14" x14ac:dyDescent="0.25"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</row>
    <row r="501" spans="2:14" x14ac:dyDescent="0.25"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</row>
    <row r="502" spans="2:14" x14ac:dyDescent="0.25"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</row>
    <row r="503" spans="2:14" x14ac:dyDescent="0.25"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</row>
    <row r="504" spans="2:14" x14ac:dyDescent="0.25"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</row>
    <row r="505" spans="2:14" x14ac:dyDescent="0.25"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</row>
    <row r="506" spans="2:14" x14ac:dyDescent="0.25"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</row>
    <row r="507" spans="2:14" x14ac:dyDescent="0.25"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</row>
    <row r="508" spans="2:14" x14ac:dyDescent="0.25"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</row>
    <row r="509" spans="2:14" x14ac:dyDescent="0.25"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</row>
    <row r="510" spans="2:14" x14ac:dyDescent="0.25"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</row>
    <row r="511" spans="2:14" x14ac:dyDescent="0.25"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</row>
    <row r="512" spans="2:14" x14ac:dyDescent="0.25"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</row>
    <row r="513" spans="2:14" x14ac:dyDescent="0.25"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</row>
    <row r="514" spans="2:14" x14ac:dyDescent="0.25"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</row>
    <row r="515" spans="2:14" x14ac:dyDescent="0.25"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</row>
    <row r="516" spans="2:14" x14ac:dyDescent="0.25"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</row>
    <row r="517" spans="2:14" x14ac:dyDescent="0.25"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</row>
    <row r="518" spans="2:14" x14ac:dyDescent="0.25"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</row>
    <row r="519" spans="2:14" x14ac:dyDescent="0.25"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</row>
    <row r="520" spans="2:14" x14ac:dyDescent="0.25"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</row>
    <row r="521" spans="2:14" x14ac:dyDescent="0.25"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</row>
    <row r="522" spans="2:14" x14ac:dyDescent="0.25"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</row>
    <row r="523" spans="2:14" x14ac:dyDescent="0.25"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</row>
    <row r="524" spans="2:14" x14ac:dyDescent="0.25"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</row>
    <row r="525" spans="2:14" x14ac:dyDescent="0.25"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</row>
    <row r="526" spans="2:14" x14ac:dyDescent="0.25"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</row>
    <row r="527" spans="2:14" x14ac:dyDescent="0.25"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</row>
    <row r="528" spans="2:14" x14ac:dyDescent="0.25"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</row>
    <row r="529" spans="2:14" x14ac:dyDescent="0.25"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</row>
    <row r="530" spans="2:14" x14ac:dyDescent="0.25"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</row>
    <row r="531" spans="2:14" x14ac:dyDescent="0.25"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</row>
    <row r="532" spans="2:14" x14ac:dyDescent="0.25"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</row>
    <row r="533" spans="2:14" x14ac:dyDescent="0.25"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</row>
    <row r="534" spans="2:14" x14ac:dyDescent="0.25"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</row>
    <row r="535" spans="2:14" x14ac:dyDescent="0.25"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</row>
    <row r="536" spans="2:14" x14ac:dyDescent="0.25"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</row>
    <row r="537" spans="2:14" x14ac:dyDescent="0.25"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</row>
    <row r="538" spans="2:14" x14ac:dyDescent="0.25"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</row>
    <row r="539" spans="2:14" x14ac:dyDescent="0.25"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</row>
    <row r="540" spans="2:14" x14ac:dyDescent="0.25"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</row>
    <row r="541" spans="2:14" x14ac:dyDescent="0.25"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</row>
    <row r="542" spans="2:14" x14ac:dyDescent="0.25"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</row>
    <row r="543" spans="2:14" x14ac:dyDescent="0.25"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</row>
    <row r="544" spans="2:14" x14ac:dyDescent="0.25"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</row>
    <row r="545" spans="2:14" x14ac:dyDescent="0.25"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</row>
    <row r="546" spans="2:14" x14ac:dyDescent="0.25"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</row>
    <row r="547" spans="2:14" x14ac:dyDescent="0.25"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</row>
    <row r="548" spans="2:14" x14ac:dyDescent="0.25"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</row>
    <row r="549" spans="2:14" x14ac:dyDescent="0.25"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</row>
    <row r="550" spans="2:14" x14ac:dyDescent="0.25"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</row>
    <row r="551" spans="2:14" x14ac:dyDescent="0.25"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</row>
    <row r="552" spans="2:14" x14ac:dyDescent="0.25"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</row>
    <row r="553" spans="2:14" x14ac:dyDescent="0.25"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</row>
    <row r="554" spans="2:14" x14ac:dyDescent="0.25"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</row>
    <row r="555" spans="2:14" x14ac:dyDescent="0.25"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</row>
    <row r="556" spans="2:14" x14ac:dyDescent="0.25"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</row>
    <row r="557" spans="2:14" x14ac:dyDescent="0.25"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</row>
    <row r="558" spans="2:14" x14ac:dyDescent="0.25"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</row>
    <row r="559" spans="2:14" x14ac:dyDescent="0.25"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</row>
    <row r="560" spans="2:14" x14ac:dyDescent="0.25"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</row>
    <row r="561" spans="2:14" x14ac:dyDescent="0.25"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</row>
    <row r="562" spans="2:14" x14ac:dyDescent="0.25"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</row>
    <row r="563" spans="2:14" x14ac:dyDescent="0.25"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</row>
    <row r="564" spans="2:14" x14ac:dyDescent="0.25"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</row>
    <row r="565" spans="2:14" x14ac:dyDescent="0.25"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</row>
    <row r="566" spans="2:14" x14ac:dyDescent="0.25"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</row>
    <row r="567" spans="2:14" x14ac:dyDescent="0.25"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</row>
    <row r="568" spans="2:14" x14ac:dyDescent="0.25"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</row>
    <row r="569" spans="2:14" x14ac:dyDescent="0.25"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</row>
    <row r="570" spans="2:14" x14ac:dyDescent="0.25"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</row>
    <row r="571" spans="2:14" x14ac:dyDescent="0.25"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</row>
    <row r="572" spans="2:14" x14ac:dyDescent="0.25"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</row>
    <row r="573" spans="2:14" x14ac:dyDescent="0.25"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</row>
    <row r="574" spans="2:14" x14ac:dyDescent="0.25"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</row>
    <row r="575" spans="2:14" x14ac:dyDescent="0.25"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</row>
    <row r="576" spans="2:14" x14ac:dyDescent="0.25"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</row>
    <row r="577" spans="2:14" x14ac:dyDescent="0.25"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</row>
    <row r="578" spans="2:14" x14ac:dyDescent="0.25"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</row>
    <row r="579" spans="2:14" x14ac:dyDescent="0.25"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</row>
    <row r="580" spans="2:14" x14ac:dyDescent="0.25"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</row>
    <row r="581" spans="2:14" x14ac:dyDescent="0.25"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</row>
    <row r="582" spans="2:14" x14ac:dyDescent="0.25"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</row>
    <row r="583" spans="2:14" x14ac:dyDescent="0.25"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</row>
    <row r="584" spans="2:14" x14ac:dyDescent="0.25"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</row>
    <row r="585" spans="2:14" x14ac:dyDescent="0.25"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</row>
    <row r="586" spans="2:14" x14ac:dyDescent="0.25"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</row>
    <row r="587" spans="2:14" x14ac:dyDescent="0.25"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</row>
    <row r="588" spans="2:14" x14ac:dyDescent="0.25"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</row>
    <row r="589" spans="2:14" x14ac:dyDescent="0.25"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</row>
    <row r="590" spans="2:14" x14ac:dyDescent="0.25"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</row>
    <row r="591" spans="2:14" x14ac:dyDescent="0.25"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</row>
    <row r="592" spans="2:14" x14ac:dyDescent="0.25"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</row>
    <row r="593" spans="2:14" x14ac:dyDescent="0.25"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</row>
    <row r="594" spans="2:14" x14ac:dyDescent="0.25"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</row>
    <row r="595" spans="2:14" x14ac:dyDescent="0.25"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</row>
    <row r="596" spans="2:14" x14ac:dyDescent="0.25"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</row>
    <row r="597" spans="2:14" x14ac:dyDescent="0.25"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</row>
    <row r="598" spans="2:14" x14ac:dyDescent="0.25"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</row>
    <row r="599" spans="2:14" x14ac:dyDescent="0.25"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</row>
    <row r="600" spans="2:14" x14ac:dyDescent="0.25"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</row>
    <row r="601" spans="2:14" x14ac:dyDescent="0.25"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</row>
    <row r="602" spans="2:14" x14ac:dyDescent="0.25"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</row>
    <row r="603" spans="2:14" x14ac:dyDescent="0.25"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</row>
    <row r="604" spans="2:14" x14ac:dyDescent="0.25"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</row>
    <row r="605" spans="2:14" x14ac:dyDescent="0.25"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</row>
    <row r="606" spans="2:14" x14ac:dyDescent="0.25"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</row>
    <row r="607" spans="2:14" x14ac:dyDescent="0.25"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</row>
    <row r="608" spans="2:14" x14ac:dyDescent="0.25"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</row>
    <row r="609" spans="2:14" x14ac:dyDescent="0.25"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</row>
    <row r="610" spans="2:14" x14ac:dyDescent="0.25"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</row>
    <row r="611" spans="2:14" x14ac:dyDescent="0.25"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</row>
    <row r="612" spans="2:14" x14ac:dyDescent="0.25"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</row>
    <row r="613" spans="2:14" x14ac:dyDescent="0.25"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</row>
    <row r="614" spans="2:14" x14ac:dyDescent="0.25"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</row>
    <row r="615" spans="2:14" x14ac:dyDescent="0.25"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</row>
    <row r="616" spans="2:14" x14ac:dyDescent="0.25"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</row>
    <row r="617" spans="2:14" x14ac:dyDescent="0.25"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</row>
    <row r="618" spans="2:14" x14ac:dyDescent="0.25"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</row>
    <row r="619" spans="2:14" x14ac:dyDescent="0.25"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</row>
    <row r="620" spans="2:14" x14ac:dyDescent="0.25"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</row>
    <row r="621" spans="2:14" x14ac:dyDescent="0.25"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</row>
    <row r="622" spans="2:14" x14ac:dyDescent="0.25"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</row>
    <row r="623" spans="2:14" x14ac:dyDescent="0.25"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</row>
    <row r="624" spans="2:14" x14ac:dyDescent="0.25"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defaultColWidth="8.77734375" defaultRowHeight="13.2" x14ac:dyDescent="0.25"/>
  <cols>
    <col min="1" max="1" width="25.44140625" customWidth="1"/>
    <col min="3" max="3" width="12.109375" customWidth="1"/>
    <col min="5" max="5" width="12.6640625" customWidth="1"/>
    <col min="6" max="6" width="9.33203125" customWidth="1"/>
    <col min="9" max="9" width="12.44140625" bestFit="1" customWidth="1"/>
  </cols>
  <sheetData>
    <row r="1" spans="1:13" x14ac:dyDescent="0.25">
      <c r="A1">
        <v>531.20000000000005</v>
      </c>
      <c r="B1" s="16" t="s">
        <v>72</v>
      </c>
    </row>
    <row r="2" spans="1:13" x14ac:dyDescent="0.25">
      <c r="A2" s="2" t="e">
        <f>AVERAGE(Data!#REF!,Data!#REF!,Data!#REF!,Data!C11:C13,Data!C17:C19,Data!#REF!,Data!#REF!,Data!#REF!)</f>
        <v>#REF!</v>
      </c>
      <c r="B2" s="16" t="s">
        <v>73</v>
      </c>
    </row>
    <row r="4" spans="1:13" x14ac:dyDescent="0.25">
      <c r="C4" s="4" t="s">
        <v>54</v>
      </c>
      <c r="D4" s="4" t="s">
        <v>55</v>
      </c>
      <c r="F4" t="s">
        <v>56</v>
      </c>
    </row>
    <row r="5" spans="1:13" x14ac:dyDescent="0.2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3.8" thickBot="1" x14ac:dyDescent="0.3"/>
    <row r="7" spans="1:13" x14ac:dyDescent="0.25">
      <c r="A7" t="e">
        <f>Data!#REF!</f>
        <v>#REF!</v>
      </c>
      <c r="B7" s="2" t="e">
        <f>Data!#REF!*Data!#REF!</f>
        <v>#REF!</v>
      </c>
      <c r="C7" s="11" t="e">
        <f>SQRT(B7)</f>
        <v>#REF!</v>
      </c>
      <c r="D7" s="2" t="e">
        <f>Data!#REF!</f>
        <v>#REF!</v>
      </c>
      <c r="E7" s="11" t="e">
        <f>D7-(C7*I$22+I$21)</f>
        <v>#REF!</v>
      </c>
      <c r="F7" s="3" t="e">
        <f>A$1*E7/A$2</f>
        <v>#REF!</v>
      </c>
      <c r="H7" s="14" t="s">
        <v>10</v>
      </c>
      <c r="I7" s="14"/>
    </row>
    <row r="8" spans="1:13" x14ac:dyDescent="0.25">
      <c r="B8" s="2" t="e">
        <f>Data!#REF!*Data!#REF!</f>
        <v>#REF!</v>
      </c>
      <c r="C8" s="11" t="e">
        <f t="shared" ref="C8:C30" si="0">SQRT(B8)</f>
        <v>#REF!</v>
      </c>
      <c r="D8" s="2" t="e">
        <f>Data!#REF!</f>
        <v>#REF!</v>
      </c>
      <c r="E8" s="11" t="e">
        <f t="shared" ref="E8:E30" si="1">D8-(C8*I$22+I$21)</f>
        <v>#REF!</v>
      </c>
      <c r="F8" s="3" t="e">
        <f t="shared" ref="F8:F30" si="2">A$1*E8/A$2</f>
        <v>#REF!</v>
      </c>
      <c r="H8" t="s">
        <v>11</v>
      </c>
      <c r="I8">
        <v>0.92521334467124927</v>
      </c>
    </row>
    <row r="9" spans="1:13" x14ac:dyDescent="0.25">
      <c r="B9" s="2" t="e">
        <f>Data!#REF!*Data!#REF!</f>
        <v>#REF!</v>
      </c>
      <c r="C9" s="11" t="e">
        <f t="shared" si="0"/>
        <v>#REF!</v>
      </c>
      <c r="D9" s="2" t="e">
        <f>Data!#REF!</f>
        <v>#REF!</v>
      </c>
      <c r="E9" s="11" t="e">
        <f t="shared" si="1"/>
        <v>#REF!</v>
      </c>
      <c r="F9" s="3" t="e">
        <f t="shared" si="2"/>
        <v>#REF!</v>
      </c>
      <c r="H9" t="s">
        <v>12</v>
      </c>
      <c r="I9">
        <v>0.85601973315775981</v>
      </c>
    </row>
    <row r="10" spans="1:13" x14ac:dyDescent="0.25">
      <c r="A10" t="e">
        <f>Data!#REF!</f>
        <v>#REF!</v>
      </c>
      <c r="B10" s="2" t="e">
        <f>Data!#REF!*Data!#REF!</f>
        <v>#REF!</v>
      </c>
      <c r="C10" s="11" t="e">
        <f t="shared" si="0"/>
        <v>#REF!</v>
      </c>
      <c r="D10" s="2" t="e">
        <f>Data!#REF!</f>
        <v>#REF!</v>
      </c>
      <c r="E10" s="11" t="e">
        <f t="shared" si="1"/>
        <v>#REF!</v>
      </c>
      <c r="F10" s="3" t="e">
        <f t="shared" si="2"/>
        <v>#REF!</v>
      </c>
      <c r="H10" t="s">
        <v>13</v>
      </c>
      <c r="I10">
        <v>0.85288972735684165</v>
      </c>
    </row>
    <row r="11" spans="1:13" x14ac:dyDescent="0.25">
      <c r="B11" s="2" t="e">
        <f>Data!#REF!*Data!#REF!</f>
        <v>#REF!</v>
      </c>
      <c r="C11" s="11" t="e">
        <f t="shared" si="0"/>
        <v>#REF!</v>
      </c>
      <c r="D11" s="2" t="e">
        <f>Data!#REF!</f>
        <v>#REF!</v>
      </c>
      <c r="E11" s="11" t="e">
        <f t="shared" si="1"/>
        <v>#REF!</v>
      </c>
      <c r="F11" s="3" t="e">
        <f t="shared" si="2"/>
        <v>#REF!</v>
      </c>
      <c r="H11" t="s">
        <v>14</v>
      </c>
      <c r="I11">
        <v>2.4535243676254516E-13</v>
      </c>
    </row>
    <row r="12" spans="1:13" ht="13.8" thickBot="1" x14ac:dyDescent="0.3">
      <c r="B12" s="2" t="e">
        <f>Data!#REF!*Data!#REF!</f>
        <v>#REF!</v>
      </c>
      <c r="C12" s="11" t="e">
        <f t="shared" si="0"/>
        <v>#REF!</v>
      </c>
      <c r="D12" s="2" t="e">
        <f>Data!#REF!</f>
        <v>#REF!</v>
      </c>
      <c r="E12" s="11" t="e">
        <f t="shared" si="1"/>
        <v>#REF!</v>
      </c>
      <c r="F12" s="3" t="e">
        <f t="shared" si="2"/>
        <v>#REF!</v>
      </c>
      <c r="H12" s="5" t="s">
        <v>15</v>
      </c>
      <c r="I12" s="5">
        <v>48</v>
      </c>
    </row>
    <row r="13" spans="1:13" x14ac:dyDescent="0.25">
      <c r="A13" t="e">
        <f>Data!#REF!</f>
        <v>#REF!</v>
      </c>
      <c r="B13" s="2" t="e">
        <f>Data!#REF!*Data!#REF!</f>
        <v>#REF!</v>
      </c>
      <c r="C13" s="11" t="e">
        <f t="shared" si="0"/>
        <v>#REF!</v>
      </c>
      <c r="D13" s="2" t="e">
        <f>Data!#REF!</f>
        <v>#REF!</v>
      </c>
      <c r="E13" s="11" t="e">
        <f t="shared" si="1"/>
        <v>#REF!</v>
      </c>
      <c r="F13" s="3" t="e">
        <f t="shared" si="2"/>
        <v>#REF!</v>
      </c>
    </row>
    <row r="14" spans="1:13" ht="13.8" thickBot="1" x14ac:dyDescent="0.3">
      <c r="B14" s="2" t="e">
        <f>Data!#REF!*Data!#REF!</f>
        <v>#REF!</v>
      </c>
      <c r="C14" s="11" t="e">
        <f t="shared" si="0"/>
        <v>#REF!</v>
      </c>
      <c r="D14" s="2" t="e">
        <f>Data!#REF!</f>
        <v>#REF!</v>
      </c>
      <c r="E14" s="11" t="e">
        <f t="shared" si="1"/>
        <v>#REF!</v>
      </c>
      <c r="F14" s="3" t="e">
        <f t="shared" si="2"/>
        <v>#REF!</v>
      </c>
      <c r="H14" t="s">
        <v>16</v>
      </c>
    </row>
    <row r="15" spans="1:13" x14ac:dyDescent="0.25">
      <c r="B15" s="2" t="e">
        <f>Data!#REF!*Data!#REF!</f>
        <v>#REF!</v>
      </c>
      <c r="C15" s="11" t="e">
        <f t="shared" si="0"/>
        <v>#REF!</v>
      </c>
      <c r="D15" s="2" t="e">
        <f>Data!#REF!</f>
        <v>#REF!</v>
      </c>
      <c r="E15" s="11" t="e">
        <f t="shared" si="1"/>
        <v>#REF!</v>
      </c>
      <c r="F15" s="3" t="e">
        <f t="shared" si="2"/>
        <v>#REF!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25">
      <c r="A16" t="e">
        <f>Data!#REF!</f>
        <v>#REF!</v>
      </c>
      <c r="B16" s="2" t="e">
        <f>Data!#REF!*Data!#REF!</f>
        <v>#REF!</v>
      </c>
      <c r="C16" s="11" t="e">
        <f t="shared" si="0"/>
        <v>#REF!</v>
      </c>
      <c r="D16" s="2" t="e">
        <f>Data!#REF!</f>
        <v>#REF!</v>
      </c>
      <c r="E16" s="11" t="e">
        <f t="shared" si="1"/>
        <v>#REF!</v>
      </c>
      <c r="F16" s="3" t="e">
        <f t="shared" si="2"/>
        <v>#REF!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25">
      <c r="B17" s="2" t="e">
        <f>Data!#REF!*Data!#REF!</f>
        <v>#REF!</v>
      </c>
      <c r="C17" s="11" t="e">
        <f t="shared" si="0"/>
        <v>#REF!</v>
      </c>
      <c r="D17" s="2" t="e">
        <f>Data!#REF!</f>
        <v>#REF!</v>
      </c>
      <c r="E17" s="11" t="e">
        <f t="shared" si="1"/>
        <v>#REF!</v>
      </c>
      <c r="F17" s="3" t="e">
        <f t="shared" si="2"/>
        <v>#REF!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3.8" thickBot="1" x14ac:dyDescent="0.3">
      <c r="B18" s="2" t="e">
        <f>Data!#REF!*Data!#REF!</f>
        <v>#REF!</v>
      </c>
      <c r="C18" s="11" t="e">
        <f t="shared" si="0"/>
        <v>#REF!</v>
      </c>
      <c r="D18" s="2" t="e">
        <f>Data!#REF!</f>
        <v>#REF!</v>
      </c>
      <c r="E18" s="11" t="e">
        <f t="shared" si="1"/>
        <v>#REF!</v>
      </c>
      <c r="F18" s="3" t="e">
        <f t="shared" si="2"/>
        <v>#REF!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3.8" thickBot="1" x14ac:dyDescent="0.3">
      <c r="A19" t="e">
        <f>Data!#REF!</f>
        <v>#REF!</v>
      </c>
      <c r="B19" s="2" t="e">
        <f>Data!#REF!*Data!#REF!</f>
        <v>#REF!</v>
      </c>
      <c r="C19" s="11" t="e">
        <f t="shared" si="0"/>
        <v>#REF!</v>
      </c>
      <c r="D19" s="2" t="e">
        <f>Data!#REF!</f>
        <v>#REF!</v>
      </c>
      <c r="E19" s="11" t="e">
        <f t="shared" si="1"/>
        <v>#REF!</v>
      </c>
      <c r="F19" s="3" t="e">
        <f t="shared" si="2"/>
        <v>#REF!</v>
      </c>
    </row>
    <row r="20" spans="1:16" x14ac:dyDescent="0.25">
      <c r="B20" s="2" t="e">
        <f>Data!#REF!*Data!#REF!</f>
        <v>#REF!</v>
      </c>
      <c r="C20" s="11" t="e">
        <f t="shared" si="0"/>
        <v>#REF!</v>
      </c>
      <c r="D20" s="2" t="e">
        <f>Data!#REF!</f>
        <v>#REF!</v>
      </c>
      <c r="E20" s="11" t="e">
        <f t="shared" si="1"/>
        <v>#REF!</v>
      </c>
      <c r="F20" s="3" t="e">
        <f t="shared" si="2"/>
        <v>#REF!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25">
      <c r="B21" s="2" t="e">
        <f>Data!#REF!*Data!#REF!</f>
        <v>#REF!</v>
      </c>
      <c r="C21" s="11" t="e">
        <f t="shared" si="0"/>
        <v>#REF!</v>
      </c>
      <c r="D21" s="2" t="e">
        <f>Data!#REF!</f>
        <v>#REF!</v>
      </c>
      <c r="E21" s="11" t="e">
        <f t="shared" si="1"/>
        <v>#REF!</v>
      </c>
      <c r="F21" s="3" t="e">
        <f t="shared" si="2"/>
        <v>#REF!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3.8" thickBot="1" x14ac:dyDescent="0.3">
      <c r="A22" t="e">
        <f>Data!#REF!</f>
        <v>#REF!</v>
      </c>
      <c r="B22" s="2" t="e">
        <f>Data!#REF!*Data!#REF!</f>
        <v>#REF!</v>
      </c>
      <c r="C22" s="11" t="e">
        <f t="shared" si="0"/>
        <v>#REF!</v>
      </c>
      <c r="D22" s="2" t="e">
        <f>Data!#REF!</f>
        <v>#REF!</v>
      </c>
      <c r="E22" s="11" t="e">
        <f t="shared" si="1"/>
        <v>#REF!</v>
      </c>
      <c r="F22" s="3" t="e">
        <f t="shared" si="2"/>
        <v>#REF!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25">
      <c r="B23" s="2" t="e">
        <f>Data!#REF!*Data!#REF!</f>
        <v>#REF!</v>
      </c>
      <c r="C23" s="11" t="e">
        <f t="shared" si="0"/>
        <v>#REF!</v>
      </c>
      <c r="D23" s="2" t="e">
        <f>Data!#REF!</f>
        <v>#REF!</v>
      </c>
      <c r="E23" s="11" t="e">
        <f t="shared" si="1"/>
        <v>#REF!</v>
      </c>
      <c r="F23" s="3" t="e">
        <f t="shared" si="2"/>
        <v>#REF!</v>
      </c>
    </row>
    <row r="24" spans="1:16" x14ac:dyDescent="0.25">
      <c r="B24" s="2" t="e">
        <f>Data!#REF!*Data!#REF!</f>
        <v>#REF!</v>
      </c>
      <c r="C24" s="11" t="e">
        <f t="shared" si="0"/>
        <v>#REF!</v>
      </c>
      <c r="D24" s="2" t="e">
        <f>Data!#REF!</f>
        <v>#REF!</v>
      </c>
      <c r="E24" s="11" t="e">
        <f t="shared" si="1"/>
        <v>#REF!</v>
      </c>
      <c r="F24" s="3" t="e">
        <f t="shared" si="2"/>
        <v>#REF!</v>
      </c>
    </row>
    <row r="25" spans="1:16" x14ac:dyDescent="0.25">
      <c r="A25">
        <f>Data!A11</f>
        <v>30</v>
      </c>
      <c r="B25" s="2">
        <f>Data!C11*Data!G11</f>
        <v>1.869625340252E-9</v>
      </c>
      <c r="C25" s="11">
        <f t="shared" si="0"/>
        <v>4.3239164425922941E-5</v>
      </c>
      <c r="D25" s="2">
        <f>Data!E11</f>
        <v>5.3617570000000003E-12</v>
      </c>
      <c r="E25" s="11">
        <f t="shared" si="1"/>
        <v>-7.5056533258498539E-9</v>
      </c>
      <c r="F25" s="3" t="e">
        <f t="shared" si="2"/>
        <v>#REF!</v>
      </c>
    </row>
    <row r="26" spans="1:16" x14ac:dyDescent="0.25">
      <c r="B26" s="2">
        <f>Data!C12*Data!G12</f>
        <v>1.868892922407E-9</v>
      </c>
      <c r="C26" s="11">
        <f t="shared" si="0"/>
        <v>4.3230694216112233E-5</v>
      </c>
      <c r="D26" s="2">
        <f>Data!E12</f>
        <v>5.3627149999999999E-12</v>
      </c>
      <c r="E26" s="11">
        <f t="shared" si="1"/>
        <v>-7.5041817577189515E-9</v>
      </c>
      <c r="F26" s="3" t="e">
        <f t="shared" si="2"/>
        <v>#REF!</v>
      </c>
    </row>
    <row r="27" spans="1:16" x14ac:dyDescent="0.25">
      <c r="B27" s="2">
        <f>Data!C13*Data!G13</f>
        <v>1.867573648344E-9</v>
      </c>
      <c r="C27" s="11">
        <f t="shared" si="0"/>
        <v>4.3215432988042595E-5</v>
      </c>
      <c r="D27" s="2">
        <f>Data!E13</f>
        <v>5.3556850000000001E-12</v>
      </c>
      <c r="E27" s="11">
        <f t="shared" si="1"/>
        <v>-7.5015391111335055E-9</v>
      </c>
      <c r="F27" s="3" t="e">
        <f t="shared" si="2"/>
        <v>#REF!</v>
      </c>
    </row>
    <row r="28" spans="1:16" x14ac:dyDescent="0.25">
      <c r="A28" t="str">
        <f>Data!A14</f>
        <v>Hardwoods_IN_T1_1</v>
      </c>
      <c r="B28" s="2">
        <f>Data!C14*Data!G14</f>
        <v>1.6107876758886001E-9</v>
      </c>
      <c r="C28" s="11">
        <f t="shared" si="0"/>
        <v>4.0134619418758661E-5</v>
      </c>
      <c r="D28" s="2">
        <f>Data!E14</f>
        <v>6.3480149999999998E-12</v>
      </c>
      <c r="E28" s="11">
        <f t="shared" si="1"/>
        <v>-6.9656514541384068E-9</v>
      </c>
      <c r="F28" s="3" t="e">
        <f t="shared" si="2"/>
        <v>#REF!</v>
      </c>
    </row>
    <row r="29" spans="1:16" x14ac:dyDescent="0.25">
      <c r="B29" s="2">
        <f>Data!C15*Data!G15</f>
        <v>1.6105371176249997E-9</v>
      </c>
      <c r="C29" s="11">
        <f t="shared" si="0"/>
        <v>4.0131497824339917E-5</v>
      </c>
      <c r="D29" s="2">
        <f>Data!E15</f>
        <v>6.3501659999999999E-12</v>
      </c>
      <c r="E29" s="11">
        <f t="shared" si="1"/>
        <v>-6.9651073273810912E-9</v>
      </c>
      <c r="F29" s="3" t="e">
        <f t="shared" si="2"/>
        <v>#REF!</v>
      </c>
    </row>
    <row r="30" spans="1:16" x14ac:dyDescent="0.25">
      <c r="B30" s="2">
        <f>Data!C16*Data!G16</f>
        <v>1.6101338686796001E-9</v>
      </c>
      <c r="C30" s="11">
        <f t="shared" si="0"/>
        <v>4.0126473414438004E-5</v>
      </c>
      <c r="D30" s="2">
        <f>Data!E16</f>
        <v>6.352163E-12</v>
      </c>
      <c r="E30" s="11">
        <f t="shared" si="1"/>
        <v>-6.9642329850356163E-9</v>
      </c>
      <c r="F30" s="3" t="e">
        <f t="shared" si="2"/>
        <v>#REF!</v>
      </c>
    </row>
    <row r="31" spans="1:16" x14ac:dyDescent="0.25">
      <c r="A31" t="str">
        <f>Data!A17</f>
        <v>Hardwoods_13_T1_1</v>
      </c>
      <c r="B31" s="2">
        <f>Data!C17*Data!G17</f>
        <v>1.3249982641664998E-9</v>
      </c>
      <c r="C31" s="11">
        <f t="shared" ref="C31:C42" si="3">SQRT(B31)</f>
        <v>3.6400525602887931E-5</v>
      </c>
      <c r="D31" s="2">
        <f>Data!E17</f>
        <v>6.2757240000000001E-12</v>
      </c>
      <c r="E31" s="11">
        <f t="shared" ref="E31:E42" si="4">D31-(C31*I$22+I$21)</f>
        <v>-6.317404952795909E-9</v>
      </c>
      <c r="F31" s="3" t="e">
        <f t="shared" ref="F31:F42" si="5">A$1*E31/A$2</f>
        <v>#REF!</v>
      </c>
    </row>
    <row r="32" spans="1:16" x14ac:dyDescent="0.25">
      <c r="B32" s="2">
        <f>Data!C18*Data!G18</f>
        <v>1.3246946245372E-9</v>
      </c>
      <c r="C32" s="11">
        <f t="shared" si="3"/>
        <v>3.6396354550108451E-5</v>
      </c>
      <c r="D32" s="2">
        <f>Data!E18</f>
        <v>6.2774550000000001E-12</v>
      </c>
      <c r="E32" s="11">
        <f t="shared" si="4"/>
        <v>-6.316679037553591E-9</v>
      </c>
      <c r="F32" s="3" t="e">
        <f t="shared" si="5"/>
        <v>#REF!</v>
      </c>
    </row>
    <row r="33" spans="1:6" x14ac:dyDescent="0.25">
      <c r="B33" s="2">
        <f>Data!C19*Data!G19</f>
        <v>1.3243541395463999E-9</v>
      </c>
      <c r="C33" s="11">
        <f t="shared" si="3"/>
        <v>3.6391676789430851E-5</v>
      </c>
      <c r="D33" s="2">
        <f>Data!E19</f>
        <v>6.276681E-12</v>
      </c>
      <c r="E33" s="11">
        <f t="shared" si="4"/>
        <v>-6.3158676519499733E-9</v>
      </c>
      <c r="F33" s="3" t="e">
        <f t="shared" si="5"/>
        <v>#REF!</v>
      </c>
    </row>
    <row r="34" spans="1:6" x14ac:dyDescent="0.25">
      <c r="A34" t="str">
        <f>Data!A20</f>
        <v>Hardwoods_14_T1_1</v>
      </c>
      <c r="B34" s="2">
        <f>Data!C20*Data!G20</f>
        <v>1.5509693690568E-9</v>
      </c>
      <c r="C34" s="11">
        <f t="shared" si="3"/>
        <v>3.9382348445170202E-5</v>
      </c>
      <c r="D34" s="2">
        <f>Data!E20</f>
        <v>6.2592960000000003E-12</v>
      </c>
      <c r="E34" s="11">
        <f t="shared" si="4"/>
        <v>-6.8351297939780586E-9</v>
      </c>
      <c r="F34" s="3" t="e">
        <f t="shared" si="5"/>
        <v>#REF!</v>
      </c>
    </row>
    <row r="35" spans="1:6" x14ac:dyDescent="0.25">
      <c r="B35" s="2">
        <f>Data!C21*Data!G21</f>
        <v>1.5509676857328001E-9</v>
      </c>
      <c r="C35" s="11">
        <f t="shared" si="3"/>
        <v>3.9382327073610061E-5</v>
      </c>
      <c r="D35" s="2">
        <f>Data!E21</f>
        <v>6.2621800000000003E-12</v>
      </c>
      <c r="E35" s="11">
        <f t="shared" si="4"/>
        <v>-6.8351231994167443E-9</v>
      </c>
      <c r="F35" s="3" t="e">
        <f t="shared" si="5"/>
        <v>#REF!</v>
      </c>
    </row>
    <row r="36" spans="1:6" x14ac:dyDescent="0.25">
      <c r="B36" s="2">
        <f>Data!C22*Data!G22</f>
        <v>1.5509929417575E-9</v>
      </c>
      <c r="C36" s="11">
        <f t="shared" si="3"/>
        <v>3.9382647724061165E-5</v>
      </c>
      <c r="D36" s="2">
        <f>Data!E22</f>
        <v>6.2624150000000002E-12</v>
      </c>
      <c r="E36" s="11">
        <f t="shared" si="4"/>
        <v>-6.8351786362138319E-9</v>
      </c>
      <c r="F36" s="3" t="e">
        <f t="shared" si="5"/>
        <v>#REF!</v>
      </c>
    </row>
    <row r="37" spans="1:6" x14ac:dyDescent="0.25">
      <c r="A37" t="e">
        <f>Data!#REF!</f>
        <v>#REF!</v>
      </c>
      <c r="B37" s="2" t="e">
        <f>Data!#REF!*Data!#REF!</f>
        <v>#REF!</v>
      </c>
      <c r="C37" s="11" t="e">
        <f t="shared" si="3"/>
        <v>#REF!</v>
      </c>
      <c r="D37" s="2" t="e">
        <f>Data!#REF!</f>
        <v>#REF!</v>
      </c>
      <c r="E37" s="11" t="e">
        <f t="shared" si="4"/>
        <v>#REF!</v>
      </c>
      <c r="F37" s="3" t="e">
        <f t="shared" si="5"/>
        <v>#REF!</v>
      </c>
    </row>
    <row r="38" spans="1:6" x14ac:dyDescent="0.25">
      <c r="B38" s="2" t="e">
        <f>Data!#REF!*Data!#REF!</f>
        <v>#REF!</v>
      </c>
      <c r="C38" s="11" t="e">
        <f t="shared" si="3"/>
        <v>#REF!</v>
      </c>
      <c r="D38" s="2" t="e">
        <f>Data!#REF!</f>
        <v>#REF!</v>
      </c>
      <c r="E38" s="11" t="e">
        <f t="shared" si="4"/>
        <v>#REF!</v>
      </c>
      <c r="F38" s="3" t="e">
        <f t="shared" si="5"/>
        <v>#REF!</v>
      </c>
    </row>
    <row r="39" spans="1:6" x14ac:dyDescent="0.25">
      <c r="B39" s="2" t="e">
        <f>Data!#REF!*Data!#REF!</f>
        <v>#REF!</v>
      </c>
      <c r="C39" s="11" t="e">
        <f t="shared" si="3"/>
        <v>#REF!</v>
      </c>
      <c r="D39" s="2" t="e">
        <f>Data!#REF!</f>
        <v>#REF!</v>
      </c>
      <c r="E39" s="11" t="e">
        <f t="shared" si="4"/>
        <v>#REF!</v>
      </c>
      <c r="F39" s="3" t="e">
        <f t="shared" si="5"/>
        <v>#REF!</v>
      </c>
    </row>
    <row r="40" spans="1:6" x14ac:dyDescent="0.25">
      <c r="A40" t="e">
        <f>Data!#REF!</f>
        <v>#REF!</v>
      </c>
      <c r="B40" s="2" t="e">
        <f>Data!#REF!*Data!#REF!</f>
        <v>#REF!</v>
      </c>
      <c r="C40" s="11" t="e">
        <f t="shared" si="3"/>
        <v>#REF!</v>
      </c>
      <c r="D40" s="2" t="e">
        <f>Data!#REF!</f>
        <v>#REF!</v>
      </c>
      <c r="E40" s="11" t="e">
        <f t="shared" si="4"/>
        <v>#REF!</v>
      </c>
      <c r="F40" s="3" t="e">
        <f t="shared" si="5"/>
        <v>#REF!</v>
      </c>
    </row>
    <row r="41" spans="1:6" x14ac:dyDescent="0.25">
      <c r="B41" s="2" t="e">
        <f>Data!#REF!*Data!#REF!</f>
        <v>#REF!</v>
      </c>
      <c r="C41" s="11" t="e">
        <f t="shared" si="3"/>
        <v>#REF!</v>
      </c>
      <c r="D41" s="2" t="e">
        <f>Data!#REF!</f>
        <v>#REF!</v>
      </c>
      <c r="E41" s="11" t="e">
        <f t="shared" si="4"/>
        <v>#REF!</v>
      </c>
      <c r="F41" s="3" t="e">
        <f t="shared" si="5"/>
        <v>#REF!</v>
      </c>
    </row>
    <row r="42" spans="1:6" x14ac:dyDescent="0.25">
      <c r="B42" s="2" t="e">
        <f>Data!#REF!*Data!#REF!</f>
        <v>#REF!</v>
      </c>
      <c r="C42" s="11" t="e">
        <f t="shared" si="3"/>
        <v>#REF!</v>
      </c>
      <c r="D42" s="2" t="e">
        <f>Data!#REF!</f>
        <v>#REF!</v>
      </c>
      <c r="E42" s="11" t="e">
        <f t="shared" si="4"/>
        <v>#REF!</v>
      </c>
      <c r="F42" s="3" t="e">
        <f t="shared" si="5"/>
        <v>#REF!</v>
      </c>
    </row>
    <row r="43" spans="1:6" x14ac:dyDescent="0.25">
      <c r="A43" t="e">
        <f>Data!#REF!</f>
        <v>#REF!</v>
      </c>
      <c r="B43" s="2" t="e">
        <f>Data!#REF!*Data!#REF!</f>
        <v>#REF!</v>
      </c>
      <c r="C43" s="11" t="e">
        <f t="shared" ref="C43:C48" si="6">SQRT(B43)</f>
        <v>#REF!</v>
      </c>
      <c r="D43" s="2" t="e">
        <f>Data!#REF!</f>
        <v>#REF!</v>
      </c>
      <c r="E43" s="11" t="e">
        <f t="shared" ref="E43:E48" si="7">D43-(C43*I$22+I$21)</f>
        <v>#REF!</v>
      </c>
      <c r="F43" s="3" t="e">
        <f t="shared" ref="F43:F48" si="8">A$1*E43/A$2</f>
        <v>#REF!</v>
      </c>
    </row>
    <row r="44" spans="1:6" x14ac:dyDescent="0.25">
      <c r="B44" s="2" t="e">
        <f>Data!#REF!*Data!#REF!</f>
        <v>#REF!</v>
      </c>
      <c r="C44" s="11" t="e">
        <f t="shared" si="6"/>
        <v>#REF!</v>
      </c>
      <c r="D44" s="2" t="e">
        <f>Data!#REF!</f>
        <v>#REF!</v>
      </c>
      <c r="E44" s="11" t="e">
        <f t="shared" si="7"/>
        <v>#REF!</v>
      </c>
      <c r="F44" s="3" t="e">
        <f t="shared" si="8"/>
        <v>#REF!</v>
      </c>
    </row>
    <row r="45" spans="1:6" x14ac:dyDescent="0.25">
      <c r="B45" s="2" t="e">
        <f>Data!#REF!*Data!#REF!</f>
        <v>#REF!</v>
      </c>
      <c r="C45" s="11" t="e">
        <f t="shared" si="6"/>
        <v>#REF!</v>
      </c>
      <c r="D45" s="2" t="e">
        <f>Data!#REF!</f>
        <v>#REF!</v>
      </c>
      <c r="E45" s="11" t="e">
        <f t="shared" si="7"/>
        <v>#REF!</v>
      </c>
      <c r="F45" s="3" t="e">
        <f t="shared" si="8"/>
        <v>#REF!</v>
      </c>
    </row>
    <row r="46" spans="1:6" x14ac:dyDescent="0.25">
      <c r="A46" t="e">
        <f>Data!#REF!</f>
        <v>#REF!</v>
      </c>
      <c r="B46" s="2" t="e">
        <f>Data!#REF!*Data!#REF!</f>
        <v>#REF!</v>
      </c>
      <c r="C46" s="11" t="e">
        <f t="shared" si="6"/>
        <v>#REF!</v>
      </c>
      <c r="D46" s="2" t="e">
        <f>Data!#REF!</f>
        <v>#REF!</v>
      </c>
      <c r="E46" s="11" t="e">
        <f t="shared" si="7"/>
        <v>#REF!</v>
      </c>
      <c r="F46" s="3" t="e">
        <f t="shared" si="8"/>
        <v>#REF!</v>
      </c>
    </row>
    <row r="47" spans="1:6" x14ac:dyDescent="0.25">
      <c r="B47" s="2" t="e">
        <f>Data!#REF!*Data!#REF!</f>
        <v>#REF!</v>
      </c>
      <c r="C47" s="11" t="e">
        <f t="shared" si="6"/>
        <v>#REF!</v>
      </c>
      <c r="D47" s="2" t="e">
        <f>Data!#REF!</f>
        <v>#REF!</v>
      </c>
      <c r="E47" s="11" t="e">
        <f t="shared" si="7"/>
        <v>#REF!</v>
      </c>
      <c r="F47" s="3" t="e">
        <f t="shared" si="8"/>
        <v>#REF!</v>
      </c>
    </row>
    <row r="48" spans="1:6" x14ac:dyDescent="0.25">
      <c r="B48" s="2" t="e">
        <f>Data!#REF!*Data!#REF!</f>
        <v>#REF!</v>
      </c>
      <c r="C48" s="11" t="e">
        <f t="shared" si="6"/>
        <v>#REF!</v>
      </c>
      <c r="D48" s="2" t="e">
        <f>Data!#REF!</f>
        <v>#REF!</v>
      </c>
      <c r="E48" s="11" t="e">
        <f t="shared" si="7"/>
        <v>#REF!</v>
      </c>
      <c r="F48" s="3" t="e">
        <f t="shared" si="8"/>
        <v>#REF!</v>
      </c>
    </row>
    <row r="49" spans="1:7" x14ac:dyDescent="0.25">
      <c r="A49" t="e">
        <f>Data!#REF!</f>
        <v>#REF!</v>
      </c>
      <c r="B49" s="2" t="e">
        <f>Data!#REF!*Data!#REF!</f>
        <v>#REF!</v>
      </c>
      <c r="C49" s="11" t="e">
        <f t="shared" ref="C49:C54" si="9">SQRT(B49)</f>
        <v>#REF!</v>
      </c>
      <c r="D49" s="2" t="e">
        <f>Data!#REF!</f>
        <v>#REF!</v>
      </c>
      <c r="E49" s="11" t="e">
        <f t="shared" ref="E49:E54" si="10">D49-(C49*I$22+I$21)</f>
        <v>#REF!</v>
      </c>
      <c r="F49" s="3" t="e">
        <f t="shared" ref="F49:F54" si="11">A$1*E49/A$2</f>
        <v>#REF!</v>
      </c>
    </row>
    <row r="50" spans="1:7" x14ac:dyDescent="0.25">
      <c r="B50" s="2" t="e">
        <f>Data!#REF!*Data!#REF!</f>
        <v>#REF!</v>
      </c>
      <c r="C50" s="11" t="e">
        <f t="shared" si="9"/>
        <v>#REF!</v>
      </c>
      <c r="D50" s="2" t="e">
        <f>Data!#REF!</f>
        <v>#REF!</v>
      </c>
      <c r="E50" s="11" t="e">
        <f t="shared" si="10"/>
        <v>#REF!</v>
      </c>
      <c r="F50" s="3" t="e">
        <f t="shared" si="11"/>
        <v>#REF!</v>
      </c>
    </row>
    <row r="51" spans="1:7" x14ac:dyDescent="0.25">
      <c r="B51" s="2" t="e">
        <f>Data!#REF!*Data!#REF!</f>
        <v>#REF!</v>
      </c>
      <c r="C51" s="11" t="e">
        <f t="shared" si="9"/>
        <v>#REF!</v>
      </c>
      <c r="D51" s="2" t="e">
        <f>Data!#REF!</f>
        <v>#REF!</v>
      </c>
      <c r="E51" s="11" t="e">
        <f t="shared" si="10"/>
        <v>#REF!</v>
      </c>
      <c r="F51" s="3" t="e">
        <f t="shared" si="11"/>
        <v>#REF!</v>
      </c>
    </row>
    <row r="52" spans="1:7" x14ac:dyDescent="0.25">
      <c r="A52" t="e">
        <f>Data!#REF!</f>
        <v>#REF!</v>
      </c>
      <c r="B52" s="2" t="e">
        <f>Data!#REF!*Data!#REF!</f>
        <v>#REF!</v>
      </c>
      <c r="C52" s="11" t="e">
        <f t="shared" si="9"/>
        <v>#REF!</v>
      </c>
      <c r="D52" s="2" t="e">
        <f>Data!#REF!</f>
        <v>#REF!</v>
      </c>
      <c r="E52" s="11" t="e">
        <f t="shared" si="10"/>
        <v>#REF!</v>
      </c>
      <c r="F52" s="3" t="e">
        <f t="shared" si="11"/>
        <v>#REF!</v>
      </c>
    </row>
    <row r="53" spans="1:7" x14ac:dyDescent="0.25">
      <c r="B53" s="2" t="e">
        <f>Data!#REF!*Data!#REF!</f>
        <v>#REF!</v>
      </c>
      <c r="C53" s="11" t="e">
        <f t="shared" si="9"/>
        <v>#REF!</v>
      </c>
      <c r="D53" s="2" t="e">
        <f>Data!#REF!</f>
        <v>#REF!</v>
      </c>
      <c r="E53" s="11" t="e">
        <f t="shared" si="10"/>
        <v>#REF!</v>
      </c>
      <c r="F53" s="3" t="e">
        <f t="shared" si="11"/>
        <v>#REF!</v>
      </c>
    </row>
    <row r="54" spans="1:7" x14ac:dyDescent="0.25">
      <c r="B54" s="2" t="e">
        <f>Data!#REF!*Data!#REF!</f>
        <v>#REF!</v>
      </c>
      <c r="C54" s="11" t="e">
        <f t="shared" si="9"/>
        <v>#REF!</v>
      </c>
      <c r="D54" s="2" t="e">
        <f>Data!#REF!</f>
        <v>#REF!</v>
      </c>
      <c r="E54" s="11" t="e">
        <f t="shared" si="10"/>
        <v>#REF!</v>
      </c>
      <c r="F54" s="3" t="e">
        <f t="shared" si="11"/>
        <v>#REF!</v>
      </c>
    </row>
    <row r="55" spans="1:7" x14ac:dyDescent="0.25">
      <c r="A55" t="e">
        <f>Data!#REF!</f>
        <v>#REF!</v>
      </c>
      <c r="B55" s="2" t="e">
        <f>Data!#REF!*Data!#REF!</f>
        <v>#REF!</v>
      </c>
      <c r="C55" s="11" t="e">
        <f t="shared" ref="C55:C57" si="12">SQRT(B55)</f>
        <v>#REF!</v>
      </c>
      <c r="D55" s="2" t="e">
        <f>Data!#REF!</f>
        <v>#REF!</v>
      </c>
      <c r="E55" s="11" t="e">
        <f t="shared" ref="E55:E86" si="13">D55-(C55*I$22+I$21)</f>
        <v>#REF!</v>
      </c>
      <c r="F55" s="3" t="e">
        <f t="shared" ref="F55:F86" si="14">A$1*E55/A$2</f>
        <v>#REF!</v>
      </c>
      <c r="G55" s="3" t="e">
        <f>AVERAGE(F55:F57)</f>
        <v>#REF!</v>
      </c>
    </row>
    <row r="56" spans="1:7" x14ac:dyDescent="0.25">
      <c r="B56" s="2" t="e">
        <f>Data!#REF!*Data!#REF!</f>
        <v>#REF!</v>
      </c>
      <c r="C56" s="11" t="e">
        <f t="shared" si="12"/>
        <v>#REF!</v>
      </c>
      <c r="D56" s="2" t="e">
        <f>Data!#REF!</f>
        <v>#REF!</v>
      </c>
      <c r="E56" s="11" t="e">
        <f t="shared" si="13"/>
        <v>#REF!</v>
      </c>
      <c r="F56" s="3" t="e">
        <f t="shared" si="14"/>
        <v>#REF!</v>
      </c>
    </row>
    <row r="57" spans="1:7" x14ac:dyDescent="0.25">
      <c r="B57" s="2" t="e">
        <f>Data!#REF!*Data!#REF!</f>
        <v>#REF!</v>
      </c>
      <c r="C57" s="11" t="e">
        <f t="shared" si="12"/>
        <v>#REF!</v>
      </c>
      <c r="D57" s="2" t="e">
        <f>Data!#REF!</f>
        <v>#REF!</v>
      </c>
      <c r="E57" s="11" t="e">
        <f t="shared" si="13"/>
        <v>#REF!</v>
      </c>
      <c r="F57" s="3" t="e">
        <f t="shared" si="14"/>
        <v>#REF!</v>
      </c>
    </row>
    <row r="58" spans="1:7" x14ac:dyDescent="0.25">
      <c r="A58" t="e">
        <f>Data!#REF!</f>
        <v>#REF!</v>
      </c>
      <c r="B58" s="2" t="e">
        <f>Data!#REF!*Data!#REF!</f>
        <v>#REF!</v>
      </c>
      <c r="C58" s="11" t="e">
        <f t="shared" ref="C58:C66" si="15">SQRT(B58)</f>
        <v>#REF!</v>
      </c>
      <c r="D58" s="2" t="e">
        <f>Data!#REF!</f>
        <v>#REF!</v>
      </c>
      <c r="E58" s="11" t="e">
        <f t="shared" si="13"/>
        <v>#REF!</v>
      </c>
      <c r="F58" s="3" t="e">
        <f t="shared" si="14"/>
        <v>#REF!</v>
      </c>
      <c r="G58" s="3" t="e">
        <f>AVERAGE(F58:F60)</f>
        <v>#REF!</v>
      </c>
    </row>
    <row r="59" spans="1:7" x14ac:dyDescent="0.25">
      <c r="B59" s="2" t="e">
        <f>Data!#REF!*Data!#REF!</f>
        <v>#REF!</v>
      </c>
      <c r="C59" s="11" t="e">
        <f t="shared" si="15"/>
        <v>#REF!</v>
      </c>
      <c r="D59" s="2" t="e">
        <f>Data!#REF!</f>
        <v>#REF!</v>
      </c>
      <c r="E59" s="11" t="e">
        <f t="shared" si="13"/>
        <v>#REF!</v>
      </c>
      <c r="F59" s="3" t="e">
        <f t="shared" si="14"/>
        <v>#REF!</v>
      </c>
    </row>
    <row r="60" spans="1:7" x14ac:dyDescent="0.25">
      <c r="B60" s="2" t="e">
        <f>Data!#REF!*Data!#REF!</f>
        <v>#REF!</v>
      </c>
      <c r="C60" s="11" t="e">
        <f t="shared" si="15"/>
        <v>#REF!</v>
      </c>
      <c r="D60" s="2" t="e">
        <f>Data!#REF!</f>
        <v>#REF!</v>
      </c>
      <c r="E60" s="11" t="e">
        <f t="shared" si="13"/>
        <v>#REF!</v>
      </c>
      <c r="F60" s="3" t="e">
        <f t="shared" si="14"/>
        <v>#REF!</v>
      </c>
    </row>
    <row r="61" spans="1:7" x14ac:dyDescent="0.25">
      <c r="A61" t="e">
        <f>Data!#REF!</f>
        <v>#REF!</v>
      </c>
      <c r="B61" s="2" t="e">
        <f>Data!#REF!*Data!#REF!</f>
        <v>#REF!</v>
      </c>
      <c r="C61" s="11" t="e">
        <f t="shared" si="15"/>
        <v>#REF!</v>
      </c>
      <c r="D61" s="2" t="e">
        <f>Data!#REF!</f>
        <v>#REF!</v>
      </c>
      <c r="E61" s="11" t="e">
        <f t="shared" si="13"/>
        <v>#REF!</v>
      </c>
      <c r="F61" s="3" t="e">
        <f t="shared" si="14"/>
        <v>#REF!</v>
      </c>
      <c r="G61" s="3" t="e">
        <f>AVERAGE(F61:F63)</f>
        <v>#REF!</v>
      </c>
    </row>
    <row r="62" spans="1:7" x14ac:dyDescent="0.25">
      <c r="B62" s="2" t="e">
        <f>Data!#REF!*Data!#REF!</f>
        <v>#REF!</v>
      </c>
      <c r="C62" s="11" t="e">
        <f t="shared" si="15"/>
        <v>#REF!</v>
      </c>
      <c r="D62" s="2" t="e">
        <f>Data!#REF!</f>
        <v>#REF!</v>
      </c>
      <c r="E62" s="11" t="e">
        <f t="shared" si="13"/>
        <v>#REF!</v>
      </c>
      <c r="F62" s="3" t="e">
        <f t="shared" si="14"/>
        <v>#REF!</v>
      </c>
    </row>
    <row r="63" spans="1:7" x14ac:dyDescent="0.25">
      <c r="B63" s="2" t="e">
        <f>Data!#REF!*Data!#REF!</f>
        <v>#REF!</v>
      </c>
      <c r="C63" s="11" t="e">
        <f t="shared" si="15"/>
        <v>#REF!</v>
      </c>
      <c r="D63" s="2" t="e">
        <f>Data!#REF!</f>
        <v>#REF!</v>
      </c>
      <c r="E63" s="11" t="e">
        <f t="shared" si="13"/>
        <v>#REF!</v>
      </c>
      <c r="F63" s="3" t="e">
        <f t="shared" si="14"/>
        <v>#REF!</v>
      </c>
    </row>
    <row r="64" spans="1:7" x14ac:dyDescent="0.25">
      <c r="A64" t="e">
        <f>Data!#REF!</f>
        <v>#REF!</v>
      </c>
      <c r="B64" s="2" t="e">
        <f>Data!#REF!*Data!#REF!</f>
        <v>#REF!</v>
      </c>
      <c r="C64" s="11" t="e">
        <f t="shared" si="15"/>
        <v>#REF!</v>
      </c>
      <c r="D64" s="2" t="e">
        <f>Data!#REF!</f>
        <v>#REF!</v>
      </c>
      <c r="E64" s="11" t="e">
        <f t="shared" si="13"/>
        <v>#REF!</v>
      </c>
      <c r="F64" s="3" t="e">
        <f t="shared" si="14"/>
        <v>#REF!</v>
      </c>
      <c r="G64" s="3" t="e">
        <f>AVERAGE(F64:F66)</f>
        <v>#REF!</v>
      </c>
    </row>
    <row r="65" spans="1:7" x14ac:dyDescent="0.25">
      <c r="B65" s="2" t="e">
        <f>Data!#REF!*Data!#REF!</f>
        <v>#REF!</v>
      </c>
      <c r="C65" s="11" t="e">
        <f t="shared" si="15"/>
        <v>#REF!</v>
      </c>
      <c r="D65" s="2" t="e">
        <f>Data!#REF!</f>
        <v>#REF!</v>
      </c>
      <c r="E65" s="11" t="e">
        <f t="shared" si="13"/>
        <v>#REF!</v>
      </c>
      <c r="F65" s="3" t="e">
        <f t="shared" si="14"/>
        <v>#REF!</v>
      </c>
    </row>
    <row r="66" spans="1:7" x14ac:dyDescent="0.25">
      <c r="B66" s="2" t="e">
        <f>Data!#REF!*Data!#REF!</f>
        <v>#REF!</v>
      </c>
      <c r="C66" s="11" t="e">
        <f t="shared" si="15"/>
        <v>#REF!</v>
      </c>
      <c r="D66" s="2" t="e">
        <f>Data!#REF!</f>
        <v>#REF!</v>
      </c>
      <c r="E66" s="11" t="e">
        <f t="shared" si="13"/>
        <v>#REF!</v>
      </c>
      <c r="F66" s="3" t="e">
        <f t="shared" si="14"/>
        <v>#REF!</v>
      </c>
    </row>
    <row r="67" spans="1:7" x14ac:dyDescent="0.25">
      <c r="A67" t="e">
        <f>Data!#REF!</f>
        <v>#REF!</v>
      </c>
      <c r="B67" s="2" t="e">
        <f>Data!#REF!*Data!#REF!</f>
        <v>#REF!</v>
      </c>
      <c r="C67" s="11" t="e">
        <f t="shared" ref="C67:C84" si="16">SQRT(B67)</f>
        <v>#REF!</v>
      </c>
      <c r="D67" s="2" t="e">
        <f>Data!#REF!</f>
        <v>#REF!</v>
      </c>
      <c r="E67" s="11" t="e">
        <f t="shared" si="13"/>
        <v>#REF!</v>
      </c>
      <c r="F67" s="3" t="e">
        <f t="shared" si="14"/>
        <v>#REF!</v>
      </c>
      <c r="G67" s="3" t="e">
        <f>AVERAGE(F67:F69)</f>
        <v>#REF!</v>
      </c>
    </row>
    <row r="68" spans="1:7" x14ac:dyDescent="0.25">
      <c r="B68" s="2" t="e">
        <f>Data!#REF!*Data!#REF!</f>
        <v>#REF!</v>
      </c>
      <c r="C68" s="11" t="e">
        <f t="shared" si="16"/>
        <v>#REF!</v>
      </c>
      <c r="D68" s="2" t="e">
        <f>Data!#REF!</f>
        <v>#REF!</v>
      </c>
      <c r="E68" s="11" t="e">
        <f t="shared" si="13"/>
        <v>#REF!</v>
      </c>
      <c r="F68" s="3" t="e">
        <f t="shared" si="14"/>
        <v>#REF!</v>
      </c>
    </row>
    <row r="69" spans="1:7" x14ac:dyDescent="0.25">
      <c r="B69" s="2" t="e">
        <f>Data!#REF!*Data!#REF!</f>
        <v>#REF!</v>
      </c>
      <c r="C69" s="11" t="e">
        <f t="shared" si="16"/>
        <v>#REF!</v>
      </c>
      <c r="D69" s="2" t="e">
        <f>Data!#REF!</f>
        <v>#REF!</v>
      </c>
      <c r="E69" s="11" t="e">
        <f t="shared" si="13"/>
        <v>#REF!</v>
      </c>
      <c r="F69" s="3" t="e">
        <f t="shared" si="14"/>
        <v>#REF!</v>
      </c>
    </row>
    <row r="70" spans="1:7" x14ac:dyDescent="0.25">
      <c r="A70" t="e">
        <f>Data!#REF!</f>
        <v>#REF!</v>
      </c>
      <c r="B70" s="2" t="e">
        <f>Data!#REF!*Data!#REF!</f>
        <v>#REF!</v>
      </c>
      <c r="C70" s="11" t="e">
        <f t="shared" si="16"/>
        <v>#REF!</v>
      </c>
      <c r="D70" s="2" t="e">
        <f>Data!#REF!</f>
        <v>#REF!</v>
      </c>
      <c r="E70" s="11" t="e">
        <f t="shared" si="13"/>
        <v>#REF!</v>
      </c>
      <c r="F70" s="3" t="e">
        <f t="shared" si="14"/>
        <v>#REF!</v>
      </c>
      <c r="G70" s="3" t="e">
        <f>AVERAGE(F70:F72)</f>
        <v>#REF!</v>
      </c>
    </row>
    <row r="71" spans="1:7" x14ac:dyDescent="0.25">
      <c r="B71" s="2" t="e">
        <f>Data!#REF!*Data!#REF!</f>
        <v>#REF!</v>
      </c>
      <c r="C71" s="11" t="e">
        <f t="shared" si="16"/>
        <v>#REF!</v>
      </c>
      <c r="D71" s="2" t="e">
        <f>Data!#REF!</f>
        <v>#REF!</v>
      </c>
      <c r="E71" s="11" t="e">
        <f t="shared" si="13"/>
        <v>#REF!</v>
      </c>
      <c r="F71" s="3" t="e">
        <f t="shared" si="14"/>
        <v>#REF!</v>
      </c>
    </row>
    <row r="72" spans="1:7" x14ac:dyDescent="0.25">
      <c r="B72" s="2" t="e">
        <f>Data!#REF!*Data!#REF!</f>
        <v>#REF!</v>
      </c>
      <c r="C72" s="11" t="e">
        <f t="shared" si="16"/>
        <v>#REF!</v>
      </c>
      <c r="D72" s="2" t="e">
        <f>Data!#REF!</f>
        <v>#REF!</v>
      </c>
      <c r="E72" s="11" t="e">
        <f t="shared" si="13"/>
        <v>#REF!</v>
      </c>
      <c r="F72" s="3" t="e">
        <f t="shared" si="14"/>
        <v>#REF!</v>
      </c>
    </row>
    <row r="73" spans="1:7" x14ac:dyDescent="0.25">
      <c r="A73" t="e">
        <f>Data!#REF!</f>
        <v>#REF!</v>
      </c>
      <c r="B73" s="2" t="e">
        <f>Data!#REF!*Data!#REF!</f>
        <v>#REF!</v>
      </c>
      <c r="C73" s="11" t="e">
        <f t="shared" si="16"/>
        <v>#REF!</v>
      </c>
      <c r="D73" s="2" t="e">
        <f>Data!#REF!</f>
        <v>#REF!</v>
      </c>
      <c r="E73" s="11" t="e">
        <f t="shared" si="13"/>
        <v>#REF!</v>
      </c>
      <c r="F73" s="3" t="e">
        <f t="shared" si="14"/>
        <v>#REF!</v>
      </c>
      <c r="G73" s="3" t="e">
        <f>AVERAGE(F73:F75)</f>
        <v>#REF!</v>
      </c>
    </row>
    <row r="74" spans="1:7" x14ac:dyDescent="0.25">
      <c r="B74" s="2" t="e">
        <f>Data!#REF!*Data!#REF!</f>
        <v>#REF!</v>
      </c>
      <c r="C74" s="11" t="e">
        <f t="shared" si="16"/>
        <v>#REF!</v>
      </c>
      <c r="D74" s="2" t="e">
        <f>Data!#REF!</f>
        <v>#REF!</v>
      </c>
      <c r="E74" s="11" t="e">
        <f t="shared" si="13"/>
        <v>#REF!</v>
      </c>
      <c r="F74" s="3" t="e">
        <f t="shared" si="14"/>
        <v>#REF!</v>
      </c>
    </row>
    <row r="75" spans="1:7" x14ac:dyDescent="0.25">
      <c r="B75" s="2" t="e">
        <f>Data!#REF!*Data!#REF!</f>
        <v>#REF!</v>
      </c>
      <c r="C75" s="11" t="e">
        <f t="shared" si="16"/>
        <v>#REF!</v>
      </c>
      <c r="D75" s="2" t="e">
        <f>Data!#REF!</f>
        <v>#REF!</v>
      </c>
      <c r="E75" s="11" t="e">
        <f t="shared" si="13"/>
        <v>#REF!</v>
      </c>
      <c r="F75" s="3" t="e">
        <f t="shared" si="14"/>
        <v>#REF!</v>
      </c>
    </row>
    <row r="76" spans="1:7" x14ac:dyDescent="0.25">
      <c r="A76" t="e">
        <f>Data!#REF!</f>
        <v>#REF!</v>
      </c>
      <c r="B76" s="2" t="e">
        <f>Data!#REF!*Data!#REF!</f>
        <v>#REF!</v>
      </c>
      <c r="C76" s="11" t="e">
        <f t="shared" si="16"/>
        <v>#REF!</v>
      </c>
      <c r="D76" s="2" t="e">
        <f>Data!#REF!</f>
        <v>#REF!</v>
      </c>
      <c r="E76" s="11" t="e">
        <f t="shared" si="13"/>
        <v>#REF!</v>
      </c>
      <c r="F76" s="3" t="e">
        <f t="shared" si="14"/>
        <v>#REF!</v>
      </c>
      <c r="G76" s="3" t="e">
        <f>AVERAGE(F76:F78)</f>
        <v>#REF!</v>
      </c>
    </row>
    <row r="77" spans="1:7" x14ac:dyDescent="0.25">
      <c r="B77" s="2" t="e">
        <f>Data!#REF!*Data!#REF!</f>
        <v>#REF!</v>
      </c>
      <c r="C77" s="11" t="e">
        <f t="shared" si="16"/>
        <v>#REF!</v>
      </c>
      <c r="D77" s="2" t="e">
        <f>Data!#REF!</f>
        <v>#REF!</v>
      </c>
      <c r="E77" s="11" t="e">
        <f t="shared" si="13"/>
        <v>#REF!</v>
      </c>
      <c r="F77" s="3" t="e">
        <f t="shared" si="14"/>
        <v>#REF!</v>
      </c>
    </row>
    <row r="78" spans="1:7" x14ac:dyDescent="0.25">
      <c r="B78" s="2" t="e">
        <f>Data!#REF!*Data!#REF!</f>
        <v>#REF!</v>
      </c>
      <c r="C78" s="11" t="e">
        <f t="shared" si="16"/>
        <v>#REF!</v>
      </c>
      <c r="D78" s="2" t="e">
        <f>Data!#REF!</f>
        <v>#REF!</v>
      </c>
      <c r="E78" s="11" t="e">
        <f t="shared" si="13"/>
        <v>#REF!</v>
      </c>
      <c r="F78" s="3" t="e">
        <f t="shared" si="14"/>
        <v>#REF!</v>
      </c>
    </row>
    <row r="79" spans="1:7" x14ac:dyDescent="0.25">
      <c r="A79" t="e">
        <f>Data!#REF!</f>
        <v>#REF!</v>
      </c>
      <c r="B79" s="2" t="e">
        <f>Data!#REF!*Data!#REF!</f>
        <v>#REF!</v>
      </c>
      <c r="C79" s="11" t="e">
        <f t="shared" si="16"/>
        <v>#REF!</v>
      </c>
      <c r="D79" s="2" t="e">
        <f>Data!#REF!</f>
        <v>#REF!</v>
      </c>
      <c r="E79" s="11" t="e">
        <f t="shared" si="13"/>
        <v>#REF!</v>
      </c>
      <c r="F79" s="3" t="e">
        <f t="shared" si="14"/>
        <v>#REF!</v>
      </c>
      <c r="G79" s="3" t="e">
        <f>AVERAGE(F79:F81)</f>
        <v>#REF!</v>
      </c>
    </row>
    <row r="80" spans="1:7" x14ac:dyDescent="0.25">
      <c r="B80" s="2" t="e">
        <f>Data!#REF!*Data!#REF!</f>
        <v>#REF!</v>
      </c>
      <c r="C80" s="11" t="e">
        <f t="shared" si="16"/>
        <v>#REF!</v>
      </c>
      <c r="D80" s="2" t="e">
        <f>Data!#REF!</f>
        <v>#REF!</v>
      </c>
      <c r="E80" s="11" t="e">
        <f t="shared" si="13"/>
        <v>#REF!</v>
      </c>
      <c r="F80" s="3" t="e">
        <f t="shared" si="14"/>
        <v>#REF!</v>
      </c>
    </row>
    <row r="81" spans="1:7" x14ac:dyDescent="0.25">
      <c r="B81" s="2" t="e">
        <f>Data!#REF!*Data!#REF!</f>
        <v>#REF!</v>
      </c>
      <c r="C81" s="11" t="e">
        <f t="shared" si="16"/>
        <v>#REF!</v>
      </c>
      <c r="D81" s="2" t="e">
        <f>Data!#REF!</f>
        <v>#REF!</v>
      </c>
      <c r="E81" s="11" t="e">
        <f t="shared" si="13"/>
        <v>#REF!</v>
      </c>
      <c r="F81" s="3" t="e">
        <f t="shared" si="14"/>
        <v>#REF!</v>
      </c>
    </row>
    <row r="82" spans="1:7" x14ac:dyDescent="0.25">
      <c r="A82" t="e">
        <f>Data!#REF!</f>
        <v>#REF!</v>
      </c>
      <c r="B82" s="2" t="e">
        <f>Data!#REF!*Data!#REF!</f>
        <v>#REF!</v>
      </c>
      <c r="C82" s="11" t="e">
        <f t="shared" si="16"/>
        <v>#REF!</v>
      </c>
      <c r="D82" s="2" t="e">
        <f>Data!#REF!</f>
        <v>#REF!</v>
      </c>
      <c r="E82" s="11" t="e">
        <f t="shared" si="13"/>
        <v>#REF!</v>
      </c>
      <c r="F82" s="3" t="e">
        <f t="shared" si="14"/>
        <v>#REF!</v>
      </c>
      <c r="G82" s="3" t="e">
        <f>AVERAGE(F82:F84)</f>
        <v>#REF!</v>
      </c>
    </row>
    <row r="83" spans="1:7" x14ac:dyDescent="0.25">
      <c r="B83" s="2" t="e">
        <f>Data!#REF!*Data!#REF!</f>
        <v>#REF!</v>
      </c>
      <c r="C83" s="11" t="e">
        <f t="shared" si="16"/>
        <v>#REF!</v>
      </c>
      <c r="D83" s="2" t="e">
        <f>Data!#REF!</f>
        <v>#REF!</v>
      </c>
      <c r="E83" s="11" t="e">
        <f t="shared" si="13"/>
        <v>#REF!</v>
      </c>
      <c r="F83" s="3" t="e">
        <f t="shared" si="14"/>
        <v>#REF!</v>
      </c>
    </row>
    <row r="84" spans="1:7" x14ac:dyDescent="0.25">
      <c r="B84" s="2" t="e">
        <f>Data!#REF!*Data!#REF!</f>
        <v>#REF!</v>
      </c>
      <c r="C84" s="11" t="e">
        <f t="shared" si="16"/>
        <v>#REF!</v>
      </c>
      <c r="D84" s="2" t="e">
        <f>Data!#REF!</f>
        <v>#REF!</v>
      </c>
      <c r="E84" s="11" t="e">
        <f t="shared" si="13"/>
        <v>#REF!</v>
      </c>
      <c r="F84" s="3" t="e">
        <f t="shared" si="14"/>
        <v>#REF!</v>
      </c>
    </row>
    <row r="85" spans="1:7" x14ac:dyDescent="0.25">
      <c r="A85" t="e">
        <f>Data!#REF!</f>
        <v>#REF!</v>
      </c>
      <c r="B85" s="2" t="e">
        <f>Data!#REF!*Data!#REF!</f>
        <v>#REF!</v>
      </c>
      <c r="C85" s="11" t="e">
        <f t="shared" ref="C85:C102" si="17">SQRT(B85)</f>
        <v>#REF!</v>
      </c>
      <c r="D85" s="2" t="e">
        <f>Data!#REF!</f>
        <v>#REF!</v>
      </c>
      <c r="E85" s="11" t="e">
        <f t="shared" si="13"/>
        <v>#REF!</v>
      </c>
      <c r="F85" s="3" t="e">
        <f t="shared" si="14"/>
        <v>#REF!</v>
      </c>
      <c r="G85" s="3" t="e">
        <f>AVERAGE(F85:F87)</f>
        <v>#REF!</v>
      </c>
    </row>
    <row r="86" spans="1:7" x14ac:dyDescent="0.25">
      <c r="B86" s="2" t="e">
        <f>Data!#REF!*Data!#REF!</f>
        <v>#REF!</v>
      </c>
      <c r="C86" s="11" t="e">
        <f t="shared" si="17"/>
        <v>#REF!</v>
      </c>
      <c r="D86" s="2" t="e">
        <f>Data!#REF!</f>
        <v>#REF!</v>
      </c>
      <c r="E86" s="11" t="e">
        <f t="shared" si="13"/>
        <v>#REF!</v>
      </c>
      <c r="F86" s="3" t="e">
        <f t="shared" si="14"/>
        <v>#REF!</v>
      </c>
    </row>
    <row r="87" spans="1:7" x14ac:dyDescent="0.25">
      <c r="B87" s="2" t="e">
        <f>Data!#REF!*Data!#REF!</f>
        <v>#REF!</v>
      </c>
      <c r="C87" s="11" t="e">
        <f t="shared" si="17"/>
        <v>#REF!</v>
      </c>
      <c r="D87" s="2" t="e">
        <f>Data!#REF!</f>
        <v>#REF!</v>
      </c>
      <c r="E87" s="11" t="e">
        <f t="shared" ref="E87:E102" si="18">D87-(C87*I$22+I$21)</f>
        <v>#REF!</v>
      </c>
      <c r="F87" s="3" t="e">
        <f t="shared" ref="F87:F102" si="19">A$1*E87/A$2</f>
        <v>#REF!</v>
      </c>
    </row>
    <row r="88" spans="1:7" x14ac:dyDescent="0.25">
      <c r="A88" t="e">
        <f>Data!#REF!</f>
        <v>#REF!</v>
      </c>
      <c r="B88" s="2" t="e">
        <f>Data!#REF!*Data!#REF!</f>
        <v>#REF!</v>
      </c>
      <c r="C88" s="11" t="e">
        <f t="shared" si="17"/>
        <v>#REF!</v>
      </c>
      <c r="D88" s="2" t="e">
        <f>Data!#REF!</f>
        <v>#REF!</v>
      </c>
      <c r="E88" s="11" t="e">
        <f t="shared" si="18"/>
        <v>#REF!</v>
      </c>
      <c r="F88" s="3" t="e">
        <f t="shared" si="19"/>
        <v>#REF!</v>
      </c>
      <c r="G88" s="3" t="e">
        <f>AVERAGE(F88:F90)</f>
        <v>#REF!</v>
      </c>
    </row>
    <row r="89" spans="1:7" x14ac:dyDescent="0.25">
      <c r="B89" s="2" t="e">
        <f>Data!#REF!*Data!#REF!</f>
        <v>#REF!</v>
      </c>
      <c r="C89" s="11" t="e">
        <f t="shared" si="17"/>
        <v>#REF!</v>
      </c>
      <c r="D89" s="2" t="e">
        <f>Data!#REF!</f>
        <v>#REF!</v>
      </c>
      <c r="E89" s="11" t="e">
        <f t="shared" si="18"/>
        <v>#REF!</v>
      </c>
      <c r="F89" s="3" t="e">
        <f t="shared" si="19"/>
        <v>#REF!</v>
      </c>
    </row>
    <row r="90" spans="1:7" x14ac:dyDescent="0.25">
      <c r="B90" s="2" t="e">
        <f>Data!#REF!*Data!#REF!</f>
        <v>#REF!</v>
      </c>
      <c r="C90" s="11" t="e">
        <f t="shared" si="17"/>
        <v>#REF!</v>
      </c>
      <c r="D90" s="2" t="e">
        <f>Data!#REF!</f>
        <v>#REF!</v>
      </c>
      <c r="E90" s="11" t="e">
        <f t="shared" si="18"/>
        <v>#REF!</v>
      </c>
      <c r="F90" s="3" t="e">
        <f t="shared" si="19"/>
        <v>#REF!</v>
      </c>
    </row>
    <row r="91" spans="1:7" x14ac:dyDescent="0.25">
      <c r="A91" t="e">
        <f>Data!#REF!</f>
        <v>#REF!</v>
      </c>
      <c r="B91" s="2" t="e">
        <f>Data!#REF!*Data!#REF!</f>
        <v>#REF!</v>
      </c>
      <c r="C91" s="11" t="e">
        <f t="shared" si="17"/>
        <v>#REF!</v>
      </c>
      <c r="D91" s="2" t="e">
        <f>Data!#REF!</f>
        <v>#REF!</v>
      </c>
      <c r="E91" s="11" t="e">
        <f t="shared" si="18"/>
        <v>#REF!</v>
      </c>
      <c r="F91" s="3" t="e">
        <f t="shared" si="19"/>
        <v>#REF!</v>
      </c>
      <c r="G91" s="3" t="e">
        <f>AVERAGE(F91:F93)</f>
        <v>#REF!</v>
      </c>
    </row>
    <row r="92" spans="1:7" x14ac:dyDescent="0.25">
      <c r="B92" s="2" t="e">
        <f>Data!#REF!*Data!#REF!</f>
        <v>#REF!</v>
      </c>
      <c r="C92" s="11" t="e">
        <f t="shared" si="17"/>
        <v>#REF!</v>
      </c>
      <c r="D92" s="2" t="e">
        <f>Data!#REF!</f>
        <v>#REF!</v>
      </c>
      <c r="E92" s="11" t="e">
        <f t="shared" si="18"/>
        <v>#REF!</v>
      </c>
      <c r="F92" s="3" t="e">
        <f t="shared" si="19"/>
        <v>#REF!</v>
      </c>
    </row>
    <row r="93" spans="1:7" x14ac:dyDescent="0.25">
      <c r="B93" s="2" t="e">
        <f>Data!#REF!*Data!#REF!</f>
        <v>#REF!</v>
      </c>
      <c r="C93" s="11" t="e">
        <f t="shared" si="17"/>
        <v>#REF!</v>
      </c>
      <c r="D93" s="2" t="e">
        <f>Data!#REF!</f>
        <v>#REF!</v>
      </c>
      <c r="E93" s="11" t="e">
        <f t="shared" si="18"/>
        <v>#REF!</v>
      </c>
      <c r="F93" s="3" t="e">
        <f t="shared" si="19"/>
        <v>#REF!</v>
      </c>
    </row>
    <row r="94" spans="1:7" x14ac:dyDescent="0.25">
      <c r="A94" t="e">
        <f>Data!#REF!</f>
        <v>#REF!</v>
      </c>
      <c r="B94" s="2" t="e">
        <f>Data!#REF!*Data!#REF!</f>
        <v>#REF!</v>
      </c>
      <c r="C94" s="11" t="e">
        <f t="shared" si="17"/>
        <v>#REF!</v>
      </c>
      <c r="D94" s="2" t="e">
        <f>Data!#REF!</f>
        <v>#REF!</v>
      </c>
      <c r="E94" s="11" t="e">
        <f t="shared" si="18"/>
        <v>#REF!</v>
      </c>
      <c r="F94" s="3" t="e">
        <f t="shared" si="19"/>
        <v>#REF!</v>
      </c>
      <c r="G94" s="3" t="e">
        <f>AVERAGE(F94:F96)</f>
        <v>#REF!</v>
      </c>
    </row>
    <row r="95" spans="1:7" x14ac:dyDescent="0.25">
      <c r="B95" s="2" t="e">
        <f>Data!#REF!*Data!#REF!</f>
        <v>#REF!</v>
      </c>
      <c r="C95" s="11" t="e">
        <f t="shared" si="17"/>
        <v>#REF!</v>
      </c>
      <c r="D95" s="2" t="e">
        <f>Data!#REF!</f>
        <v>#REF!</v>
      </c>
      <c r="E95" s="11" t="e">
        <f t="shared" si="18"/>
        <v>#REF!</v>
      </c>
      <c r="F95" s="3" t="e">
        <f t="shared" si="19"/>
        <v>#REF!</v>
      </c>
    </row>
    <row r="96" spans="1:7" x14ac:dyDescent="0.25">
      <c r="B96" s="2" t="e">
        <f>Data!#REF!*Data!#REF!</f>
        <v>#REF!</v>
      </c>
      <c r="C96" s="11" t="e">
        <f t="shared" si="17"/>
        <v>#REF!</v>
      </c>
      <c r="D96" s="2" t="e">
        <f>Data!#REF!</f>
        <v>#REF!</v>
      </c>
      <c r="E96" s="11" t="e">
        <f t="shared" si="18"/>
        <v>#REF!</v>
      </c>
      <c r="F96" s="3" t="e">
        <f t="shared" si="19"/>
        <v>#REF!</v>
      </c>
    </row>
    <row r="97" spans="1:7" x14ac:dyDescent="0.25">
      <c r="A97" t="e">
        <f>Data!#REF!</f>
        <v>#REF!</v>
      </c>
      <c r="B97" s="2" t="e">
        <f>Data!#REF!*Data!#REF!</f>
        <v>#REF!</v>
      </c>
      <c r="C97" s="11" t="e">
        <f t="shared" si="17"/>
        <v>#REF!</v>
      </c>
      <c r="D97" s="2" t="e">
        <f>Data!#REF!</f>
        <v>#REF!</v>
      </c>
      <c r="E97" s="11" t="e">
        <f t="shared" si="18"/>
        <v>#REF!</v>
      </c>
      <c r="F97" s="3" t="e">
        <f t="shared" si="19"/>
        <v>#REF!</v>
      </c>
      <c r="G97" s="3" t="e">
        <f>AVERAGE(F97:F99)</f>
        <v>#REF!</v>
      </c>
    </row>
    <row r="98" spans="1:7" x14ac:dyDescent="0.25">
      <c r="B98" s="2" t="e">
        <f>Data!#REF!*Data!#REF!</f>
        <v>#REF!</v>
      </c>
      <c r="C98" s="11" t="e">
        <f t="shared" si="17"/>
        <v>#REF!</v>
      </c>
      <c r="D98" s="2" t="e">
        <f>Data!#REF!</f>
        <v>#REF!</v>
      </c>
      <c r="E98" s="11" t="e">
        <f t="shared" si="18"/>
        <v>#REF!</v>
      </c>
      <c r="F98" s="3" t="e">
        <f t="shared" si="19"/>
        <v>#REF!</v>
      </c>
    </row>
    <row r="99" spans="1:7" x14ac:dyDescent="0.25">
      <c r="B99" s="2" t="e">
        <f>Data!#REF!*Data!#REF!</f>
        <v>#REF!</v>
      </c>
      <c r="C99" s="11" t="e">
        <f t="shared" si="17"/>
        <v>#REF!</v>
      </c>
      <c r="D99" s="2" t="e">
        <f>Data!#REF!</f>
        <v>#REF!</v>
      </c>
      <c r="E99" s="11" t="e">
        <f t="shared" si="18"/>
        <v>#REF!</v>
      </c>
      <c r="F99" s="3" t="e">
        <f t="shared" si="19"/>
        <v>#REF!</v>
      </c>
    </row>
    <row r="100" spans="1:7" x14ac:dyDescent="0.25">
      <c r="A100" t="e">
        <f>Data!#REF!</f>
        <v>#REF!</v>
      </c>
      <c r="B100" s="2" t="e">
        <f>Data!#REF!*Data!#REF!</f>
        <v>#REF!</v>
      </c>
      <c r="C100" s="11" t="e">
        <f t="shared" si="17"/>
        <v>#REF!</v>
      </c>
      <c r="D100" s="2" t="e">
        <f>Data!#REF!</f>
        <v>#REF!</v>
      </c>
      <c r="E100" s="11" t="e">
        <f t="shared" si="18"/>
        <v>#REF!</v>
      </c>
      <c r="F100" s="3" t="e">
        <f t="shared" si="19"/>
        <v>#REF!</v>
      </c>
      <c r="G100" s="3" t="e">
        <f>AVERAGE(F100:F102)</f>
        <v>#REF!</v>
      </c>
    </row>
    <row r="101" spans="1:7" x14ac:dyDescent="0.25">
      <c r="B101" s="2" t="e">
        <f>Data!#REF!*Data!#REF!</f>
        <v>#REF!</v>
      </c>
      <c r="C101" s="11" t="e">
        <f t="shared" si="17"/>
        <v>#REF!</v>
      </c>
      <c r="D101" s="2" t="e">
        <f>Data!#REF!</f>
        <v>#REF!</v>
      </c>
      <c r="E101" s="11" t="e">
        <f t="shared" si="18"/>
        <v>#REF!</v>
      </c>
      <c r="F101" s="3" t="e">
        <f t="shared" si="19"/>
        <v>#REF!</v>
      </c>
    </row>
    <row r="102" spans="1:7" x14ac:dyDescent="0.25">
      <c r="B102" s="2" t="e">
        <f>Data!#REF!*Data!#REF!</f>
        <v>#REF!</v>
      </c>
      <c r="C102" s="11" t="e">
        <f t="shared" si="17"/>
        <v>#REF!</v>
      </c>
      <c r="D102" s="2" t="e">
        <f>Data!#REF!</f>
        <v>#REF!</v>
      </c>
      <c r="E102" s="11" t="e">
        <f t="shared" si="18"/>
        <v>#REF!</v>
      </c>
      <c r="F102" s="3" t="e">
        <f t="shared" si="19"/>
        <v>#REF!</v>
      </c>
    </row>
    <row r="103" spans="1:7" x14ac:dyDescent="0.25">
      <c r="A103" t="e">
        <f>Data!#REF!</f>
        <v>#REF!</v>
      </c>
      <c r="B103" s="2" t="e">
        <f>Data!#REF!*Data!#REF!</f>
        <v>#REF!</v>
      </c>
      <c r="C103" s="11" t="e">
        <f t="shared" ref="C103:C108" si="20">SQRT(B103)</f>
        <v>#REF!</v>
      </c>
      <c r="D103" s="2" t="e">
        <f>Data!#REF!</f>
        <v>#REF!</v>
      </c>
      <c r="E103" s="11" t="e">
        <f t="shared" ref="E103:E108" si="21">D103-(C103*I$22+I$21)</f>
        <v>#REF!</v>
      </c>
      <c r="F103" s="3" t="e">
        <f t="shared" ref="F103:F108" si="22">A$1*E103/A$2</f>
        <v>#REF!</v>
      </c>
      <c r="G103" s="3" t="e">
        <f>AVERAGE(F103:F105)</f>
        <v>#REF!</v>
      </c>
    </row>
    <row r="104" spans="1:7" x14ac:dyDescent="0.25">
      <c r="B104" s="2" t="e">
        <f>Data!#REF!*Data!#REF!</f>
        <v>#REF!</v>
      </c>
      <c r="C104" s="11" t="e">
        <f t="shared" si="20"/>
        <v>#REF!</v>
      </c>
      <c r="D104" s="2" t="e">
        <f>Data!#REF!</f>
        <v>#REF!</v>
      </c>
      <c r="E104" s="11" t="e">
        <f t="shared" si="21"/>
        <v>#REF!</v>
      </c>
      <c r="F104" s="3" t="e">
        <f t="shared" si="22"/>
        <v>#REF!</v>
      </c>
    </row>
    <row r="105" spans="1:7" x14ac:dyDescent="0.25">
      <c r="B105" s="2" t="e">
        <f>Data!#REF!*Data!#REF!</f>
        <v>#REF!</v>
      </c>
      <c r="C105" s="11" t="e">
        <f t="shared" si="20"/>
        <v>#REF!</v>
      </c>
      <c r="D105" s="2" t="e">
        <f>Data!#REF!</f>
        <v>#REF!</v>
      </c>
      <c r="E105" s="11" t="e">
        <f t="shared" si="21"/>
        <v>#REF!</v>
      </c>
      <c r="F105" s="3" t="e">
        <f t="shared" si="22"/>
        <v>#REF!</v>
      </c>
    </row>
    <row r="106" spans="1:7" x14ac:dyDescent="0.25">
      <c r="A106" t="e">
        <f>Data!#REF!</f>
        <v>#REF!</v>
      </c>
      <c r="B106" s="2" t="e">
        <f>Data!#REF!*Data!#REF!</f>
        <v>#REF!</v>
      </c>
      <c r="C106" s="11" t="e">
        <f t="shared" si="20"/>
        <v>#REF!</v>
      </c>
      <c r="D106" s="2" t="e">
        <f>Data!#REF!</f>
        <v>#REF!</v>
      </c>
      <c r="E106" s="11" t="e">
        <f t="shared" si="21"/>
        <v>#REF!</v>
      </c>
      <c r="F106" s="3" t="e">
        <f t="shared" si="22"/>
        <v>#REF!</v>
      </c>
      <c r="G106" s="3" t="e">
        <f>AVERAGE(F106:F108)</f>
        <v>#REF!</v>
      </c>
    </row>
    <row r="107" spans="1:7" x14ac:dyDescent="0.25">
      <c r="B107" s="2" t="e">
        <f>Data!#REF!*Data!#REF!</f>
        <v>#REF!</v>
      </c>
      <c r="C107" s="11" t="e">
        <f t="shared" si="20"/>
        <v>#REF!</v>
      </c>
      <c r="D107" s="2" t="e">
        <f>Data!#REF!</f>
        <v>#REF!</v>
      </c>
      <c r="E107" s="11" t="e">
        <f t="shared" si="21"/>
        <v>#REF!</v>
      </c>
      <c r="F107" s="3" t="e">
        <f t="shared" si="22"/>
        <v>#REF!</v>
      </c>
    </row>
    <row r="108" spans="1:7" x14ac:dyDescent="0.25">
      <c r="B108" s="2" t="e">
        <f>Data!#REF!*Data!#REF!</f>
        <v>#REF!</v>
      </c>
      <c r="C108" s="11" t="e">
        <f t="shared" si="20"/>
        <v>#REF!</v>
      </c>
      <c r="D108" s="2" t="e">
        <f>Data!#REF!</f>
        <v>#REF!</v>
      </c>
      <c r="E108" s="11" t="e">
        <f t="shared" si="21"/>
        <v>#REF!</v>
      </c>
      <c r="F108" s="3" t="e">
        <f t="shared" si="22"/>
        <v>#REF!</v>
      </c>
    </row>
    <row r="109" spans="1:7" x14ac:dyDescent="0.25">
      <c r="A109" t="e">
        <f>Data!#REF!</f>
        <v>#REF!</v>
      </c>
      <c r="B109" s="2" t="e">
        <f>Data!#REF!*Data!#REF!</f>
        <v>#REF!</v>
      </c>
      <c r="C109" s="11" t="e">
        <f t="shared" ref="C109:C114" si="23">SQRT(B109)</f>
        <v>#REF!</v>
      </c>
      <c r="D109" s="2" t="e">
        <f>Data!#REF!</f>
        <v>#REF!</v>
      </c>
      <c r="E109" s="11" t="e">
        <f t="shared" ref="E109:E114" si="24">D109-(C109*I$22+I$21)</f>
        <v>#REF!</v>
      </c>
      <c r="F109" s="3" t="e">
        <f t="shared" ref="F109:F114" si="25">A$1*E109/A$2</f>
        <v>#REF!</v>
      </c>
      <c r="G109" s="3" t="e">
        <f>AVERAGE(F109:F111)</f>
        <v>#REF!</v>
      </c>
    </row>
    <row r="110" spans="1:7" x14ac:dyDescent="0.25">
      <c r="B110" s="2" t="e">
        <f>Data!#REF!*Data!#REF!</f>
        <v>#REF!</v>
      </c>
      <c r="C110" s="11" t="e">
        <f t="shared" si="23"/>
        <v>#REF!</v>
      </c>
      <c r="D110" s="2" t="e">
        <f>Data!#REF!</f>
        <v>#REF!</v>
      </c>
      <c r="E110" s="11" t="e">
        <f t="shared" si="24"/>
        <v>#REF!</v>
      </c>
      <c r="F110" s="3" t="e">
        <f t="shared" si="25"/>
        <v>#REF!</v>
      </c>
    </row>
    <row r="111" spans="1:7" x14ac:dyDescent="0.25">
      <c r="B111" s="2" t="e">
        <f>Data!#REF!*Data!#REF!</f>
        <v>#REF!</v>
      </c>
      <c r="C111" s="11" t="e">
        <f t="shared" si="23"/>
        <v>#REF!</v>
      </c>
      <c r="D111" s="2" t="e">
        <f>Data!#REF!</f>
        <v>#REF!</v>
      </c>
      <c r="E111" s="11" t="e">
        <f t="shared" si="24"/>
        <v>#REF!</v>
      </c>
      <c r="F111" s="3" t="e">
        <f t="shared" si="25"/>
        <v>#REF!</v>
      </c>
    </row>
    <row r="112" spans="1:7" x14ac:dyDescent="0.25">
      <c r="A112">
        <f>Data!A8</f>
        <v>20</v>
      </c>
      <c r="B112" s="2">
        <f>Data!C8*Data!G8</f>
        <v>2.1357880760040003E-9</v>
      </c>
      <c r="C112" s="11">
        <f t="shared" si="23"/>
        <v>4.6214587264239416E-5</v>
      </c>
      <c r="D112" s="2">
        <f>Data!E8</f>
        <v>6.3299420000000003E-12</v>
      </c>
      <c r="E112" s="11">
        <f t="shared" si="24"/>
        <v>-8.0212823760470119E-9</v>
      </c>
      <c r="F112" s="3" t="e">
        <f t="shared" si="25"/>
        <v>#REF!</v>
      </c>
      <c r="G112" s="3" t="e">
        <f>AVERAGE(F112:F114)</f>
        <v>#REF!</v>
      </c>
    </row>
    <row r="113" spans="1:7" x14ac:dyDescent="0.25">
      <c r="B113" s="2">
        <f>Data!C9*Data!G9</f>
        <v>2.1354947584440002E-9</v>
      </c>
      <c r="C113" s="11">
        <f t="shared" si="23"/>
        <v>4.6211413724793142E-5</v>
      </c>
      <c r="D113" s="2">
        <f>Data!E9</f>
        <v>6.3295419999999996E-12</v>
      </c>
      <c r="E113" s="11">
        <f t="shared" si="24"/>
        <v>-8.0207317815185633E-9</v>
      </c>
      <c r="F113" s="3" t="e">
        <f t="shared" si="25"/>
        <v>#REF!</v>
      </c>
    </row>
    <row r="114" spans="1:7" x14ac:dyDescent="0.25">
      <c r="B114" s="2">
        <f>Data!C10*Data!G10</f>
        <v>2.1359570954399998E-9</v>
      </c>
      <c r="C114" s="11">
        <f t="shared" si="23"/>
        <v>4.6216415865361088E-5</v>
      </c>
      <c r="D114" s="2">
        <f>Data!E10</f>
        <v>6.3286290000000001E-12</v>
      </c>
      <c r="E114" s="11">
        <f t="shared" si="24"/>
        <v>-8.0216011734299273E-9</v>
      </c>
      <c r="F114" s="3" t="e">
        <f t="shared" si="25"/>
        <v>#REF!</v>
      </c>
    </row>
    <row r="115" spans="1:7" x14ac:dyDescent="0.25">
      <c r="A115">
        <f>Data!A23</f>
        <v>20</v>
      </c>
      <c r="B115" s="2">
        <f>Data!C23*Data!G23</f>
        <v>2.1062779167209999E-9</v>
      </c>
      <c r="C115" s="11">
        <f t="shared" ref="C115:C132" si="26">SQRT(B115)</f>
        <v>4.5894203519845512E-5</v>
      </c>
      <c r="D115" s="2">
        <f>Data!E23</f>
        <v>6.2516780000000003E-12</v>
      </c>
      <c r="E115" s="11">
        <f t="shared" ref="E115:E132" si="27">D115-(C115*I$22+I$21)</f>
        <v>-7.9657351489656677E-9</v>
      </c>
      <c r="F115" s="3" t="e">
        <f t="shared" ref="F115:F132" si="28">A$1*E115/A$2</f>
        <v>#REF!</v>
      </c>
      <c r="G115" s="3" t="e">
        <f>AVERAGE(F115:F117)</f>
        <v>#REF!</v>
      </c>
    </row>
    <row r="116" spans="1:7" x14ac:dyDescent="0.25">
      <c r="B116" s="2">
        <f>Data!C24*Data!G24</f>
        <v>2.10688083768E-9</v>
      </c>
      <c r="C116" s="11">
        <f t="shared" si="26"/>
        <v>4.5900771645801338E-5</v>
      </c>
      <c r="D116" s="2">
        <f>Data!E24</f>
        <v>6.2481290000000002E-12</v>
      </c>
      <c r="E116" s="11">
        <f t="shared" si="27"/>
        <v>-7.9668790655347793E-9</v>
      </c>
      <c r="F116" s="3" t="e">
        <f t="shared" si="28"/>
        <v>#REF!</v>
      </c>
    </row>
    <row r="117" spans="1:7" x14ac:dyDescent="0.25">
      <c r="B117" s="2">
        <f>Data!C25*Data!G25</f>
        <v>2.1071804224760001E-9</v>
      </c>
      <c r="C117" s="11">
        <f t="shared" si="26"/>
        <v>4.5904034925875525E-5</v>
      </c>
      <c r="D117" s="2">
        <f>Data!E25</f>
        <v>6.2469359999999997E-12</v>
      </c>
      <c r="E117" s="11">
        <f t="shared" si="27"/>
        <v>-7.9674468339614002E-9</v>
      </c>
      <c r="F117" s="3" t="e">
        <f t="shared" si="28"/>
        <v>#REF!</v>
      </c>
    </row>
    <row r="118" spans="1:7" x14ac:dyDescent="0.25">
      <c r="A118">
        <f>Data!A26</f>
        <v>30</v>
      </c>
      <c r="B118" s="2">
        <f>Data!C26*Data!G26</f>
        <v>1.8495920336850001E-9</v>
      </c>
      <c r="C118" s="11">
        <f t="shared" si="26"/>
        <v>4.3006883561646266E-5</v>
      </c>
      <c r="D118" s="2">
        <f>Data!E26</f>
        <v>5.3023630000000002E-12</v>
      </c>
      <c r="E118" s="11">
        <f t="shared" si="27"/>
        <v>-7.4653837787900246E-9</v>
      </c>
      <c r="F118" s="3" t="e">
        <f t="shared" si="28"/>
        <v>#REF!</v>
      </c>
      <c r="G118" s="3" t="e">
        <f>AVERAGE(F118:F120)</f>
        <v>#REF!</v>
      </c>
    </row>
    <row r="119" spans="1:7" x14ac:dyDescent="0.25">
      <c r="B119" s="2">
        <f>Data!C27*Data!G27</f>
        <v>1.8460060221360003E-9</v>
      </c>
      <c r="C119" s="11">
        <f t="shared" si="26"/>
        <v>4.296517219953855E-5</v>
      </c>
      <c r="D119" s="2">
        <f>Data!E27</f>
        <v>5.2952150000000001E-12</v>
      </c>
      <c r="E119" s="11">
        <f t="shared" si="27"/>
        <v>-7.4581489395122283E-9</v>
      </c>
      <c r="F119" s="3" t="e">
        <f t="shared" si="28"/>
        <v>#REF!</v>
      </c>
    </row>
    <row r="120" spans="1:7" x14ac:dyDescent="0.25">
      <c r="B120" s="2">
        <f>Data!C28*Data!G28</f>
        <v>1.8454205811899999E-9</v>
      </c>
      <c r="C120" s="11">
        <f t="shared" si="26"/>
        <v>4.295835868826927E-5</v>
      </c>
      <c r="D120" s="2">
        <f>Data!E28</f>
        <v>5.293078E-12</v>
      </c>
      <c r="E120" s="11">
        <f t="shared" si="27"/>
        <v>-7.4569681047885568E-9</v>
      </c>
      <c r="F120" s="3" t="e">
        <f t="shared" si="28"/>
        <v>#REF!</v>
      </c>
    </row>
    <row r="121" spans="1:7" x14ac:dyDescent="0.25">
      <c r="A121" t="e">
        <f>Data!#REF!</f>
        <v>#REF!</v>
      </c>
      <c r="B121" s="2" t="e">
        <f>Data!#REF!*Data!#REF!</f>
        <v>#REF!</v>
      </c>
      <c r="C121" s="11" t="e">
        <f t="shared" si="26"/>
        <v>#REF!</v>
      </c>
      <c r="D121" s="2" t="e">
        <f>Data!#REF!</f>
        <v>#REF!</v>
      </c>
      <c r="E121" s="11" t="e">
        <f t="shared" si="27"/>
        <v>#REF!</v>
      </c>
      <c r="F121" s="3" t="e">
        <f t="shared" si="28"/>
        <v>#REF!</v>
      </c>
      <c r="G121" s="3" t="e">
        <f>AVERAGE(F121:F123)</f>
        <v>#REF!</v>
      </c>
    </row>
    <row r="122" spans="1:7" x14ac:dyDescent="0.25">
      <c r="B122" s="2" t="e">
        <f>Data!#REF!*Data!#REF!</f>
        <v>#REF!</v>
      </c>
      <c r="C122" s="11" t="e">
        <f t="shared" si="26"/>
        <v>#REF!</v>
      </c>
      <c r="D122" s="2" t="e">
        <f>Data!#REF!</f>
        <v>#REF!</v>
      </c>
      <c r="E122" s="11" t="e">
        <f t="shared" si="27"/>
        <v>#REF!</v>
      </c>
      <c r="F122" s="3" t="e">
        <f t="shared" si="28"/>
        <v>#REF!</v>
      </c>
    </row>
    <row r="123" spans="1:7" x14ac:dyDescent="0.25">
      <c r="B123" s="2" t="e">
        <f>Data!#REF!*Data!#REF!</f>
        <v>#REF!</v>
      </c>
      <c r="C123" s="11" t="e">
        <f t="shared" si="26"/>
        <v>#REF!</v>
      </c>
      <c r="D123" s="2" t="e">
        <f>Data!#REF!</f>
        <v>#REF!</v>
      </c>
      <c r="E123" s="11" t="e">
        <f t="shared" si="27"/>
        <v>#REF!</v>
      </c>
      <c r="F123" s="3" t="e">
        <f t="shared" si="28"/>
        <v>#REF!</v>
      </c>
    </row>
    <row r="124" spans="1:7" x14ac:dyDescent="0.25">
      <c r="A124" t="e">
        <f>Data!#REF!</f>
        <v>#REF!</v>
      </c>
      <c r="B124" s="2" t="e">
        <f>Data!#REF!*Data!#REF!</f>
        <v>#REF!</v>
      </c>
      <c r="C124" s="11" t="e">
        <f t="shared" si="26"/>
        <v>#REF!</v>
      </c>
      <c r="D124" s="2" t="e">
        <f>Data!#REF!</f>
        <v>#REF!</v>
      </c>
      <c r="E124" s="11" t="e">
        <f t="shared" si="27"/>
        <v>#REF!</v>
      </c>
      <c r="F124" s="3" t="e">
        <f t="shared" si="28"/>
        <v>#REF!</v>
      </c>
      <c r="G124" s="3" t="e">
        <f>AVERAGE(F124:F126)</f>
        <v>#REF!</v>
      </c>
    </row>
    <row r="125" spans="1:7" x14ac:dyDescent="0.25">
      <c r="B125" s="2" t="e">
        <f>Data!#REF!*Data!#REF!</f>
        <v>#REF!</v>
      </c>
      <c r="C125" s="11" t="e">
        <f t="shared" si="26"/>
        <v>#REF!</v>
      </c>
      <c r="D125" s="2" t="e">
        <f>Data!#REF!</f>
        <v>#REF!</v>
      </c>
      <c r="E125" s="11" t="e">
        <f t="shared" si="27"/>
        <v>#REF!</v>
      </c>
      <c r="F125" s="3" t="e">
        <f t="shared" si="28"/>
        <v>#REF!</v>
      </c>
    </row>
    <row r="126" spans="1:7" x14ac:dyDescent="0.25">
      <c r="B126" s="2" t="e">
        <f>Data!#REF!*Data!#REF!</f>
        <v>#REF!</v>
      </c>
      <c r="C126" s="11" t="e">
        <f t="shared" si="26"/>
        <v>#REF!</v>
      </c>
      <c r="D126" s="2" t="e">
        <f>Data!#REF!</f>
        <v>#REF!</v>
      </c>
      <c r="E126" s="11" t="e">
        <f t="shared" si="27"/>
        <v>#REF!</v>
      </c>
      <c r="F126" s="3" t="e">
        <f t="shared" si="28"/>
        <v>#REF!</v>
      </c>
    </row>
    <row r="127" spans="1:7" x14ac:dyDescent="0.25">
      <c r="A127" t="e">
        <f>Data!#REF!</f>
        <v>#REF!</v>
      </c>
      <c r="B127" s="2" t="e">
        <f>Data!#REF!*Data!#REF!</f>
        <v>#REF!</v>
      </c>
      <c r="C127" s="11" t="e">
        <f t="shared" si="26"/>
        <v>#REF!</v>
      </c>
      <c r="D127" s="2" t="e">
        <f>Data!#REF!</f>
        <v>#REF!</v>
      </c>
      <c r="E127" s="11" t="e">
        <f t="shared" si="27"/>
        <v>#REF!</v>
      </c>
      <c r="F127" s="3" t="e">
        <f t="shared" si="28"/>
        <v>#REF!</v>
      </c>
      <c r="G127" s="3" t="e">
        <f>AVERAGE(F127:F129)</f>
        <v>#REF!</v>
      </c>
    </row>
    <row r="128" spans="1:7" x14ac:dyDescent="0.25">
      <c r="B128" s="2" t="e">
        <f>Data!#REF!*Data!#REF!</f>
        <v>#REF!</v>
      </c>
      <c r="C128" s="11" t="e">
        <f t="shared" si="26"/>
        <v>#REF!</v>
      </c>
      <c r="D128" s="2" t="e">
        <f>Data!#REF!</f>
        <v>#REF!</v>
      </c>
      <c r="E128" s="11" t="e">
        <f t="shared" si="27"/>
        <v>#REF!</v>
      </c>
      <c r="F128" s="3" t="e">
        <f t="shared" si="28"/>
        <v>#REF!</v>
      </c>
    </row>
    <row r="129" spans="1:7" x14ac:dyDescent="0.25">
      <c r="B129" s="2" t="e">
        <f>Data!#REF!*Data!#REF!</f>
        <v>#REF!</v>
      </c>
      <c r="C129" s="11" t="e">
        <f t="shared" si="26"/>
        <v>#REF!</v>
      </c>
      <c r="D129" s="2" t="e">
        <f>Data!#REF!</f>
        <v>#REF!</v>
      </c>
      <c r="E129" s="11" t="e">
        <f t="shared" si="27"/>
        <v>#REF!</v>
      </c>
      <c r="F129" s="3" t="e">
        <f t="shared" si="28"/>
        <v>#REF!</v>
      </c>
    </row>
    <row r="130" spans="1:7" x14ac:dyDescent="0.25">
      <c r="A130" t="e">
        <f>Data!#REF!</f>
        <v>#REF!</v>
      </c>
      <c r="B130" s="2" t="e">
        <f>Data!#REF!*Data!#REF!</f>
        <v>#REF!</v>
      </c>
      <c r="C130" s="11" t="e">
        <f t="shared" si="26"/>
        <v>#REF!</v>
      </c>
      <c r="D130" s="2" t="e">
        <f>Data!#REF!</f>
        <v>#REF!</v>
      </c>
      <c r="E130" s="11" t="e">
        <f t="shared" si="27"/>
        <v>#REF!</v>
      </c>
      <c r="F130" s="3" t="e">
        <f t="shared" si="28"/>
        <v>#REF!</v>
      </c>
      <c r="G130" s="3" t="e">
        <f>AVERAGE(F130:F132)</f>
        <v>#REF!</v>
      </c>
    </row>
    <row r="131" spans="1:7" x14ac:dyDescent="0.25">
      <c r="B131" s="2" t="e">
        <f>Data!#REF!*Data!#REF!</f>
        <v>#REF!</v>
      </c>
      <c r="C131" s="11" t="e">
        <f t="shared" si="26"/>
        <v>#REF!</v>
      </c>
      <c r="D131" s="2" t="e">
        <f>Data!#REF!</f>
        <v>#REF!</v>
      </c>
      <c r="E131" s="11" t="e">
        <f t="shared" si="27"/>
        <v>#REF!</v>
      </c>
      <c r="F131" s="3" t="e">
        <f t="shared" si="28"/>
        <v>#REF!</v>
      </c>
    </row>
    <row r="132" spans="1:7" x14ac:dyDescent="0.25">
      <c r="B132" s="2" t="e">
        <f>Data!#REF!*Data!#REF!</f>
        <v>#REF!</v>
      </c>
      <c r="C132" s="11" t="e">
        <f t="shared" si="26"/>
        <v>#REF!</v>
      </c>
      <c r="D132" s="2" t="e">
        <f>Data!#REF!</f>
        <v>#REF!</v>
      </c>
      <c r="E132" s="11" t="e">
        <f t="shared" si="27"/>
        <v>#REF!</v>
      </c>
      <c r="F132" s="3" t="e">
        <f t="shared" si="28"/>
        <v>#REF!</v>
      </c>
    </row>
    <row r="133" spans="1:7" x14ac:dyDescent="0.25">
      <c r="A133" t="e">
        <f>Data!#REF!</f>
        <v>#REF!</v>
      </c>
      <c r="B133" s="2" t="e">
        <f>Data!#REF!*Data!#REF!</f>
        <v>#REF!</v>
      </c>
      <c r="C133" s="11" t="e">
        <f t="shared" ref="C133:C174" si="29">SQRT(B133)</f>
        <v>#REF!</v>
      </c>
      <c r="D133" s="2" t="e">
        <f>Data!#REF!</f>
        <v>#REF!</v>
      </c>
      <c r="E133" s="11" t="e">
        <f t="shared" ref="E133:E174" si="30">D133-(C133*I$22+I$21)</f>
        <v>#REF!</v>
      </c>
      <c r="F133" s="3" t="e">
        <f t="shared" ref="F133:F174" si="31">A$1*E133/A$2</f>
        <v>#REF!</v>
      </c>
      <c r="G133" s="3" t="e">
        <f>AVERAGE(F133:F135)</f>
        <v>#REF!</v>
      </c>
    </row>
    <row r="134" spans="1:7" x14ac:dyDescent="0.25">
      <c r="B134" s="2" t="e">
        <f>Data!#REF!*Data!#REF!</f>
        <v>#REF!</v>
      </c>
      <c r="C134" s="11" t="e">
        <f t="shared" si="29"/>
        <v>#REF!</v>
      </c>
      <c r="D134" s="2" t="e">
        <f>Data!#REF!</f>
        <v>#REF!</v>
      </c>
      <c r="E134" s="11" t="e">
        <f t="shared" si="30"/>
        <v>#REF!</v>
      </c>
      <c r="F134" s="3" t="e">
        <f t="shared" si="31"/>
        <v>#REF!</v>
      </c>
    </row>
    <row r="135" spans="1:7" x14ac:dyDescent="0.25">
      <c r="B135" s="2" t="e">
        <f>Data!#REF!*Data!#REF!</f>
        <v>#REF!</v>
      </c>
      <c r="C135" s="11" t="e">
        <f t="shared" si="29"/>
        <v>#REF!</v>
      </c>
      <c r="D135" s="2" t="e">
        <f>Data!#REF!</f>
        <v>#REF!</v>
      </c>
      <c r="E135" s="11" t="e">
        <f t="shared" si="30"/>
        <v>#REF!</v>
      </c>
      <c r="F135" s="3" t="e">
        <f t="shared" si="31"/>
        <v>#REF!</v>
      </c>
    </row>
    <row r="136" spans="1:7" x14ac:dyDescent="0.25">
      <c r="A136" t="e">
        <f>Data!#REF!</f>
        <v>#REF!</v>
      </c>
      <c r="B136" s="2" t="e">
        <f>Data!#REF!*Data!#REF!</f>
        <v>#REF!</v>
      </c>
      <c r="C136" s="11" t="e">
        <f t="shared" si="29"/>
        <v>#REF!</v>
      </c>
      <c r="D136" s="2" t="e">
        <f>Data!#REF!</f>
        <v>#REF!</v>
      </c>
      <c r="E136" s="11" t="e">
        <f t="shared" si="30"/>
        <v>#REF!</v>
      </c>
      <c r="F136" s="3" t="e">
        <f t="shared" si="31"/>
        <v>#REF!</v>
      </c>
      <c r="G136" s="3" t="e">
        <f>AVERAGE(F136:F138)</f>
        <v>#REF!</v>
      </c>
    </row>
    <row r="137" spans="1:7" x14ac:dyDescent="0.25">
      <c r="B137" s="2" t="e">
        <f>Data!#REF!*Data!#REF!</f>
        <v>#REF!</v>
      </c>
      <c r="C137" s="11" t="e">
        <f t="shared" si="29"/>
        <v>#REF!</v>
      </c>
      <c r="D137" s="2" t="e">
        <f>Data!#REF!</f>
        <v>#REF!</v>
      </c>
      <c r="E137" s="11" t="e">
        <f t="shared" si="30"/>
        <v>#REF!</v>
      </c>
      <c r="F137" s="3" t="e">
        <f t="shared" si="31"/>
        <v>#REF!</v>
      </c>
    </row>
    <row r="138" spans="1:7" x14ac:dyDescent="0.25">
      <c r="B138" s="2" t="e">
        <f>Data!#REF!*Data!#REF!</f>
        <v>#REF!</v>
      </c>
      <c r="C138" s="11" t="e">
        <f t="shared" si="29"/>
        <v>#REF!</v>
      </c>
      <c r="D138" s="2" t="e">
        <f>Data!#REF!</f>
        <v>#REF!</v>
      </c>
      <c r="E138" s="11" t="e">
        <f t="shared" si="30"/>
        <v>#REF!</v>
      </c>
      <c r="F138" s="3" t="e">
        <f t="shared" si="31"/>
        <v>#REF!</v>
      </c>
    </row>
    <row r="139" spans="1:7" x14ac:dyDescent="0.25">
      <c r="A139" t="e">
        <f>Data!#REF!</f>
        <v>#REF!</v>
      </c>
      <c r="B139" s="2" t="e">
        <f>Data!#REF!*Data!#REF!</f>
        <v>#REF!</v>
      </c>
      <c r="C139" s="11" t="e">
        <f t="shared" si="29"/>
        <v>#REF!</v>
      </c>
      <c r="D139" s="2" t="e">
        <f>Data!#REF!</f>
        <v>#REF!</v>
      </c>
      <c r="E139" s="11" t="e">
        <f t="shared" si="30"/>
        <v>#REF!</v>
      </c>
      <c r="F139" s="3" t="e">
        <f t="shared" si="31"/>
        <v>#REF!</v>
      </c>
      <c r="G139" s="3" t="e">
        <f>AVERAGE(F139:F141)</f>
        <v>#REF!</v>
      </c>
    </row>
    <row r="140" spans="1:7" x14ac:dyDescent="0.25">
      <c r="B140" s="2" t="e">
        <f>Data!#REF!*Data!#REF!</f>
        <v>#REF!</v>
      </c>
      <c r="C140" s="11" t="e">
        <f t="shared" si="29"/>
        <v>#REF!</v>
      </c>
      <c r="D140" s="2" t="e">
        <f>Data!#REF!</f>
        <v>#REF!</v>
      </c>
      <c r="E140" s="11" t="e">
        <f t="shared" si="30"/>
        <v>#REF!</v>
      </c>
      <c r="F140" s="3" t="e">
        <f t="shared" si="31"/>
        <v>#REF!</v>
      </c>
    </row>
    <row r="141" spans="1:7" x14ac:dyDescent="0.25">
      <c r="B141" s="2" t="e">
        <f>Data!#REF!*Data!#REF!</f>
        <v>#REF!</v>
      </c>
      <c r="C141" s="11" t="e">
        <f t="shared" si="29"/>
        <v>#REF!</v>
      </c>
      <c r="D141" s="2" t="e">
        <f>Data!#REF!</f>
        <v>#REF!</v>
      </c>
      <c r="E141" s="11" t="e">
        <f t="shared" si="30"/>
        <v>#REF!</v>
      </c>
      <c r="F141" s="3" t="e">
        <f t="shared" si="31"/>
        <v>#REF!</v>
      </c>
    </row>
    <row r="142" spans="1:7" x14ac:dyDescent="0.25">
      <c r="A142" t="e">
        <f>Data!#REF!</f>
        <v>#REF!</v>
      </c>
      <c r="B142" s="2" t="e">
        <f>Data!#REF!*Data!#REF!</f>
        <v>#REF!</v>
      </c>
      <c r="C142" s="11" t="e">
        <f t="shared" si="29"/>
        <v>#REF!</v>
      </c>
      <c r="D142" s="2" t="e">
        <f>Data!#REF!</f>
        <v>#REF!</v>
      </c>
      <c r="E142" s="11" t="e">
        <f t="shared" si="30"/>
        <v>#REF!</v>
      </c>
      <c r="F142" s="3" t="e">
        <f t="shared" si="31"/>
        <v>#REF!</v>
      </c>
      <c r="G142" s="3" t="e">
        <f>AVERAGE(F142:F144)</f>
        <v>#REF!</v>
      </c>
    </row>
    <row r="143" spans="1:7" x14ac:dyDescent="0.25">
      <c r="B143" s="2" t="e">
        <f>Data!#REF!*Data!#REF!</f>
        <v>#REF!</v>
      </c>
      <c r="C143" s="11" t="e">
        <f t="shared" si="29"/>
        <v>#REF!</v>
      </c>
      <c r="D143" s="2" t="e">
        <f>Data!#REF!</f>
        <v>#REF!</v>
      </c>
      <c r="E143" s="11" t="e">
        <f t="shared" si="30"/>
        <v>#REF!</v>
      </c>
      <c r="F143" s="3" t="e">
        <f t="shared" si="31"/>
        <v>#REF!</v>
      </c>
    </row>
    <row r="144" spans="1:7" x14ac:dyDescent="0.25">
      <c r="B144" s="2" t="e">
        <f>Data!#REF!*Data!#REF!</f>
        <v>#REF!</v>
      </c>
      <c r="C144" s="11" t="e">
        <f t="shared" si="29"/>
        <v>#REF!</v>
      </c>
      <c r="D144" s="2" t="e">
        <f>Data!#REF!</f>
        <v>#REF!</v>
      </c>
      <c r="E144" s="11" t="e">
        <f t="shared" si="30"/>
        <v>#REF!</v>
      </c>
      <c r="F144" s="3" t="e">
        <f t="shared" si="31"/>
        <v>#REF!</v>
      </c>
    </row>
    <row r="145" spans="1:7" x14ac:dyDescent="0.25">
      <c r="A145" t="e">
        <f>Data!#REF!</f>
        <v>#REF!</v>
      </c>
      <c r="B145" s="2" t="e">
        <f>Data!#REF!*Data!#REF!</f>
        <v>#REF!</v>
      </c>
      <c r="C145" s="11" t="e">
        <f t="shared" si="29"/>
        <v>#REF!</v>
      </c>
      <c r="D145" s="2" t="e">
        <f>Data!#REF!</f>
        <v>#REF!</v>
      </c>
      <c r="E145" s="11" t="e">
        <f t="shared" si="30"/>
        <v>#REF!</v>
      </c>
      <c r="F145" s="3" t="e">
        <f t="shared" si="31"/>
        <v>#REF!</v>
      </c>
      <c r="G145" s="3" t="e">
        <f>AVERAGE(F145:F147)</f>
        <v>#REF!</v>
      </c>
    </row>
    <row r="146" spans="1:7" x14ac:dyDescent="0.25">
      <c r="B146" s="2" t="e">
        <f>Data!#REF!*Data!#REF!</f>
        <v>#REF!</v>
      </c>
      <c r="C146" s="11" t="e">
        <f t="shared" si="29"/>
        <v>#REF!</v>
      </c>
      <c r="D146" s="2" t="e">
        <f>Data!#REF!</f>
        <v>#REF!</v>
      </c>
      <c r="E146" s="11" t="e">
        <f t="shared" si="30"/>
        <v>#REF!</v>
      </c>
      <c r="F146" s="3" t="e">
        <f t="shared" si="31"/>
        <v>#REF!</v>
      </c>
    </row>
    <row r="147" spans="1:7" x14ac:dyDescent="0.25">
      <c r="B147" s="2" t="e">
        <f>Data!#REF!*Data!#REF!</f>
        <v>#REF!</v>
      </c>
      <c r="C147" s="11" t="e">
        <f t="shared" si="29"/>
        <v>#REF!</v>
      </c>
      <c r="D147" s="2" t="e">
        <f>Data!#REF!</f>
        <v>#REF!</v>
      </c>
      <c r="E147" s="11" t="e">
        <f t="shared" si="30"/>
        <v>#REF!</v>
      </c>
      <c r="F147" s="3" t="e">
        <f t="shared" si="31"/>
        <v>#REF!</v>
      </c>
    </row>
    <row r="148" spans="1:7" x14ac:dyDescent="0.25">
      <c r="A148" t="e">
        <f>Data!#REF!</f>
        <v>#REF!</v>
      </c>
      <c r="B148" s="2" t="e">
        <f>Data!#REF!*Data!#REF!</f>
        <v>#REF!</v>
      </c>
      <c r="C148" s="11" t="e">
        <f t="shared" si="29"/>
        <v>#REF!</v>
      </c>
      <c r="D148" s="2" t="e">
        <f>Data!#REF!</f>
        <v>#REF!</v>
      </c>
      <c r="E148" s="11" t="e">
        <f t="shared" si="30"/>
        <v>#REF!</v>
      </c>
      <c r="F148" s="3" t="e">
        <f t="shared" si="31"/>
        <v>#REF!</v>
      </c>
      <c r="G148" s="3" t="e">
        <f>AVERAGE(F148:F150)</f>
        <v>#REF!</v>
      </c>
    </row>
    <row r="149" spans="1:7" x14ac:dyDescent="0.25">
      <c r="B149" s="2" t="e">
        <f>Data!#REF!*Data!#REF!</f>
        <v>#REF!</v>
      </c>
      <c r="C149" s="11" t="e">
        <f t="shared" si="29"/>
        <v>#REF!</v>
      </c>
      <c r="D149" s="2" t="e">
        <f>Data!#REF!</f>
        <v>#REF!</v>
      </c>
      <c r="E149" s="11" t="e">
        <f t="shared" si="30"/>
        <v>#REF!</v>
      </c>
      <c r="F149" s="3" t="e">
        <f t="shared" si="31"/>
        <v>#REF!</v>
      </c>
    </row>
    <row r="150" spans="1:7" x14ac:dyDescent="0.25">
      <c r="B150" s="2" t="e">
        <f>Data!#REF!*Data!#REF!</f>
        <v>#REF!</v>
      </c>
      <c r="C150" s="11" t="e">
        <f t="shared" si="29"/>
        <v>#REF!</v>
      </c>
      <c r="D150" s="2" t="e">
        <f>Data!#REF!</f>
        <v>#REF!</v>
      </c>
      <c r="E150" s="11" t="e">
        <f t="shared" si="30"/>
        <v>#REF!</v>
      </c>
      <c r="F150" s="3" t="e">
        <f t="shared" si="31"/>
        <v>#REF!</v>
      </c>
    </row>
    <row r="151" spans="1:7" x14ac:dyDescent="0.25">
      <c r="A151" t="e">
        <f>Data!#REF!</f>
        <v>#REF!</v>
      </c>
      <c r="B151" s="2" t="e">
        <f>Data!#REF!*Data!#REF!</f>
        <v>#REF!</v>
      </c>
      <c r="C151" s="11" t="e">
        <f t="shared" si="29"/>
        <v>#REF!</v>
      </c>
      <c r="D151" s="2" t="e">
        <f>Data!#REF!</f>
        <v>#REF!</v>
      </c>
      <c r="E151" s="11" t="e">
        <f t="shared" si="30"/>
        <v>#REF!</v>
      </c>
      <c r="F151" s="3" t="e">
        <f t="shared" si="31"/>
        <v>#REF!</v>
      </c>
      <c r="G151" s="3" t="e">
        <f>AVERAGE(F151:F153)</f>
        <v>#REF!</v>
      </c>
    </row>
    <row r="152" spans="1:7" x14ac:dyDescent="0.25">
      <c r="B152" s="2" t="e">
        <f>Data!#REF!*Data!#REF!</f>
        <v>#REF!</v>
      </c>
      <c r="C152" s="11" t="e">
        <f t="shared" si="29"/>
        <v>#REF!</v>
      </c>
      <c r="D152" s="2" t="e">
        <f>Data!#REF!</f>
        <v>#REF!</v>
      </c>
      <c r="E152" s="11" t="e">
        <f t="shared" si="30"/>
        <v>#REF!</v>
      </c>
      <c r="F152" s="3" t="e">
        <f t="shared" si="31"/>
        <v>#REF!</v>
      </c>
    </row>
    <row r="153" spans="1:7" x14ac:dyDescent="0.25">
      <c r="B153" s="2" t="e">
        <f>Data!#REF!*Data!#REF!</f>
        <v>#REF!</v>
      </c>
      <c r="C153" s="11" t="e">
        <f t="shared" si="29"/>
        <v>#REF!</v>
      </c>
      <c r="D153" s="2" t="e">
        <f>Data!#REF!</f>
        <v>#REF!</v>
      </c>
      <c r="E153" s="11" t="e">
        <f t="shared" si="30"/>
        <v>#REF!</v>
      </c>
      <c r="F153" s="3" t="e">
        <f t="shared" si="31"/>
        <v>#REF!</v>
      </c>
    </row>
    <row r="154" spans="1:7" x14ac:dyDescent="0.25">
      <c r="A154" t="e">
        <f>Data!#REF!</f>
        <v>#REF!</v>
      </c>
      <c r="B154" s="2" t="e">
        <f>Data!#REF!*Data!#REF!</f>
        <v>#REF!</v>
      </c>
      <c r="C154" s="11" t="e">
        <f t="shared" si="29"/>
        <v>#REF!</v>
      </c>
      <c r="D154" s="2" t="e">
        <f>Data!#REF!</f>
        <v>#REF!</v>
      </c>
      <c r="E154" s="11" t="e">
        <f t="shared" si="30"/>
        <v>#REF!</v>
      </c>
      <c r="F154" s="3" t="e">
        <f t="shared" si="31"/>
        <v>#REF!</v>
      </c>
      <c r="G154" s="3" t="e">
        <f>AVERAGE(F154:F156)</f>
        <v>#REF!</v>
      </c>
    </row>
    <row r="155" spans="1:7" x14ac:dyDescent="0.25">
      <c r="B155" s="2" t="e">
        <f>Data!#REF!*Data!#REF!</f>
        <v>#REF!</v>
      </c>
      <c r="C155" s="11" t="e">
        <f t="shared" si="29"/>
        <v>#REF!</v>
      </c>
      <c r="D155" s="2" t="e">
        <f>Data!#REF!</f>
        <v>#REF!</v>
      </c>
      <c r="E155" s="11" t="e">
        <f t="shared" si="30"/>
        <v>#REF!</v>
      </c>
      <c r="F155" s="3" t="e">
        <f t="shared" si="31"/>
        <v>#REF!</v>
      </c>
    </row>
    <row r="156" spans="1:7" x14ac:dyDescent="0.25">
      <c r="B156" s="2" t="e">
        <f>Data!#REF!*Data!#REF!</f>
        <v>#REF!</v>
      </c>
      <c r="C156" s="11" t="e">
        <f t="shared" si="29"/>
        <v>#REF!</v>
      </c>
      <c r="D156" s="2" t="e">
        <f>Data!#REF!</f>
        <v>#REF!</v>
      </c>
      <c r="E156" s="11" t="e">
        <f t="shared" si="30"/>
        <v>#REF!</v>
      </c>
      <c r="F156" s="3" t="e">
        <f t="shared" si="31"/>
        <v>#REF!</v>
      </c>
    </row>
    <row r="157" spans="1:7" x14ac:dyDescent="0.25">
      <c r="A157" t="e">
        <f>Data!#REF!</f>
        <v>#REF!</v>
      </c>
      <c r="B157" s="2" t="e">
        <f>Data!#REF!*Data!#REF!</f>
        <v>#REF!</v>
      </c>
      <c r="C157" s="11" t="e">
        <f t="shared" ref="C157:C162" si="32">SQRT(B157)</f>
        <v>#REF!</v>
      </c>
      <c r="D157" s="2" t="e">
        <f>Data!#REF!</f>
        <v>#REF!</v>
      </c>
      <c r="E157" s="11" t="e">
        <f t="shared" ref="E157:E162" si="33">D157-(C157*I$22+I$21)</f>
        <v>#REF!</v>
      </c>
      <c r="F157" s="3" t="e">
        <f t="shared" ref="F157:F162" si="34">A$1*E157/A$2</f>
        <v>#REF!</v>
      </c>
      <c r="G157" s="3" t="e">
        <f>AVERAGE(F157:F159)</f>
        <v>#REF!</v>
      </c>
    </row>
    <row r="158" spans="1:7" x14ac:dyDescent="0.25">
      <c r="B158" s="2" t="e">
        <f>Data!#REF!*Data!#REF!</f>
        <v>#REF!</v>
      </c>
      <c r="C158" s="11" t="e">
        <f t="shared" si="32"/>
        <v>#REF!</v>
      </c>
      <c r="D158" s="2" t="e">
        <f>Data!#REF!</f>
        <v>#REF!</v>
      </c>
      <c r="E158" s="11" t="e">
        <f t="shared" si="33"/>
        <v>#REF!</v>
      </c>
      <c r="F158" s="3" t="e">
        <f t="shared" si="34"/>
        <v>#REF!</v>
      </c>
    </row>
    <row r="159" spans="1:7" x14ac:dyDescent="0.25">
      <c r="B159" s="2" t="e">
        <f>Data!#REF!*Data!#REF!</f>
        <v>#REF!</v>
      </c>
      <c r="C159" s="11" t="e">
        <f t="shared" si="32"/>
        <v>#REF!</v>
      </c>
      <c r="D159" s="2" t="e">
        <f>Data!#REF!</f>
        <v>#REF!</v>
      </c>
      <c r="E159" s="11" t="e">
        <f t="shared" si="33"/>
        <v>#REF!</v>
      </c>
      <c r="F159" s="3" t="e">
        <f t="shared" si="34"/>
        <v>#REF!</v>
      </c>
    </row>
    <row r="160" spans="1:7" x14ac:dyDescent="0.25">
      <c r="A160" t="e">
        <f>Data!#REF!</f>
        <v>#REF!</v>
      </c>
      <c r="B160" s="2" t="e">
        <f>Data!#REF!*Data!#REF!</f>
        <v>#REF!</v>
      </c>
      <c r="C160" s="11" t="e">
        <f t="shared" si="32"/>
        <v>#REF!</v>
      </c>
      <c r="D160" s="2" t="e">
        <f>Data!#REF!</f>
        <v>#REF!</v>
      </c>
      <c r="E160" s="11" t="e">
        <f t="shared" si="33"/>
        <v>#REF!</v>
      </c>
      <c r="F160" s="3" t="e">
        <f t="shared" si="34"/>
        <v>#REF!</v>
      </c>
      <c r="G160" s="3" t="e">
        <f>AVERAGE(F160:F162)</f>
        <v>#REF!</v>
      </c>
    </row>
    <row r="161" spans="1:7" x14ac:dyDescent="0.25">
      <c r="B161" s="2" t="e">
        <f>Data!#REF!*Data!#REF!</f>
        <v>#REF!</v>
      </c>
      <c r="C161" s="11" t="e">
        <f t="shared" si="32"/>
        <v>#REF!</v>
      </c>
      <c r="D161" s="2" t="e">
        <f>Data!#REF!</f>
        <v>#REF!</v>
      </c>
      <c r="E161" s="11" t="e">
        <f t="shared" si="33"/>
        <v>#REF!</v>
      </c>
      <c r="F161" s="3" t="e">
        <f t="shared" si="34"/>
        <v>#REF!</v>
      </c>
    </row>
    <row r="162" spans="1:7" x14ac:dyDescent="0.25">
      <c r="B162" s="2" t="e">
        <f>Data!#REF!*Data!#REF!</f>
        <v>#REF!</v>
      </c>
      <c r="C162" s="11" t="e">
        <f t="shared" si="32"/>
        <v>#REF!</v>
      </c>
      <c r="D162" s="2" t="e">
        <f>Data!#REF!</f>
        <v>#REF!</v>
      </c>
      <c r="E162" s="11" t="e">
        <f t="shared" si="33"/>
        <v>#REF!</v>
      </c>
      <c r="F162" s="3" t="e">
        <f t="shared" si="34"/>
        <v>#REF!</v>
      </c>
    </row>
    <row r="163" spans="1:7" x14ac:dyDescent="0.25">
      <c r="A163" t="e">
        <f>Data!#REF!</f>
        <v>#REF!</v>
      </c>
      <c r="B163" s="2" t="e">
        <f>Data!#REF!*Data!#REF!</f>
        <v>#REF!</v>
      </c>
      <c r="C163" s="11" t="e">
        <f t="shared" si="29"/>
        <v>#REF!</v>
      </c>
      <c r="D163" s="2" t="e">
        <f>Data!#REF!</f>
        <v>#REF!</v>
      </c>
      <c r="E163" s="11" t="e">
        <f t="shared" si="30"/>
        <v>#REF!</v>
      </c>
      <c r="F163" s="3" t="e">
        <f t="shared" si="31"/>
        <v>#REF!</v>
      </c>
      <c r="G163" s="3" t="e">
        <f>AVERAGE(F163:F165)</f>
        <v>#REF!</v>
      </c>
    </row>
    <row r="164" spans="1:7" x14ac:dyDescent="0.25">
      <c r="B164" s="2" t="e">
        <f>Data!#REF!*Data!#REF!</f>
        <v>#REF!</v>
      </c>
      <c r="C164" s="11" t="e">
        <f t="shared" si="29"/>
        <v>#REF!</v>
      </c>
      <c r="D164" s="2" t="e">
        <f>Data!#REF!</f>
        <v>#REF!</v>
      </c>
      <c r="E164" s="11" t="e">
        <f t="shared" si="30"/>
        <v>#REF!</v>
      </c>
      <c r="F164" s="3" t="e">
        <f t="shared" si="31"/>
        <v>#REF!</v>
      </c>
    </row>
    <row r="165" spans="1:7" x14ac:dyDescent="0.25">
      <c r="B165" s="2" t="e">
        <f>Data!#REF!*Data!#REF!</f>
        <v>#REF!</v>
      </c>
      <c r="C165" s="11" t="e">
        <f t="shared" si="29"/>
        <v>#REF!</v>
      </c>
      <c r="D165" s="2" t="e">
        <f>Data!#REF!</f>
        <v>#REF!</v>
      </c>
      <c r="E165" s="11" t="e">
        <f t="shared" si="30"/>
        <v>#REF!</v>
      </c>
      <c r="F165" s="3" t="e">
        <f t="shared" si="31"/>
        <v>#REF!</v>
      </c>
    </row>
    <row r="166" spans="1:7" x14ac:dyDescent="0.25">
      <c r="A166" t="e">
        <f>Data!#REF!</f>
        <v>#REF!</v>
      </c>
      <c r="B166" s="2" t="e">
        <f>Data!#REF!*Data!#REF!</f>
        <v>#REF!</v>
      </c>
      <c r="C166" s="11" t="e">
        <f t="shared" si="29"/>
        <v>#REF!</v>
      </c>
      <c r="D166" s="2" t="e">
        <f>Data!#REF!</f>
        <v>#REF!</v>
      </c>
      <c r="E166" s="11" t="e">
        <f t="shared" si="30"/>
        <v>#REF!</v>
      </c>
      <c r="F166" s="3" t="e">
        <f t="shared" si="31"/>
        <v>#REF!</v>
      </c>
      <c r="G166" s="3" t="e">
        <f>AVERAGE(F166:F168)</f>
        <v>#REF!</v>
      </c>
    </row>
    <row r="167" spans="1:7" x14ac:dyDescent="0.25">
      <c r="B167" s="2" t="e">
        <f>Data!#REF!*Data!#REF!</f>
        <v>#REF!</v>
      </c>
      <c r="C167" s="11" t="e">
        <f t="shared" si="29"/>
        <v>#REF!</v>
      </c>
      <c r="D167" s="2" t="e">
        <f>Data!#REF!</f>
        <v>#REF!</v>
      </c>
      <c r="E167" s="11" t="e">
        <f t="shared" si="30"/>
        <v>#REF!</v>
      </c>
      <c r="F167" s="3" t="e">
        <f t="shared" si="31"/>
        <v>#REF!</v>
      </c>
    </row>
    <row r="168" spans="1:7" x14ac:dyDescent="0.25">
      <c r="B168" s="2" t="e">
        <f>Data!#REF!*Data!#REF!</f>
        <v>#REF!</v>
      </c>
      <c r="C168" s="11" t="e">
        <f t="shared" si="29"/>
        <v>#REF!</v>
      </c>
      <c r="D168" s="2" t="e">
        <f>Data!#REF!</f>
        <v>#REF!</v>
      </c>
      <c r="E168" s="11" t="e">
        <f t="shared" si="30"/>
        <v>#REF!</v>
      </c>
      <c r="F168" s="3" t="e">
        <f t="shared" si="31"/>
        <v>#REF!</v>
      </c>
    </row>
    <row r="169" spans="1:7" x14ac:dyDescent="0.25">
      <c r="A169" t="e">
        <f>Data!#REF!</f>
        <v>#REF!</v>
      </c>
      <c r="B169" s="2" t="e">
        <f>Data!#REF!*Data!#REF!</f>
        <v>#REF!</v>
      </c>
      <c r="C169" s="11" t="e">
        <f t="shared" si="29"/>
        <v>#REF!</v>
      </c>
      <c r="D169" s="2" t="e">
        <f>Data!#REF!</f>
        <v>#REF!</v>
      </c>
      <c r="E169" s="11" t="e">
        <f t="shared" si="30"/>
        <v>#REF!</v>
      </c>
      <c r="F169" s="3" t="e">
        <f t="shared" si="31"/>
        <v>#REF!</v>
      </c>
      <c r="G169" s="3" t="e">
        <f>AVERAGE(F169:F171)</f>
        <v>#REF!</v>
      </c>
    </row>
    <row r="170" spans="1:7" x14ac:dyDescent="0.25">
      <c r="B170" s="2" t="e">
        <f>Data!#REF!*Data!#REF!</f>
        <v>#REF!</v>
      </c>
      <c r="C170" s="11" t="e">
        <f t="shared" si="29"/>
        <v>#REF!</v>
      </c>
      <c r="D170" s="2" t="e">
        <f>Data!#REF!</f>
        <v>#REF!</v>
      </c>
      <c r="E170" s="11" t="e">
        <f t="shared" si="30"/>
        <v>#REF!</v>
      </c>
      <c r="F170" s="3" t="e">
        <f t="shared" si="31"/>
        <v>#REF!</v>
      </c>
    </row>
    <row r="171" spans="1:7" x14ac:dyDescent="0.25">
      <c r="B171" s="2" t="e">
        <f>Data!#REF!*Data!#REF!</f>
        <v>#REF!</v>
      </c>
      <c r="C171" s="11" t="e">
        <f t="shared" si="29"/>
        <v>#REF!</v>
      </c>
      <c r="D171" s="2" t="e">
        <f>Data!#REF!</f>
        <v>#REF!</v>
      </c>
      <c r="E171" s="11" t="e">
        <f t="shared" si="30"/>
        <v>#REF!</v>
      </c>
      <c r="F171" s="3" t="e">
        <f t="shared" si="31"/>
        <v>#REF!</v>
      </c>
    </row>
    <row r="172" spans="1:7" x14ac:dyDescent="0.25">
      <c r="A172" t="e">
        <f>Data!#REF!</f>
        <v>#REF!</v>
      </c>
      <c r="B172" s="2" t="e">
        <f>Data!#REF!*Data!#REF!</f>
        <v>#REF!</v>
      </c>
      <c r="C172" s="11" t="e">
        <f t="shared" si="29"/>
        <v>#REF!</v>
      </c>
      <c r="D172" s="2" t="e">
        <f>Data!#REF!</f>
        <v>#REF!</v>
      </c>
      <c r="E172" s="11" t="e">
        <f t="shared" si="30"/>
        <v>#REF!</v>
      </c>
      <c r="F172" s="3" t="e">
        <f t="shared" si="31"/>
        <v>#REF!</v>
      </c>
      <c r="G172" s="3" t="e">
        <f>AVERAGE(F172:F174)</f>
        <v>#REF!</v>
      </c>
    </row>
    <row r="173" spans="1:7" x14ac:dyDescent="0.25">
      <c r="B173" s="2" t="e">
        <f>Data!#REF!*Data!#REF!</f>
        <v>#REF!</v>
      </c>
      <c r="C173" s="11" t="e">
        <f t="shared" si="29"/>
        <v>#REF!</v>
      </c>
      <c r="D173" s="2" t="e">
        <f>Data!#REF!</f>
        <v>#REF!</v>
      </c>
      <c r="E173" s="11" t="e">
        <f t="shared" si="30"/>
        <v>#REF!</v>
      </c>
      <c r="F173" s="3" t="e">
        <f t="shared" si="31"/>
        <v>#REF!</v>
      </c>
    </row>
    <row r="174" spans="1:7" x14ac:dyDescent="0.25">
      <c r="B174" s="2" t="e">
        <f>Data!#REF!*Data!#REF!</f>
        <v>#REF!</v>
      </c>
      <c r="C174" s="11" t="e">
        <f t="shared" si="29"/>
        <v>#REF!</v>
      </c>
      <c r="D174" s="2" t="e">
        <f>Data!#REF!</f>
        <v>#REF!</v>
      </c>
      <c r="E174" s="11" t="e">
        <f t="shared" si="30"/>
        <v>#REF!</v>
      </c>
      <c r="F174" s="3" t="e">
        <f t="shared" si="31"/>
        <v>#REF!</v>
      </c>
    </row>
    <row r="175" spans="1:7" x14ac:dyDescent="0.25">
      <c r="A175" t="e">
        <f>Data!#REF!</f>
        <v>#REF!</v>
      </c>
      <c r="B175" s="2" t="e">
        <f>Data!#REF!*Data!#REF!</f>
        <v>#REF!</v>
      </c>
      <c r="C175" s="11" t="e">
        <f t="shared" ref="C175:C192" si="35">SQRT(B175)</f>
        <v>#REF!</v>
      </c>
      <c r="D175" s="2" t="e">
        <f>Data!#REF!</f>
        <v>#REF!</v>
      </c>
      <c r="E175" s="11" t="e">
        <f t="shared" ref="E175:E192" si="36">D175-(C175*I$22+I$21)</f>
        <v>#REF!</v>
      </c>
      <c r="F175" s="3" t="e">
        <f t="shared" ref="F175:F192" si="37">A$1*E175/A$2</f>
        <v>#REF!</v>
      </c>
      <c r="G175" s="3" t="e">
        <f>AVERAGE(F175:F177)</f>
        <v>#REF!</v>
      </c>
    </row>
    <row r="176" spans="1:7" x14ac:dyDescent="0.25">
      <c r="B176" s="2" t="e">
        <f>Data!#REF!*Data!#REF!</f>
        <v>#REF!</v>
      </c>
      <c r="C176" s="11" t="e">
        <f t="shared" si="35"/>
        <v>#REF!</v>
      </c>
      <c r="D176" s="2" t="e">
        <f>Data!#REF!</f>
        <v>#REF!</v>
      </c>
      <c r="E176" s="11" t="e">
        <f t="shared" si="36"/>
        <v>#REF!</v>
      </c>
      <c r="F176" s="3" t="e">
        <f t="shared" si="37"/>
        <v>#REF!</v>
      </c>
    </row>
    <row r="177" spans="1:7" x14ac:dyDescent="0.25">
      <c r="B177" s="2" t="e">
        <f>Data!#REF!*Data!#REF!</f>
        <v>#REF!</v>
      </c>
      <c r="C177" s="11" t="e">
        <f t="shared" si="35"/>
        <v>#REF!</v>
      </c>
      <c r="D177" s="2" t="e">
        <f>Data!#REF!</f>
        <v>#REF!</v>
      </c>
      <c r="E177" s="11" t="e">
        <f t="shared" si="36"/>
        <v>#REF!</v>
      </c>
      <c r="F177" s="3" t="e">
        <f t="shared" si="37"/>
        <v>#REF!</v>
      </c>
    </row>
    <row r="178" spans="1:7" x14ac:dyDescent="0.25">
      <c r="A178" t="e">
        <f>Data!#REF!</f>
        <v>#REF!</v>
      </c>
      <c r="B178" s="2" t="e">
        <f>Data!#REF!*Data!#REF!</f>
        <v>#REF!</v>
      </c>
      <c r="C178" s="11" t="e">
        <f t="shared" si="35"/>
        <v>#REF!</v>
      </c>
      <c r="D178" s="2" t="e">
        <f>Data!#REF!</f>
        <v>#REF!</v>
      </c>
      <c r="E178" s="11" t="e">
        <f t="shared" si="36"/>
        <v>#REF!</v>
      </c>
      <c r="F178" s="3" t="e">
        <f t="shared" si="37"/>
        <v>#REF!</v>
      </c>
      <c r="G178" s="3" t="e">
        <f>AVERAGE(F178:F180)</f>
        <v>#REF!</v>
      </c>
    </row>
    <row r="179" spans="1:7" x14ac:dyDescent="0.25">
      <c r="B179" s="2" t="e">
        <f>Data!#REF!*Data!#REF!</f>
        <v>#REF!</v>
      </c>
      <c r="C179" s="11" t="e">
        <f t="shared" si="35"/>
        <v>#REF!</v>
      </c>
      <c r="D179" s="2" t="e">
        <f>Data!#REF!</f>
        <v>#REF!</v>
      </c>
      <c r="E179" s="11" t="e">
        <f t="shared" si="36"/>
        <v>#REF!</v>
      </c>
      <c r="F179" s="3" t="e">
        <f t="shared" si="37"/>
        <v>#REF!</v>
      </c>
    </row>
    <row r="180" spans="1:7" x14ac:dyDescent="0.25">
      <c r="B180" s="2" t="e">
        <f>Data!#REF!*Data!#REF!</f>
        <v>#REF!</v>
      </c>
      <c r="C180" s="11" t="e">
        <f t="shared" si="35"/>
        <v>#REF!</v>
      </c>
      <c r="D180" s="2" t="e">
        <f>Data!#REF!</f>
        <v>#REF!</v>
      </c>
      <c r="E180" s="11" t="e">
        <f t="shared" si="36"/>
        <v>#REF!</v>
      </c>
      <c r="F180" s="3" t="e">
        <f t="shared" si="37"/>
        <v>#REF!</v>
      </c>
    </row>
    <row r="181" spans="1:7" x14ac:dyDescent="0.25">
      <c r="A181" t="e">
        <f>Data!#REF!</f>
        <v>#REF!</v>
      </c>
      <c r="B181" s="2" t="e">
        <f>Data!#REF!*Data!#REF!</f>
        <v>#REF!</v>
      </c>
      <c r="C181" s="11" t="e">
        <f t="shared" si="35"/>
        <v>#REF!</v>
      </c>
      <c r="D181" s="2" t="e">
        <f>Data!#REF!</f>
        <v>#REF!</v>
      </c>
      <c r="E181" s="11" t="e">
        <f t="shared" si="36"/>
        <v>#REF!</v>
      </c>
      <c r="F181" s="3" t="e">
        <f t="shared" si="37"/>
        <v>#REF!</v>
      </c>
      <c r="G181" s="3" t="e">
        <f>AVERAGE(F181:F183)</f>
        <v>#REF!</v>
      </c>
    </row>
    <row r="182" spans="1:7" x14ac:dyDescent="0.25">
      <c r="B182" s="2" t="e">
        <f>Data!#REF!*Data!#REF!</f>
        <v>#REF!</v>
      </c>
      <c r="C182" s="11" t="e">
        <f t="shared" si="35"/>
        <v>#REF!</v>
      </c>
      <c r="D182" s="2" t="e">
        <f>Data!#REF!</f>
        <v>#REF!</v>
      </c>
      <c r="E182" s="11" t="e">
        <f t="shared" si="36"/>
        <v>#REF!</v>
      </c>
      <c r="F182" s="3" t="e">
        <f t="shared" si="37"/>
        <v>#REF!</v>
      </c>
    </row>
    <row r="183" spans="1:7" x14ac:dyDescent="0.25">
      <c r="B183" s="2" t="e">
        <f>Data!#REF!*Data!#REF!</f>
        <v>#REF!</v>
      </c>
      <c r="C183" s="11" t="e">
        <f t="shared" si="35"/>
        <v>#REF!</v>
      </c>
      <c r="D183" s="2" t="e">
        <f>Data!#REF!</f>
        <v>#REF!</v>
      </c>
      <c r="E183" s="11" t="e">
        <f t="shared" si="36"/>
        <v>#REF!</v>
      </c>
      <c r="F183" s="3" t="e">
        <f t="shared" si="37"/>
        <v>#REF!</v>
      </c>
    </row>
    <row r="184" spans="1:7" x14ac:dyDescent="0.25">
      <c r="A184" t="e">
        <f>Data!#REF!</f>
        <v>#REF!</v>
      </c>
      <c r="B184" s="2" t="e">
        <f>Data!#REF!*Data!#REF!</f>
        <v>#REF!</v>
      </c>
      <c r="C184" s="11" t="e">
        <f t="shared" si="35"/>
        <v>#REF!</v>
      </c>
      <c r="D184" s="2" t="e">
        <f>Data!#REF!</f>
        <v>#REF!</v>
      </c>
      <c r="E184" s="11" t="e">
        <f t="shared" si="36"/>
        <v>#REF!</v>
      </c>
      <c r="F184" s="3" t="e">
        <f t="shared" si="37"/>
        <v>#REF!</v>
      </c>
      <c r="G184" s="3" t="e">
        <f>AVERAGE(F184:F186)</f>
        <v>#REF!</v>
      </c>
    </row>
    <row r="185" spans="1:7" x14ac:dyDescent="0.25">
      <c r="B185" s="2" t="e">
        <f>Data!#REF!*Data!#REF!</f>
        <v>#REF!</v>
      </c>
      <c r="C185" s="11" t="e">
        <f t="shared" si="35"/>
        <v>#REF!</v>
      </c>
      <c r="D185" s="2" t="e">
        <f>Data!#REF!</f>
        <v>#REF!</v>
      </c>
      <c r="E185" s="11" t="e">
        <f t="shared" si="36"/>
        <v>#REF!</v>
      </c>
      <c r="F185" s="3" t="e">
        <f t="shared" si="37"/>
        <v>#REF!</v>
      </c>
    </row>
    <row r="186" spans="1:7" x14ac:dyDescent="0.25">
      <c r="B186" s="2" t="e">
        <f>Data!#REF!*Data!#REF!</f>
        <v>#REF!</v>
      </c>
      <c r="C186" s="11" t="e">
        <f t="shared" si="35"/>
        <v>#REF!</v>
      </c>
      <c r="D186" s="2" t="e">
        <f>Data!#REF!</f>
        <v>#REF!</v>
      </c>
      <c r="E186" s="11" t="e">
        <f t="shared" si="36"/>
        <v>#REF!</v>
      </c>
      <c r="F186" s="3" t="e">
        <f t="shared" si="37"/>
        <v>#REF!</v>
      </c>
    </row>
    <row r="187" spans="1:7" x14ac:dyDescent="0.25">
      <c r="A187" t="e">
        <f>Data!#REF!</f>
        <v>#REF!</v>
      </c>
      <c r="B187" s="2" t="e">
        <f>Data!#REF!*Data!#REF!</f>
        <v>#REF!</v>
      </c>
      <c r="C187" s="11" t="e">
        <f t="shared" si="35"/>
        <v>#REF!</v>
      </c>
      <c r="D187" s="2" t="e">
        <f>Data!#REF!</f>
        <v>#REF!</v>
      </c>
      <c r="E187" s="11" t="e">
        <f t="shared" si="36"/>
        <v>#REF!</v>
      </c>
      <c r="F187" s="3" t="e">
        <f t="shared" si="37"/>
        <v>#REF!</v>
      </c>
      <c r="G187" s="3" t="e">
        <f>AVERAGE(F187:F189)</f>
        <v>#REF!</v>
      </c>
    </row>
    <row r="188" spans="1:7" x14ac:dyDescent="0.25">
      <c r="B188" s="2" t="e">
        <f>Data!#REF!*Data!#REF!</f>
        <v>#REF!</v>
      </c>
      <c r="C188" s="11" t="e">
        <f t="shared" si="35"/>
        <v>#REF!</v>
      </c>
      <c r="D188" s="2" t="e">
        <f>Data!#REF!</f>
        <v>#REF!</v>
      </c>
      <c r="E188" s="11" t="e">
        <f t="shared" si="36"/>
        <v>#REF!</v>
      </c>
      <c r="F188" s="3" t="e">
        <f t="shared" si="37"/>
        <v>#REF!</v>
      </c>
    </row>
    <row r="189" spans="1:7" x14ac:dyDescent="0.25">
      <c r="B189" s="2" t="e">
        <f>Data!#REF!*Data!#REF!</f>
        <v>#REF!</v>
      </c>
      <c r="C189" s="11" t="e">
        <f t="shared" si="35"/>
        <v>#REF!</v>
      </c>
      <c r="D189" s="2" t="e">
        <f>Data!#REF!</f>
        <v>#REF!</v>
      </c>
      <c r="E189" s="11" t="e">
        <f t="shared" si="36"/>
        <v>#REF!</v>
      </c>
      <c r="F189" s="3" t="e">
        <f t="shared" si="37"/>
        <v>#REF!</v>
      </c>
    </row>
    <row r="190" spans="1:7" x14ac:dyDescent="0.25">
      <c r="A190" t="e">
        <f>Data!#REF!</f>
        <v>#REF!</v>
      </c>
      <c r="B190" s="2" t="e">
        <f>Data!#REF!*Data!#REF!</f>
        <v>#REF!</v>
      </c>
      <c r="C190" s="11" t="e">
        <f t="shared" si="35"/>
        <v>#REF!</v>
      </c>
      <c r="D190" s="2" t="e">
        <f>Data!#REF!</f>
        <v>#REF!</v>
      </c>
      <c r="E190" s="11" t="e">
        <f t="shared" si="36"/>
        <v>#REF!</v>
      </c>
      <c r="F190" s="3" t="e">
        <f t="shared" si="37"/>
        <v>#REF!</v>
      </c>
      <c r="G190" s="3" t="e">
        <f>AVERAGE(F190:F192)</f>
        <v>#REF!</v>
      </c>
    </row>
    <row r="191" spans="1:7" x14ac:dyDescent="0.25">
      <c r="B191" s="2" t="e">
        <f>Data!#REF!*Data!#REF!</f>
        <v>#REF!</v>
      </c>
      <c r="C191" s="11" t="e">
        <f t="shared" si="35"/>
        <v>#REF!</v>
      </c>
      <c r="D191" s="2" t="e">
        <f>Data!#REF!</f>
        <v>#REF!</v>
      </c>
      <c r="E191" s="11" t="e">
        <f t="shared" si="36"/>
        <v>#REF!</v>
      </c>
      <c r="F191" s="3" t="e">
        <f t="shared" si="37"/>
        <v>#REF!</v>
      </c>
    </row>
    <row r="192" spans="1:7" x14ac:dyDescent="0.25">
      <c r="B192" s="2" t="e">
        <f>Data!#REF!*Data!#REF!</f>
        <v>#REF!</v>
      </c>
      <c r="C192" s="11" t="e">
        <f t="shared" si="35"/>
        <v>#REF!</v>
      </c>
      <c r="D192" s="2" t="e">
        <f>Data!#REF!</f>
        <v>#REF!</v>
      </c>
      <c r="E192" s="11" t="e">
        <f t="shared" si="36"/>
        <v>#REF!</v>
      </c>
      <c r="F192" s="3" t="e">
        <f t="shared" si="37"/>
        <v>#REF!</v>
      </c>
    </row>
    <row r="193" spans="1:7" x14ac:dyDescent="0.25">
      <c r="A193" t="e">
        <f>Data!#REF!</f>
        <v>#REF!</v>
      </c>
      <c r="B193" s="2" t="e">
        <f>Data!#REF!*Data!#REF!</f>
        <v>#REF!</v>
      </c>
      <c r="C193" s="11" t="e">
        <f t="shared" ref="C193:C222" si="38">SQRT(B193)</f>
        <v>#REF!</v>
      </c>
      <c r="D193" s="2" t="e">
        <f>Data!#REF!</f>
        <v>#REF!</v>
      </c>
      <c r="E193" s="11" t="e">
        <f t="shared" ref="E193:E222" si="39">D193-(C193*I$22+I$21)</f>
        <v>#REF!</v>
      </c>
      <c r="F193" s="3" t="e">
        <f t="shared" ref="F193:F222" si="40">A$1*E193/A$2</f>
        <v>#REF!</v>
      </c>
      <c r="G193" s="3" t="e">
        <f>AVERAGE(F193:F195)</f>
        <v>#REF!</v>
      </c>
    </row>
    <row r="194" spans="1:7" x14ac:dyDescent="0.25">
      <c r="B194" s="2" t="e">
        <f>Data!#REF!*Data!#REF!</f>
        <v>#REF!</v>
      </c>
      <c r="C194" s="11" t="e">
        <f t="shared" si="38"/>
        <v>#REF!</v>
      </c>
      <c r="D194" s="2" t="e">
        <f>Data!#REF!</f>
        <v>#REF!</v>
      </c>
      <c r="E194" s="11" t="e">
        <f t="shared" si="39"/>
        <v>#REF!</v>
      </c>
      <c r="F194" s="3" t="e">
        <f t="shared" si="40"/>
        <v>#REF!</v>
      </c>
    </row>
    <row r="195" spans="1:7" x14ac:dyDescent="0.25">
      <c r="B195" s="2" t="e">
        <f>Data!#REF!*Data!#REF!</f>
        <v>#REF!</v>
      </c>
      <c r="C195" s="11" t="e">
        <f t="shared" si="38"/>
        <v>#REF!</v>
      </c>
      <c r="D195" s="2" t="e">
        <f>Data!#REF!</f>
        <v>#REF!</v>
      </c>
      <c r="E195" s="11" t="e">
        <f t="shared" si="39"/>
        <v>#REF!</v>
      </c>
      <c r="F195" s="3" t="e">
        <f t="shared" si="40"/>
        <v>#REF!</v>
      </c>
    </row>
    <row r="196" spans="1:7" x14ac:dyDescent="0.25">
      <c r="A196" t="e">
        <f>Data!#REF!</f>
        <v>#REF!</v>
      </c>
      <c r="B196" s="2" t="e">
        <f>Data!#REF!*Data!#REF!</f>
        <v>#REF!</v>
      </c>
      <c r="C196" s="11" t="e">
        <f t="shared" si="38"/>
        <v>#REF!</v>
      </c>
      <c r="D196" s="2" t="e">
        <f>Data!#REF!</f>
        <v>#REF!</v>
      </c>
      <c r="E196" s="11" t="e">
        <f t="shared" si="39"/>
        <v>#REF!</v>
      </c>
      <c r="F196" s="3" t="e">
        <f t="shared" si="40"/>
        <v>#REF!</v>
      </c>
      <c r="G196" s="3" t="e">
        <f>AVERAGE(F196:F198)</f>
        <v>#REF!</v>
      </c>
    </row>
    <row r="197" spans="1:7" x14ac:dyDescent="0.25">
      <c r="B197" s="2" t="e">
        <f>Data!#REF!*Data!#REF!</f>
        <v>#REF!</v>
      </c>
      <c r="C197" s="11" t="e">
        <f t="shared" si="38"/>
        <v>#REF!</v>
      </c>
      <c r="D197" s="2" t="e">
        <f>Data!#REF!</f>
        <v>#REF!</v>
      </c>
      <c r="E197" s="11" t="e">
        <f t="shared" si="39"/>
        <v>#REF!</v>
      </c>
      <c r="F197" s="3" t="e">
        <f t="shared" si="40"/>
        <v>#REF!</v>
      </c>
    </row>
    <row r="198" spans="1:7" x14ac:dyDescent="0.25">
      <c r="B198" s="2" t="e">
        <f>Data!#REF!*Data!#REF!</f>
        <v>#REF!</v>
      </c>
      <c r="C198" s="11" t="e">
        <f t="shared" si="38"/>
        <v>#REF!</v>
      </c>
      <c r="D198" s="2" t="e">
        <f>Data!#REF!</f>
        <v>#REF!</v>
      </c>
      <c r="E198" s="11" t="e">
        <f t="shared" si="39"/>
        <v>#REF!</v>
      </c>
      <c r="F198" s="3" t="e">
        <f t="shared" si="40"/>
        <v>#REF!</v>
      </c>
    </row>
    <row r="199" spans="1:7" x14ac:dyDescent="0.25">
      <c r="A199" t="e">
        <f>Data!#REF!</f>
        <v>#REF!</v>
      </c>
      <c r="B199" s="2" t="e">
        <f>Data!#REF!*Data!#REF!</f>
        <v>#REF!</v>
      </c>
      <c r="C199" s="11" t="e">
        <f t="shared" si="38"/>
        <v>#REF!</v>
      </c>
      <c r="D199" s="2" t="e">
        <f>Data!#REF!</f>
        <v>#REF!</v>
      </c>
      <c r="E199" s="11" t="e">
        <f t="shared" si="39"/>
        <v>#REF!</v>
      </c>
      <c r="F199" s="3" t="e">
        <f t="shared" si="40"/>
        <v>#REF!</v>
      </c>
      <c r="G199" s="3" t="e">
        <f>AVERAGE(F199:F201)</f>
        <v>#REF!</v>
      </c>
    </row>
    <row r="200" spans="1:7" x14ac:dyDescent="0.25">
      <c r="B200" s="2" t="e">
        <f>Data!#REF!*Data!#REF!</f>
        <v>#REF!</v>
      </c>
      <c r="C200" s="11" t="e">
        <f t="shared" si="38"/>
        <v>#REF!</v>
      </c>
      <c r="D200" s="2" t="e">
        <f>Data!#REF!</f>
        <v>#REF!</v>
      </c>
      <c r="E200" s="11" t="e">
        <f t="shared" si="39"/>
        <v>#REF!</v>
      </c>
      <c r="F200" s="3" t="e">
        <f t="shared" si="40"/>
        <v>#REF!</v>
      </c>
    </row>
    <row r="201" spans="1:7" x14ac:dyDescent="0.25">
      <c r="B201" s="2" t="e">
        <f>Data!#REF!*Data!#REF!</f>
        <v>#REF!</v>
      </c>
      <c r="C201" s="11" t="e">
        <f t="shared" si="38"/>
        <v>#REF!</v>
      </c>
      <c r="D201" s="2" t="e">
        <f>Data!#REF!</f>
        <v>#REF!</v>
      </c>
      <c r="E201" s="11" t="e">
        <f t="shared" si="39"/>
        <v>#REF!</v>
      </c>
      <c r="F201" s="3" t="e">
        <f t="shared" si="40"/>
        <v>#REF!</v>
      </c>
    </row>
    <row r="202" spans="1:7" x14ac:dyDescent="0.25">
      <c r="A202" t="e">
        <f>Data!#REF!</f>
        <v>#REF!</v>
      </c>
      <c r="B202" s="2" t="e">
        <f>Data!#REF!*Data!#REF!</f>
        <v>#REF!</v>
      </c>
      <c r="C202" s="11" t="e">
        <f t="shared" si="38"/>
        <v>#REF!</v>
      </c>
      <c r="D202" s="2" t="e">
        <f>Data!#REF!</f>
        <v>#REF!</v>
      </c>
      <c r="E202" s="11" t="e">
        <f t="shared" si="39"/>
        <v>#REF!</v>
      </c>
      <c r="F202" s="3" t="e">
        <f t="shared" si="40"/>
        <v>#REF!</v>
      </c>
      <c r="G202" s="3" t="e">
        <f>AVERAGE(F202:F204)</f>
        <v>#REF!</v>
      </c>
    </row>
    <row r="203" spans="1:7" x14ac:dyDescent="0.25">
      <c r="B203" s="2" t="e">
        <f>Data!#REF!*Data!#REF!</f>
        <v>#REF!</v>
      </c>
      <c r="C203" s="11" t="e">
        <f t="shared" si="38"/>
        <v>#REF!</v>
      </c>
      <c r="D203" s="2" t="e">
        <f>Data!#REF!</f>
        <v>#REF!</v>
      </c>
      <c r="E203" s="11" t="e">
        <f t="shared" si="39"/>
        <v>#REF!</v>
      </c>
      <c r="F203" s="3" t="e">
        <f t="shared" si="40"/>
        <v>#REF!</v>
      </c>
    </row>
    <row r="204" spans="1:7" x14ac:dyDescent="0.25">
      <c r="B204" s="2" t="e">
        <f>Data!#REF!*Data!#REF!</f>
        <v>#REF!</v>
      </c>
      <c r="C204" s="11" t="e">
        <f t="shared" si="38"/>
        <v>#REF!</v>
      </c>
      <c r="D204" s="2" t="e">
        <f>Data!#REF!</f>
        <v>#REF!</v>
      </c>
      <c r="E204" s="11" t="e">
        <f t="shared" si="39"/>
        <v>#REF!</v>
      </c>
      <c r="F204" s="3" t="e">
        <f t="shared" si="40"/>
        <v>#REF!</v>
      </c>
    </row>
    <row r="205" spans="1:7" x14ac:dyDescent="0.25">
      <c r="A205" t="e">
        <f>Data!#REF!</f>
        <v>#REF!</v>
      </c>
      <c r="B205" s="2" t="e">
        <f>Data!#REF!*Data!#REF!</f>
        <v>#REF!</v>
      </c>
      <c r="C205" s="11" t="e">
        <f t="shared" si="38"/>
        <v>#REF!</v>
      </c>
      <c r="D205" s="2" t="e">
        <f>Data!#REF!</f>
        <v>#REF!</v>
      </c>
      <c r="E205" s="11" t="e">
        <f t="shared" si="39"/>
        <v>#REF!</v>
      </c>
      <c r="F205" s="3" t="e">
        <f t="shared" si="40"/>
        <v>#REF!</v>
      </c>
      <c r="G205" s="3" t="e">
        <f>AVERAGE(F205:F207)</f>
        <v>#REF!</v>
      </c>
    </row>
    <row r="206" spans="1:7" x14ac:dyDescent="0.25">
      <c r="B206" s="2" t="e">
        <f>Data!#REF!*Data!#REF!</f>
        <v>#REF!</v>
      </c>
      <c r="C206" s="11" t="e">
        <f t="shared" si="38"/>
        <v>#REF!</v>
      </c>
      <c r="D206" s="2" t="e">
        <f>Data!#REF!</f>
        <v>#REF!</v>
      </c>
      <c r="E206" s="11" t="e">
        <f t="shared" si="39"/>
        <v>#REF!</v>
      </c>
      <c r="F206" s="3" t="e">
        <f t="shared" si="40"/>
        <v>#REF!</v>
      </c>
    </row>
    <row r="207" spans="1:7" x14ac:dyDescent="0.25">
      <c r="B207" s="2" t="e">
        <f>Data!#REF!*Data!#REF!</f>
        <v>#REF!</v>
      </c>
      <c r="C207" s="11" t="e">
        <f t="shared" si="38"/>
        <v>#REF!</v>
      </c>
      <c r="D207" s="2" t="e">
        <f>Data!#REF!</f>
        <v>#REF!</v>
      </c>
      <c r="E207" s="11" t="e">
        <f t="shared" si="39"/>
        <v>#REF!</v>
      </c>
      <c r="F207" s="3" t="e">
        <f t="shared" si="40"/>
        <v>#REF!</v>
      </c>
    </row>
    <row r="208" spans="1:7" x14ac:dyDescent="0.25">
      <c r="A208" t="e">
        <f>Data!#REF!</f>
        <v>#REF!</v>
      </c>
      <c r="B208" s="2" t="e">
        <f>Data!#REF!*Data!#REF!</f>
        <v>#REF!</v>
      </c>
      <c r="C208" s="11" t="e">
        <f t="shared" si="38"/>
        <v>#REF!</v>
      </c>
      <c r="D208" s="2" t="e">
        <f>Data!#REF!</f>
        <v>#REF!</v>
      </c>
      <c r="E208" s="11" t="e">
        <f t="shared" si="39"/>
        <v>#REF!</v>
      </c>
      <c r="F208" s="3" t="e">
        <f t="shared" si="40"/>
        <v>#REF!</v>
      </c>
      <c r="G208" s="3" t="e">
        <f>AVERAGE(F208:F210)</f>
        <v>#REF!</v>
      </c>
    </row>
    <row r="209" spans="1:7" x14ac:dyDescent="0.25">
      <c r="B209" s="2" t="e">
        <f>Data!#REF!*Data!#REF!</f>
        <v>#REF!</v>
      </c>
      <c r="C209" s="11" t="e">
        <f t="shared" si="38"/>
        <v>#REF!</v>
      </c>
      <c r="D209" s="2" t="e">
        <f>Data!#REF!</f>
        <v>#REF!</v>
      </c>
      <c r="E209" s="11" t="e">
        <f t="shared" si="39"/>
        <v>#REF!</v>
      </c>
      <c r="F209" s="3" t="e">
        <f t="shared" si="40"/>
        <v>#REF!</v>
      </c>
    </row>
    <row r="210" spans="1:7" x14ac:dyDescent="0.25">
      <c r="B210" s="2" t="e">
        <f>Data!#REF!*Data!#REF!</f>
        <v>#REF!</v>
      </c>
      <c r="C210" s="11" t="e">
        <f t="shared" si="38"/>
        <v>#REF!</v>
      </c>
      <c r="D210" s="2" t="e">
        <f>Data!#REF!</f>
        <v>#REF!</v>
      </c>
      <c r="E210" s="11" t="e">
        <f t="shared" si="39"/>
        <v>#REF!</v>
      </c>
      <c r="F210" s="3" t="e">
        <f t="shared" si="40"/>
        <v>#REF!</v>
      </c>
    </row>
    <row r="211" spans="1:7" x14ac:dyDescent="0.25">
      <c r="A211" t="e">
        <f>Data!#REF!</f>
        <v>#REF!</v>
      </c>
      <c r="B211" s="2" t="e">
        <f>Data!#REF!*Data!#REF!</f>
        <v>#REF!</v>
      </c>
      <c r="C211" s="11" t="e">
        <f t="shared" si="38"/>
        <v>#REF!</v>
      </c>
      <c r="D211" s="2" t="e">
        <f>Data!#REF!</f>
        <v>#REF!</v>
      </c>
      <c r="E211" s="11" t="e">
        <f t="shared" si="39"/>
        <v>#REF!</v>
      </c>
      <c r="F211" s="3" t="e">
        <f t="shared" si="40"/>
        <v>#REF!</v>
      </c>
      <c r="G211" s="3" t="e">
        <f>AVERAGE(F211:F213)</f>
        <v>#REF!</v>
      </c>
    </row>
    <row r="212" spans="1:7" x14ac:dyDescent="0.25">
      <c r="B212" s="2" t="e">
        <f>Data!#REF!*Data!#REF!</f>
        <v>#REF!</v>
      </c>
      <c r="C212" s="11" t="e">
        <f t="shared" si="38"/>
        <v>#REF!</v>
      </c>
      <c r="D212" s="2" t="e">
        <f>Data!#REF!</f>
        <v>#REF!</v>
      </c>
      <c r="E212" s="11" t="e">
        <f t="shared" si="39"/>
        <v>#REF!</v>
      </c>
      <c r="F212" s="3" t="e">
        <f t="shared" si="40"/>
        <v>#REF!</v>
      </c>
    </row>
    <row r="213" spans="1:7" x14ac:dyDescent="0.25">
      <c r="B213" s="2" t="e">
        <f>Data!#REF!*Data!#REF!</f>
        <v>#REF!</v>
      </c>
      <c r="C213" s="11" t="e">
        <f t="shared" si="38"/>
        <v>#REF!</v>
      </c>
      <c r="D213" s="2" t="e">
        <f>Data!#REF!</f>
        <v>#REF!</v>
      </c>
      <c r="E213" s="11" t="e">
        <f t="shared" si="39"/>
        <v>#REF!</v>
      </c>
      <c r="F213" s="3" t="e">
        <f t="shared" si="40"/>
        <v>#REF!</v>
      </c>
    </row>
    <row r="214" spans="1:7" x14ac:dyDescent="0.25">
      <c r="A214" t="e">
        <f>Data!#REF!</f>
        <v>#REF!</v>
      </c>
      <c r="B214" s="2" t="e">
        <f>Data!#REF!*Data!#REF!</f>
        <v>#REF!</v>
      </c>
      <c r="C214" s="11" t="e">
        <f t="shared" si="38"/>
        <v>#REF!</v>
      </c>
      <c r="D214" s="2" t="e">
        <f>Data!#REF!</f>
        <v>#REF!</v>
      </c>
      <c r="E214" s="11" t="e">
        <f t="shared" si="39"/>
        <v>#REF!</v>
      </c>
      <c r="F214" s="3" t="e">
        <f t="shared" si="40"/>
        <v>#REF!</v>
      </c>
      <c r="G214" s="3" t="e">
        <f>AVERAGE(F214:F216)</f>
        <v>#REF!</v>
      </c>
    </row>
    <row r="215" spans="1:7" x14ac:dyDescent="0.25">
      <c r="B215" s="2" t="e">
        <f>Data!#REF!*Data!#REF!</f>
        <v>#REF!</v>
      </c>
      <c r="C215" s="11" t="e">
        <f t="shared" si="38"/>
        <v>#REF!</v>
      </c>
      <c r="D215" s="2" t="e">
        <f>Data!#REF!</f>
        <v>#REF!</v>
      </c>
      <c r="E215" s="11" t="e">
        <f t="shared" si="39"/>
        <v>#REF!</v>
      </c>
      <c r="F215" s="3" t="e">
        <f t="shared" si="40"/>
        <v>#REF!</v>
      </c>
    </row>
    <row r="216" spans="1:7" x14ac:dyDescent="0.25">
      <c r="B216" s="2" t="e">
        <f>Data!#REF!*Data!#REF!</f>
        <v>#REF!</v>
      </c>
      <c r="C216" s="11" t="e">
        <f t="shared" si="38"/>
        <v>#REF!</v>
      </c>
      <c r="D216" s="2" t="e">
        <f>Data!#REF!</f>
        <v>#REF!</v>
      </c>
      <c r="E216" s="11" t="e">
        <f t="shared" si="39"/>
        <v>#REF!</v>
      </c>
      <c r="F216" s="3" t="e">
        <f t="shared" si="40"/>
        <v>#REF!</v>
      </c>
    </row>
    <row r="217" spans="1:7" x14ac:dyDescent="0.25">
      <c r="A217" t="e">
        <f>Data!#REF!</f>
        <v>#REF!</v>
      </c>
      <c r="B217" s="2" t="e">
        <f>Data!#REF!*Data!#REF!</f>
        <v>#REF!</v>
      </c>
      <c r="C217" s="11" t="e">
        <f t="shared" si="38"/>
        <v>#REF!</v>
      </c>
      <c r="D217" s="2" t="e">
        <f>Data!#REF!</f>
        <v>#REF!</v>
      </c>
      <c r="E217" s="11" t="e">
        <f t="shared" si="39"/>
        <v>#REF!</v>
      </c>
      <c r="F217" s="3" t="e">
        <f t="shared" si="40"/>
        <v>#REF!</v>
      </c>
      <c r="G217" s="3" t="e">
        <f>AVERAGE(F217:F219)</f>
        <v>#REF!</v>
      </c>
    </row>
    <row r="218" spans="1:7" x14ac:dyDescent="0.25">
      <c r="B218" s="2" t="e">
        <f>Data!#REF!*Data!#REF!</f>
        <v>#REF!</v>
      </c>
      <c r="C218" s="11" t="e">
        <f t="shared" si="38"/>
        <v>#REF!</v>
      </c>
      <c r="D218" s="2" t="e">
        <f>Data!#REF!</f>
        <v>#REF!</v>
      </c>
      <c r="E218" s="11" t="e">
        <f t="shared" si="39"/>
        <v>#REF!</v>
      </c>
      <c r="F218" s="3" t="e">
        <f t="shared" si="40"/>
        <v>#REF!</v>
      </c>
    </row>
    <row r="219" spans="1:7" x14ac:dyDescent="0.25">
      <c r="B219" s="2" t="e">
        <f>Data!#REF!*Data!#REF!</f>
        <v>#REF!</v>
      </c>
      <c r="C219" s="11" t="e">
        <f t="shared" si="38"/>
        <v>#REF!</v>
      </c>
      <c r="D219" s="2" t="e">
        <f>Data!#REF!</f>
        <v>#REF!</v>
      </c>
      <c r="E219" s="11" t="e">
        <f t="shared" si="39"/>
        <v>#REF!</v>
      </c>
      <c r="F219" s="3" t="e">
        <f t="shared" si="40"/>
        <v>#REF!</v>
      </c>
    </row>
    <row r="220" spans="1:7" x14ac:dyDescent="0.25">
      <c r="A220" t="e">
        <f>Data!#REF!</f>
        <v>#REF!</v>
      </c>
      <c r="B220" s="2" t="e">
        <f>Data!#REF!*Data!#REF!</f>
        <v>#REF!</v>
      </c>
      <c r="C220" s="11" t="e">
        <f t="shared" si="38"/>
        <v>#REF!</v>
      </c>
      <c r="D220" s="2" t="e">
        <f>Data!#REF!</f>
        <v>#REF!</v>
      </c>
      <c r="E220" s="11" t="e">
        <f t="shared" si="39"/>
        <v>#REF!</v>
      </c>
      <c r="F220" s="3" t="e">
        <f t="shared" si="40"/>
        <v>#REF!</v>
      </c>
      <c r="G220" s="3" t="e">
        <f>AVERAGE(F220:F222)</f>
        <v>#REF!</v>
      </c>
    </row>
    <row r="221" spans="1:7" x14ac:dyDescent="0.25">
      <c r="B221" s="2" t="e">
        <f>Data!#REF!*Data!#REF!</f>
        <v>#REF!</v>
      </c>
      <c r="C221" s="11" t="e">
        <f t="shared" si="38"/>
        <v>#REF!</v>
      </c>
      <c r="D221" s="2" t="e">
        <f>Data!#REF!</f>
        <v>#REF!</v>
      </c>
      <c r="E221" s="11" t="e">
        <f t="shared" si="39"/>
        <v>#REF!</v>
      </c>
      <c r="F221" s="3" t="e">
        <f t="shared" si="40"/>
        <v>#REF!</v>
      </c>
    </row>
    <row r="222" spans="1:7" x14ac:dyDescent="0.25">
      <c r="B222" s="2" t="e">
        <f>Data!#REF!*Data!#REF!</f>
        <v>#REF!</v>
      </c>
      <c r="C222" s="11" t="e">
        <f t="shared" si="38"/>
        <v>#REF!</v>
      </c>
      <c r="D222" s="2" t="e">
        <f>Data!#REF!</f>
        <v>#REF!</v>
      </c>
      <c r="E222" s="11" t="e">
        <f t="shared" si="39"/>
        <v>#REF!</v>
      </c>
      <c r="F222" s="3" t="e">
        <f t="shared" si="40"/>
        <v>#REF!</v>
      </c>
    </row>
    <row r="223" spans="1:7" x14ac:dyDescent="0.25">
      <c r="B223" s="2"/>
      <c r="C223" s="11"/>
      <c r="D223" s="2"/>
      <c r="E223" s="11"/>
      <c r="F223" s="3"/>
      <c r="G223" s="3"/>
    </row>
    <row r="224" spans="1:7" x14ac:dyDescent="0.25">
      <c r="B224" s="2"/>
      <c r="C224" s="11"/>
      <c r="D224" s="2"/>
      <c r="E224" s="11"/>
      <c r="F224" s="3"/>
    </row>
    <row r="225" spans="2:7" x14ac:dyDescent="0.25">
      <c r="B225" s="2"/>
      <c r="C225" s="11"/>
      <c r="D225" s="2"/>
      <c r="E225" s="11"/>
      <c r="F225" s="3"/>
    </row>
    <row r="226" spans="2:7" x14ac:dyDescent="0.25">
      <c r="B226" s="2"/>
      <c r="C226" s="11"/>
      <c r="D226" s="2"/>
      <c r="E226" s="11"/>
      <c r="F226" s="3"/>
      <c r="G226" s="3"/>
    </row>
    <row r="227" spans="2:7" x14ac:dyDescent="0.25">
      <c r="B227" s="2"/>
      <c r="C227" s="11"/>
      <c r="D227" s="2"/>
      <c r="E227" s="11"/>
      <c r="F227" s="3"/>
    </row>
    <row r="228" spans="2:7" x14ac:dyDescent="0.25">
      <c r="B228" s="2"/>
      <c r="C228" s="11"/>
      <c r="D228" s="2"/>
      <c r="E228" s="11"/>
      <c r="F228" s="3"/>
    </row>
    <row r="229" spans="2:7" x14ac:dyDescent="0.25">
      <c r="B229" s="2"/>
      <c r="C229" s="11"/>
      <c r="D229" s="2"/>
      <c r="E229" s="11"/>
      <c r="F229" s="3"/>
      <c r="G229" s="3"/>
    </row>
    <row r="230" spans="2:7" x14ac:dyDescent="0.25">
      <c r="B230" s="2"/>
      <c r="C230" s="11"/>
      <c r="D230" s="2"/>
      <c r="E230" s="11"/>
      <c r="F230" s="3"/>
    </row>
    <row r="231" spans="2:7" x14ac:dyDescent="0.25">
      <c r="B231" s="2"/>
      <c r="C231" s="11"/>
      <c r="D231" s="2"/>
      <c r="E231" s="11"/>
      <c r="F231" s="3"/>
    </row>
    <row r="232" spans="2:7" x14ac:dyDescent="0.25">
      <c r="B232" s="2"/>
      <c r="C232" s="11"/>
      <c r="D232" s="2"/>
      <c r="E232" s="11"/>
      <c r="F232" s="3"/>
      <c r="G232" s="3"/>
    </row>
    <row r="233" spans="2:7" x14ac:dyDescent="0.25">
      <c r="B233" s="2"/>
      <c r="C233" s="11"/>
      <c r="D233" s="2"/>
      <c r="E233" s="11"/>
      <c r="F233" s="3"/>
    </row>
    <row r="234" spans="2:7" x14ac:dyDescent="0.25">
      <c r="B234" s="2"/>
      <c r="C234" s="11"/>
      <c r="D234" s="2"/>
      <c r="E234" s="11"/>
      <c r="F234" s="3"/>
    </row>
    <row r="235" spans="2:7" x14ac:dyDescent="0.25">
      <c r="B235" s="2"/>
      <c r="C235" s="11"/>
      <c r="D235" s="2"/>
      <c r="E235" s="11"/>
      <c r="F235" s="3"/>
      <c r="G235" s="3"/>
    </row>
    <row r="236" spans="2:7" x14ac:dyDescent="0.25">
      <c r="B236" s="2"/>
      <c r="C236" s="11"/>
      <c r="D236" s="2"/>
      <c r="E236" s="11"/>
      <c r="F236" s="3"/>
    </row>
    <row r="237" spans="2:7" x14ac:dyDescent="0.25">
      <c r="B237" s="2"/>
      <c r="C237" s="11"/>
      <c r="D237" s="2"/>
      <c r="E237" s="11"/>
      <c r="F237" s="3"/>
    </row>
    <row r="238" spans="2:7" x14ac:dyDescent="0.25">
      <c r="B238" s="2"/>
      <c r="C238" s="11"/>
      <c r="D238" s="2"/>
      <c r="E238" s="11"/>
      <c r="F238" s="3"/>
      <c r="G238" s="3"/>
    </row>
    <row r="239" spans="2:7" x14ac:dyDescent="0.25">
      <c r="B239" s="2"/>
      <c r="C239" s="11"/>
      <c r="D239" s="2"/>
      <c r="E239" s="11"/>
      <c r="F239" s="3"/>
    </row>
    <row r="240" spans="2:7" x14ac:dyDescent="0.25">
      <c r="B240" s="2"/>
      <c r="C240" s="11"/>
      <c r="D240" s="2"/>
      <c r="E240" s="11"/>
      <c r="F240" s="3"/>
    </row>
    <row r="241" spans="2:7" x14ac:dyDescent="0.25">
      <c r="B241" s="2"/>
      <c r="C241" s="11"/>
      <c r="D241" s="2"/>
      <c r="E241" s="11"/>
      <c r="F241" s="3"/>
      <c r="G241" s="3"/>
    </row>
    <row r="242" spans="2:7" x14ac:dyDescent="0.25">
      <c r="B242" s="2"/>
      <c r="C242" s="11"/>
      <c r="D242" s="2"/>
      <c r="E242" s="11"/>
      <c r="F242" s="3"/>
    </row>
    <row r="243" spans="2:7" x14ac:dyDescent="0.25">
      <c r="B243" s="2"/>
      <c r="C243" s="11"/>
      <c r="D243" s="2"/>
      <c r="E243" s="11"/>
      <c r="F243" s="3"/>
    </row>
    <row r="244" spans="2:7" x14ac:dyDescent="0.25">
      <c r="B244" s="2"/>
      <c r="C244" s="11"/>
      <c r="D244" s="2"/>
      <c r="E244" s="11"/>
      <c r="F244" s="3"/>
      <c r="G244" s="3"/>
    </row>
    <row r="245" spans="2:7" x14ac:dyDescent="0.25">
      <c r="B245" s="2"/>
      <c r="C245" s="11"/>
      <c r="D245" s="2"/>
      <c r="E245" s="11"/>
      <c r="F245" s="3"/>
    </row>
    <row r="246" spans="2:7" x14ac:dyDescent="0.25">
      <c r="B246" s="2"/>
      <c r="C246" s="11"/>
      <c r="D246" s="2"/>
      <c r="E246" s="11"/>
      <c r="F246" s="3"/>
    </row>
    <row r="247" spans="2:7" x14ac:dyDescent="0.25">
      <c r="B247" s="2"/>
      <c r="C247" s="11"/>
      <c r="D247" s="2"/>
      <c r="E247" s="11"/>
      <c r="F247" s="3"/>
      <c r="G247" s="3"/>
    </row>
    <row r="248" spans="2:7" x14ac:dyDescent="0.25">
      <c r="B248" s="2"/>
      <c r="C248" s="11"/>
      <c r="D248" s="2"/>
      <c r="E248" s="11"/>
      <c r="F248" s="3"/>
    </row>
    <row r="249" spans="2:7" x14ac:dyDescent="0.25">
      <c r="B249" s="2"/>
      <c r="C249" s="11"/>
      <c r="D249" s="2"/>
      <c r="E249" s="11"/>
      <c r="F249" s="3"/>
    </row>
    <row r="250" spans="2:7" x14ac:dyDescent="0.25">
      <c r="B250" s="2"/>
      <c r="C250" s="11"/>
      <c r="D250" s="2"/>
      <c r="E250" s="11"/>
      <c r="F250" s="3"/>
      <c r="G250" s="3"/>
    </row>
    <row r="251" spans="2:7" x14ac:dyDescent="0.25">
      <c r="B251" s="2"/>
      <c r="C251" s="11"/>
      <c r="D251" s="2"/>
      <c r="E251" s="11"/>
      <c r="F251" s="3"/>
    </row>
    <row r="252" spans="2:7" x14ac:dyDescent="0.25">
      <c r="B252" s="2"/>
      <c r="C252" s="11"/>
      <c r="D252" s="2"/>
      <c r="E252" s="11"/>
      <c r="F252" s="3"/>
    </row>
    <row r="253" spans="2:7" x14ac:dyDescent="0.25">
      <c r="B253" s="2"/>
      <c r="C253" s="11"/>
      <c r="D253" s="2"/>
      <c r="E253" s="11"/>
      <c r="F253" s="3"/>
      <c r="G253" s="3"/>
    </row>
    <row r="254" spans="2:7" x14ac:dyDescent="0.25">
      <c r="B254" s="2"/>
      <c r="C254" s="11"/>
      <c r="D254" s="2"/>
      <c r="E254" s="11"/>
      <c r="F254" s="3"/>
    </row>
    <row r="255" spans="2:7" x14ac:dyDescent="0.25">
      <c r="B255" s="2"/>
      <c r="C255" s="11"/>
      <c r="D255" s="2"/>
      <c r="E255" s="11"/>
      <c r="F255" s="3"/>
    </row>
    <row r="256" spans="2:7" x14ac:dyDescent="0.25">
      <c r="B256" s="2"/>
      <c r="C256" s="11"/>
      <c r="D256" s="2"/>
      <c r="E256" s="11"/>
      <c r="F256" s="3"/>
      <c r="G256" s="3"/>
    </row>
    <row r="257" spans="2:7" x14ac:dyDescent="0.25">
      <c r="B257" s="2"/>
      <c r="C257" s="11"/>
      <c r="D257" s="2"/>
      <c r="E257" s="11"/>
      <c r="F257" s="3"/>
    </row>
    <row r="258" spans="2:7" x14ac:dyDescent="0.25">
      <c r="B258" s="2"/>
      <c r="C258" s="11"/>
      <c r="D258" s="2"/>
      <c r="E258" s="11"/>
      <c r="F258" s="3"/>
    </row>
    <row r="259" spans="2:7" x14ac:dyDescent="0.25">
      <c r="B259" s="2"/>
      <c r="C259" s="11"/>
      <c r="D259" s="2"/>
      <c r="E259" s="11"/>
      <c r="F259" s="3"/>
      <c r="G259" s="3"/>
    </row>
    <row r="260" spans="2:7" x14ac:dyDescent="0.25">
      <c r="B260" s="2"/>
      <c r="C260" s="11"/>
      <c r="D260" s="2"/>
      <c r="E260" s="11"/>
      <c r="F260" s="3"/>
    </row>
    <row r="261" spans="2:7" x14ac:dyDescent="0.25">
      <c r="B261" s="2"/>
      <c r="C261" s="11"/>
      <c r="D261" s="2"/>
      <c r="E261" s="11"/>
      <c r="F261" s="3"/>
    </row>
    <row r="262" spans="2:7" x14ac:dyDescent="0.25">
      <c r="B262" s="2"/>
      <c r="C262" s="11"/>
      <c r="D262" s="2"/>
      <c r="E262" s="11"/>
      <c r="F262" s="3"/>
      <c r="G262" s="3"/>
    </row>
    <row r="263" spans="2:7" x14ac:dyDescent="0.25">
      <c r="B263" s="2"/>
      <c r="C263" s="11"/>
      <c r="D263" s="2"/>
      <c r="E263" s="11"/>
      <c r="F263" s="3"/>
    </row>
    <row r="264" spans="2:7" x14ac:dyDescent="0.25">
      <c r="B264" s="2"/>
      <c r="C264" s="11"/>
      <c r="D264" s="2"/>
      <c r="E264" s="11"/>
      <c r="F264" s="3"/>
    </row>
    <row r="265" spans="2:7" x14ac:dyDescent="0.25">
      <c r="B265" s="2"/>
      <c r="C265" s="11"/>
      <c r="D265" s="2"/>
      <c r="E265" s="11"/>
      <c r="F265" s="3"/>
      <c r="G265" s="3"/>
    </row>
    <row r="266" spans="2:7" x14ac:dyDescent="0.25">
      <c r="B266" s="2"/>
      <c r="C266" s="11"/>
      <c r="D266" s="2"/>
      <c r="E266" s="11"/>
      <c r="F266" s="3"/>
    </row>
    <row r="267" spans="2:7" x14ac:dyDescent="0.25">
      <c r="B267" s="2"/>
      <c r="C267" s="11"/>
      <c r="D267" s="2"/>
      <c r="E267" s="11"/>
      <c r="F267" s="3"/>
    </row>
    <row r="268" spans="2:7" x14ac:dyDescent="0.25">
      <c r="B268" s="2"/>
      <c r="C268" s="11"/>
      <c r="D268" s="2"/>
      <c r="E268" s="11"/>
      <c r="F268" s="3"/>
      <c r="G268" s="3"/>
    </row>
    <row r="269" spans="2:7" x14ac:dyDescent="0.25">
      <c r="B269" s="2"/>
      <c r="C269" s="11"/>
      <c r="D269" s="2"/>
      <c r="E269" s="11"/>
      <c r="F269" s="3"/>
    </row>
    <row r="270" spans="2:7" x14ac:dyDescent="0.25">
      <c r="B270" s="2"/>
      <c r="C270" s="11"/>
      <c r="D270" s="2"/>
      <c r="E270" s="11"/>
      <c r="F270" s="3"/>
    </row>
    <row r="271" spans="2:7" x14ac:dyDescent="0.25">
      <c r="B271" s="2"/>
      <c r="C271" s="11"/>
      <c r="D271" s="2"/>
      <c r="E271" s="11"/>
      <c r="F271" s="3"/>
      <c r="G271" s="3"/>
    </row>
    <row r="272" spans="2:7" x14ac:dyDescent="0.25">
      <c r="B272" s="2"/>
      <c r="C272" s="11"/>
      <c r="D272" s="2"/>
      <c r="E272" s="11"/>
      <c r="F272" s="3"/>
    </row>
    <row r="273" spans="2:7" x14ac:dyDescent="0.25">
      <c r="B273" s="2"/>
      <c r="C273" s="11"/>
      <c r="D273" s="2"/>
      <c r="E273" s="11"/>
      <c r="F273" s="3"/>
    </row>
    <row r="274" spans="2:7" x14ac:dyDescent="0.25">
      <c r="B274" s="2"/>
      <c r="C274" s="11"/>
      <c r="D274" s="2"/>
      <c r="E274" s="11"/>
      <c r="F274" s="3"/>
      <c r="G274" s="3"/>
    </row>
    <row r="275" spans="2:7" x14ac:dyDescent="0.25">
      <c r="B275" s="2"/>
      <c r="C275" s="11"/>
      <c r="D275" s="2"/>
      <c r="E275" s="11"/>
      <c r="F275" s="3"/>
    </row>
    <row r="276" spans="2:7" x14ac:dyDescent="0.25">
      <c r="B276" s="2"/>
      <c r="C276" s="11"/>
      <c r="D276" s="2"/>
      <c r="E276" s="11"/>
      <c r="F276" s="3"/>
    </row>
    <row r="277" spans="2:7" x14ac:dyDescent="0.25">
      <c r="B277" s="2"/>
      <c r="C277" s="11"/>
      <c r="D277" s="2"/>
      <c r="E277" s="11"/>
      <c r="F277" s="3"/>
      <c r="G277" s="3"/>
    </row>
    <row r="278" spans="2:7" x14ac:dyDescent="0.25">
      <c r="B278" s="2"/>
      <c r="C278" s="11"/>
      <c r="D278" s="2"/>
      <c r="E278" s="11"/>
      <c r="F278" s="3"/>
    </row>
    <row r="279" spans="2:7" x14ac:dyDescent="0.25">
      <c r="B279" s="2"/>
      <c r="C279" s="11"/>
      <c r="D279" s="2"/>
      <c r="E279" s="11"/>
      <c r="F279" s="3"/>
    </row>
    <row r="280" spans="2:7" x14ac:dyDescent="0.25">
      <c r="B280" s="2"/>
      <c r="C280" s="11"/>
      <c r="D280" s="2"/>
      <c r="E280" s="11"/>
      <c r="F280" s="3"/>
      <c r="G280" s="3"/>
    </row>
    <row r="281" spans="2:7" x14ac:dyDescent="0.25">
      <c r="B281" s="2"/>
      <c r="C281" s="11"/>
      <c r="D281" s="2"/>
      <c r="E281" s="11"/>
      <c r="F281" s="3"/>
    </row>
    <row r="282" spans="2:7" x14ac:dyDescent="0.25">
      <c r="B282" s="2"/>
      <c r="C282" s="11"/>
      <c r="D282" s="2"/>
      <c r="E282" s="11"/>
      <c r="F282" s="3"/>
    </row>
    <row r="283" spans="2:7" x14ac:dyDescent="0.25">
      <c r="B283" s="2"/>
      <c r="C283" s="11"/>
      <c r="D283" s="2"/>
      <c r="E283" s="11"/>
      <c r="F283" s="3"/>
      <c r="G283" s="3"/>
    </row>
    <row r="284" spans="2:7" x14ac:dyDescent="0.25">
      <c r="B284" s="2"/>
      <c r="C284" s="11"/>
      <c r="D284" s="2"/>
      <c r="E284" s="11"/>
      <c r="F284" s="3"/>
    </row>
    <row r="285" spans="2:7" x14ac:dyDescent="0.25">
      <c r="B285" s="2"/>
      <c r="C285" s="11"/>
      <c r="D285" s="2"/>
      <c r="E285" s="11"/>
      <c r="F285" s="3"/>
    </row>
    <row r="286" spans="2:7" x14ac:dyDescent="0.25">
      <c r="B286" s="2"/>
      <c r="C286" s="11"/>
      <c r="D286" s="2"/>
      <c r="E286" s="11"/>
      <c r="F286" s="3"/>
      <c r="G286" s="3"/>
    </row>
    <row r="287" spans="2:7" x14ac:dyDescent="0.25">
      <c r="B287" s="2"/>
      <c r="C287" s="11"/>
      <c r="D287" s="2"/>
      <c r="E287" s="11"/>
      <c r="F287" s="3"/>
    </row>
    <row r="288" spans="2:7" x14ac:dyDescent="0.25">
      <c r="B288" s="2"/>
      <c r="C288" s="11"/>
      <c r="D288" s="2"/>
      <c r="E288" s="11"/>
      <c r="F288" s="3"/>
    </row>
    <row r="289" spans="2:7" x14ac:dyDescent="0.25">
      <c r="B289" s="2"/>
      <c r="C289" s="11"/>
      <c r="D289" s="2"/>
      <c r="E289" s="11"/>
      <c r="F289" s="3"/>
      <c r="G289" s="3"/>
    </row>
    <row r="290" spans="2:7" x14ac:dyDescent="0.25">
      <c r="B290" s="2"/>
      <c r="C290" s="11"/>
      <c r="D290" s="2"/>
      <c r="E290" s="11"/>
      <c r="F290" s="3"/>
    </row>
    <row r="291" spans="2:7" x14ac:dyDescent="0.25">
      <c r="B291" s="2"/>
      <c r="C291" s="11"/>
      <c r="D291" s="2"/>
      <c r="E291" s="11"/>
      <c r="F291" s="3"/>
    </row>
    <row r="292" spans="2:7" x14ac:dyDescent="0.25">
      <c r="B292" s="2"/>
      <c r="C292" s="11"/>
      <c r="D292" s="2"/>
      <c r="E292" s="11"/>
      <c r="F292" s="3"/>
      <c r="G292" s="3"/>
    </row>
    <row r="293" spans="2:7" x14ac:dyDescent="0.25">
      <c r="B293" s="2"/>
      <c r="C293" s="11"/>
      <c r="D293" s="2"/>
      <c r="E293" s="11"/>
      <c r="F293" s="3"/>
    </row>
    <row r="294" spans="2:7" x14ac:dyDescent="0.25">
      <c r="B294" s="2"/>
      <c r="C294" s="11"/>
      <c r="D294" s="2"/>
      <c r="E294" s="11"/>
      <c r="F294" s="3"/>
    </row>
    <row r="295" spans="2:7" x14ac:dyDescent="0.25">
      <c r="B295" s="2"/>
      <c r="C295" s="11"/>
      <c r="D295" s="2"/>
      <c r="E295" s="11"/>
      <c r="F295" s="3"/>
      <c r="G295" s="3"/>
    </row>
    <row r="296" spans="2:7" x14ac:dyDescent="0.25">
      <c r="B296" s="2"/>
      <c r="C296" s="11"/>
      <c r="D296" s="2"/>
      <c r="E296" s="11"/>
      <c r="F296" s="3"/>
    </row>
    <row r="297" spans="2:7" x14ac:dyDescent="0.25">
      <c r="B297" s="2"/>
      <c r="C297" s="11"/>
      <c r="D297" s="2"/>
      <c r="E297" s="11"/>
      <c r="F297" s="3"/>
    </row>
    <row r="298" spans="2:7" x14ac:dyDescent="0.25">
      <c r="B298" s="2"/>
      <c r="C298" s="11"/>
      <c r="D298" s="2"/>
      <c r="E298" s="11"/>
      <c r="F298" s="3"/>
      <c r="G298" s="3"/>
    </row>
    <row r="299" spans="2:7" x14ac:dyDescent="0.25">
      <c r="B299" s="2"/>
      <c r="C299" s="11"/>
      <c r="D299" s="2"/>
      <c r="E299" s="11"/>
      <c r="F299" s="3"/>
    </row>
    <row r="300" spans="2:7" x14ac:dyDescent="0.25">
      <c r="B300" s="2"/>
      <c r="C300" s="11"/>
      <c r="D300" s="2"/>
      <c r="E300" s="11"/>
      <c r="F300" s="3"/>
    </row>
    <row r="301" spans="2:7" x14ac:dyDescent="0.25">
      <c r="B301" s="2"/>
      <c r="C301" s="11"/>
      <c r="D301" s="2"/>
      <c r="E301" s="11"/>
      <c r="F301" s="3"/>
      <c r="G301" s="3"/>
    </row>
    <row r="302" spans="2:7" x14ac:dyDescent="0.25">
      <c r="B302" s="2"/>
      <c r="C302" s="11"/>
      <c r="D302" s="2"/>
      <c r="E302" s="11"/>
      <c r="F302" s="3"/>
    </row>
    <row r="303" spans="2:7" x14ac:dyDescent="0.25">
      <c r="B303" s="2"/>
      <c r="C303" s="11"/>
      <c r="D303" s="2"/>
      <c r="E303" s="11"/>
      <c r="F303" s="3"/>
    </row>
    <row r="304" spans="2:7" x14ac:dyDescent="0.25">
      <c r="B304" s="2"/>
      <c r="C304" s="11"/>
      <c r="D304" s="2"/>
      <c r="E304" s="11"/>
      <c r="F304" s="3"/>
      <c r="G304" s="3"/>
    </row>
    <row r="305" spans="2:7" x14ac:dyDescent="0.25">
      <c r="B305" s="2"/>
      <c r="C305" s="11"/>
      <c r="D305" s="2"/>
      <c r="E305" s="11"/>
      <c r="F305" s="3"/>
    </row>
    <row r="306" spans="2:7" x14ac:dyDescent="0.25">
      <c r="B306" s="2"/>
      <c r="C306" s="11"/>
      <c r="D306" s="2"/>
      <c r="E306" s="11"/>
      <c r="F306" s="3"/>
    </row>
    <row r="307" spans="2:7" x14ac:dyDescent="0.25">
      <c r="B307" s="2"/>
      <c r="C307" s="11"/>
      <c r="D307" s="2"/>
      <c r="E307" s="11"/>
      <c r="F307" s="3"/>
      <c r="G307" s="3"/>
    </row>
    <row r="308" spans="2:7" x14ac:dyDescent="0.25">
      <c r="B308" s="2"/>
      <c r="C308" s="11"/>
      <c r="D308" s="2"/>
      <c r="E308" s="11"/>
      <c r="F308" s="3"/>
    </row>
    <row r="309" spans="2:7" x14ac:dyDescent="0.25">
      <c r="B309" s="2"/>
      <c r="C309" s="11"/>
      <c r="D309" s="2"/>
      <c r="E309" s="11"/>
      <c r="F309" s="3"/>
    </row>
    <row r="310" spans="2:7" x14ac:dyDescent="0.25">
      <c r="B310" s="2"/>
      <c r="C310" s="11"/>
      <c r="D310" s="2"/>
      <c r="E310" s="11"/>
      <c r="F310" s="3"/>
      <c r="G310" s="3"/>
    </row>
    <row r="311" spans="2:7" x14ac:dyDescent="0.25">
      <c r="B311" s="2"/>
      <c r="C311" s="11"/>
      <c r="D311" s="2"/>
      <c r="E311" s="11"/>
      <c r="F311" s="3"/>
    </row>
    <row r="312" spans="2:7" x14ac:dyDescent="0.25">
      <c r="B312" s="2"/>
      <c r="C312" s="11"/>
      <c r="D312" s="2"/>
      <c r="E312" s="11"/>
      <c r="F312" s="3"/>
    </row>
    <row r="313" spans="2:7" x14ac:dyDescent="0.25">
      <c r="B313" s="2"/>
      <c r="C313" s="11"/>
      <c r="D313" s="2"/>
      <c r="E313" s="11"/>
      <c r="F313" s="3"/>
      <c r="G313" s="3"/>
    </row>
    <row r="314" spans="2:7" x14ac:dyDescent="0.25">
      <c r="B314" s="2"/>
      <c r="C314" s="11"/>
      <c r="D314" s="2"/>
      <c r="E314" s="11"/>
      <c r="F314" s="3"/>
    </row>
    <row r="315" spans="2:7" x14ac:dyDescent="0.25">
      <c r="B315" s="2"/>
      <c r="C315" s="11"/>
      <c r="D315" s="2"/>
      <c r="E315" s="11"/>
      <c r="F315" s="3"/>
    </row>
    <row r="316" spans="2:7" x14ac:dyDescent="0.25">
      <c r="B316" s="2"/>
      <c r="C316" s="11"/>
      <c r="D316" s="2"/>
      <c r="E316" s="11"/>
      <c r="F316" s="3"/>
      <c r="G316" s="3"/>
    </row>
    <row r="317" spans="2:7" x14ac:dyDescent="0.25">
      <c r="B317" s="2"/>
      <c r="C317" s="11"/>
      <c r="D317" s="2"/>
      <c r="E317" s="11"/>
      <c r="F317" s="3"/>
    </row>
    <row r="318" spans="2:7" x14ac:dyDescent="0.25">
      <c r="B318" s="2"/>
      <c r="C318" s="11"/>
      <c r="D318" s="2"/>
      <c r="E318" s="11"/>
      <c r="F318" s="3"/>
    </row>
    <row r="319" spans="2:7" x14ac:dyDescent="0.25">
      <c r="B319" s="2"/>
      <c r="C319" s="11"/>
      <c r="D319" s="2"/>
      <c r="E319" s="11"/>
      <c r="F319" s="3"/>
      <c r="G319" s="3"/>
    </row>
    <row r="320" spans="2:7" x14ac:dyDescent="0.25">
      <c r="B320" s="2"/>
      <c r="C320" s="11"/>
      <c r="D320" s="2"/>
      <c r="E320" s="11"/>
      <c r="F320" s="3"/>
    </row>
    <row r="321" spans="2:7" x14ac:dyDescent="0.25">
      <c r="B321" s="2"/>
      <c r="C321" s="11"/>
      <c r="D321" s="2"/>
      <c r="E321" s="11"/>
      <c r="F321" s="3"/>
    </row>
    <row r="322" spans="2:7" x14ac:dyDescent="0.25">
      <c r="B322" s="2"/>
      <c r="C322" s="11"/>
      <c r="D322" s="2"/>
      <c r="E322" s="11"/>
      <c r="F322" s="3"/>
      <c r="G322" s="3"/>
    </row>
    <row r="323" spans="2:7" x14ac:dyDescent="0.25">
      <c r="B323" s="2"/>
      <c r="C323" s="11"/>
      <c r="D323" s="2"/>
      <c r="E323" s="11"/>
      <c r="F323" s="3"/>
    </row>
    <row r="324" spans="2:7" x14ac:dyDescent="0.25">
      <c r="B324" s="2"/>
      <c r="C324" s="11"/>
      <c r="D324" s="2"/>
      <c r="E324" s="11"/>
      <c r="F324" s="3"/>
    </row>
    <row r="325" spans="2:7" x14ac:dyDescent="0.25">
      <c r="B325" s="2"/>
      <c r="C325" s="11"/>
      <c r="D325" s="2"/>
      <c r="E325" s="11"/>
      <c r="F325" s="3"/>
      <c r="G325" s="3"/>
    </row>
    <row r="326" spans="2:7" x14ac:dyDescent="0.25">
      <c r="B326" s="2"/>
      <c r="C326" s="11"/>
      <c r="D326" s="2"/>
      <c r="E326" s="11"/>
      <c r="F326" s="3"/>
    </row>
    <row r="327" spans="2:7" x14ac:dyDescent="0.25">
      <c r="B327" s="2"/>
      <c r="C327" s="11"/>
      <c r="D327" s="2"/>
      <c r="E327" s="11"/>
      <c r="F327" s="3"/>
    </row>
    <row r="328" spans="2:7" x14ac:dyDescent="0.25">
      <c r="B328" s="2"/>
      <c r="C328" s="11"/>
      <c r="D328" s="2"/>
      <c r="E328" s="11"/>
      <c r="F328" s="3"/>
      <c r="G328" s="3"/>
    </row>
    <row r="329" spans="2:7" x14ac:dyDescent="0.25">
      <c r="B329" s="2"/>
      <c r="C329" s="11"/>
      <c r="D329" s="2"/>
      <c r="E329" s="11"/>
      <c r="F329" s="3"/>
    </row>
    <row r="330" spans="2:7" x14ac:dyDescent="0.25">
      <c r="B330" s="2"/>
      <c r="C330" s="11"/>
      <c r="D330" s="2"/>
      <c r="E330" s="11"/>
      <c r="F330" s="3"/>
    </row>
    <row r="331" spans="2:7" x14ac:dyDescent="0.25">
      <c r="B331" s="2"/>
      <c r="C331" s="11"/>
      <c r="D331" s="2"/>
      <c r="E331" s="11"/>
      <c r="F331" s="3"/>
      <c r="G331" s="3"/>
    </row>
    <row r="332" spans="2:7" x14ac:dyDescent="0.25">
      <c r="B332" s="2"/>
      <c r="C332" s="11"/>
      <c r="D332" s="2"/>
      <c r="E332" s="11"/>
      <c r="F332" s="3"/>
    </row>
    <row r="333" spans="2:7" x14ac:dyDescent="0.25">
      <c r="B333" s="2"/>
      <c r="C333" s="11"/>
      <c r="D333" s="2"/>
      <c r="E333" s="11"/>
      <c r="F333" s="3"/>
    </row>
    <row r="334" spans="2:7" x14ac:dyDescent="0.25">
      <c r="B334" s="2"/>
      <c r="C334" s="11"/>
      <c r="D334" s="2"/>
      <c r="E334" s="11"/>
      <c r="F334" s="3"/>
      <c r="G334" s="3"/>
    </row>
    <row r="335" spans="2:7" x14ac:dyDescent="0.25">
      <c r="B335" s="2"/>
      <c r="C335" s="11"/>
      <c r="D335" s="2"/>
      <c r="E335" s="11"/>
      <c r="F335" s="3"/>
    </row>
    <row r="336" spans="2:7" x14ac:dyDescent="0.25">
      <c r="B336" s="2"/>
      <c r="C336" s="11"/>
      <c r="D336" s="2"/>
      <c r="E336" s="11"/>
      <c r="F336" s="3"/>
    </row>
    <row r="337" spans="2:7" x14ac:dyDescent="0.25">
      <c r="B337" s="2"/>
      <c r="C337" s="11"/>
      <c r="D337" s="2"/>
      <c r="E337" s="11"/>
      <c r="F337" s="3"/>
      <c r="G337" s="3"/>
    </row>
    <row r="338" spans="2:7" x14ac:dyDescent="0.25">
      <c r="B338" s="2"/>
      <c r="C338" s="11"/>
      <c r="D338" s="2"/>
      <c r="E338" s="11"/>
      <c r="F338" s="3"/>
    </row>
    <row r="339" spans="2:7" x14ac:dyDescent="0.25">
      <c r="B339" s="2"/>
      <c r="C339" s="11"/>
      <c r="D339" s="2"/>
      <c r="E339" s="11"/>
      <c r="F339" s="3"/>
    </row>
    <row r="340" spans="2:7" x14ac:dyDescent="0.25">
      <c r="B340" s="2"/>
      <c r="C340" s="11"/>
      <c r="D340" s="2"/>
      <c r="E340" s="11"/>
      <c r="F340" s="3"/>
      <c r="G340" s="3"/>
    </row>
    <row r="341" spans="2:7" x14ac:dyDescent="0.25">
      <c r="B341" s="2"/>
      <c r="C341" s="11"/>
      <c r="D341" s="2"/>
      <c r="E341" s="11"/>
      <c r="F341" s="3"/>
    </row>
    <row r="342" spans="2:7" x14ac:dyDescent="0.25">
      <c r="B342" s="2"/>
      <c r="C342" s="11"/>
      <c r="D342" s="2"/>
      <c r="E342" s="11"/>
      <c r="F342" s="3"/>
    </row>
    <row r="343" spans="2:7" x14ac:dyDescent="0.25">
      <c r="B343" s="2"/>
      <c r="C343" s="11"/>
      <c r="D343" s="2"/>
      <c r="E343" s="11"/>
      <c r="F343" s="3"/>
      <c r="G343" s="3"/>
    </row>
    <row r="344" spans="2:7" x14ac:dyDescent="0.25">
      <c r="B344" s="2"/>
      <c r="C344" s="11"/>
      <c r="D344" s="2"/>
      <c r="E344" s="11"/>
      <c r="F344" s="3"/>
    </row>
    <row r="345" spans="2:7" x14ac:dyDescent="0.25">
      <c r="B345" s="2"/>
      <c r="C345" s="11"/>
      <c r="D345" s="2"/>
      <c r="E345" s="11"/>
      <c r="F345" s="3"/>
    </row>
    <row r="346" spans="2:7" x14ac:dyDescent="0.25">
      <c r="B346" s="2"/>
      <c r="C346" s="11"/>
      <c r="D346" s="2"/>
      <c r="E346" s="11"/>
      <c r="F346" s="3"/>
      <c r="G346" s="3"/>
    </row>
    <row r="347" spans="2:7" x14ac:dyDescent="0.25">
      <c r="B347" s="2"/>
      <c r="C347" s="11"/>
      <c r="D347" s="2"/>
      <c r="E347" s="11"/>
      <c r="F347" s="3"/>
    </row>
    <row r="348" spans="2:7" x14ac:dyDescent="0.25">
      <c r="B348" s="2"/>
      <c r="C348" s="11"/>
      <c r="D348" s="2"/>
      <c r="E348" s="11"/>
      <c r="F348" s="3"/>
    </row>
    <row r="349" spans="2:7" x14ac:dyDescent="0.25">
      <c r="B349" s="2"/>
      <c r="C349" s="11"/>
      <c r="D349" s="2"/>
      <c r="E349" s="11"/>
      <c r="F349" s="3"/>
      <c r="G349" s="3"/>
    </row>
    <row r="350" spans="2:7" x14ac:dyDescent="0.25">
      <c r="B350" s="2"/>
      <c r="C350" s="11"/>
      <c r="D350" s="2"/>
      <c r="E350" s="11"/>
      <c r="F350" s="3"/>
    </row>
    <row r="351" spans="2:7" x14ac:dyDescent="0.25">
      <c r="B351" s="2"/>
      <c r="C351" s="11"/>
      <c r="D351" s="2"/>
      <c r="E351" s="11"/>
      <c r="F351" s="3"/>
    </row>
    <row r="352" spans="2:7" x14ac:dyDescent="0.25">
      <c r="B352" s="2"/>
      <c r="C352" s="11"/>
      <c r="D352" s="2"/>
      <c r="E352" s="11"/>
      <c r="F352" s="3"/>
      <c r="G352" s="3"/>
    </row>
    <row r="353" spans="2:7" x14ac:dyDescent="0.25">
      <c r="B353" s="2"/>
      <c r="C353" s="11"/>
      <c r="D353" s="2"/>
      <c r="E353" s="11"/>
      <c r="F353" s="3"/>
    </row>
    <row r="354" spans="2:7" x14ac:dyDescent="0.25">
      <c r="B354" s="2"/>
      <c r="C354" s="11"/>
      <c r="D354" s="2"/>
      <c r="E354" s="11"/>
      <c r="F354" s="3"/>
    </row>
    <row r="355" spans="2:7" x14ac:dyDescent="0.25">
      <c r="B355" s="2"/>
      <c r="C355" s="11"/>
      <c r="D355" s="2"/>
      <c r="E355" s="11"/>
      <c r="F355" s="3"/>
      <c r="G355" s="3"/>
    </row>
    <row r="356" spans="2:7" x14ac:dyDescent="0.25">
      <c r="B356" s="2"/>
      <c r="C356" s="11"/>
      <c r="D356" s="2"/>
      <c r="E356" s="11"/>
      <c r="F356" s="3"/>
    </row>
    <row r="357" spans="2:7" x14ac:dyDescent="0.25">
      <c r="B357" s="2"/>
      <c r="C357" s="11"/>
      <c r="D357" s="2"/>
      <c r="E357" s="11"/>
      <c r="F357" s="3"/>
    </row>
    <row r="358" spans="2:7" x14ac:dyDescent="0.25">
      <c r="B358" s="2"/>
      <c r="C358" s="11"/>
      <c r="D358" s="2"/>
      <c r="E358" s="11"/>
      <c r="F358" s="3"/>
      <c r="G358" s="3"/>
    </row>
    <row r="359" spans="2:7" x14ac:dyDescent="0.25">
      <c r="B359" s="2"/>
      <c r="C359" s="11"/>
      <c r="D359" s="2"/>
      <c r="E359" s="11"/>
      <c r="F359" s="3"/>
    </row>
    <row r="360" spans="2:7" x14ac:dyDescent="0.25">
      <c r="B360" s="2"/>
      <c r="C360" s="11"/>
      <c r="D360" s="2"/>
      <c r="E360" s="11"/>
      <c r="F360" s="3"/>
    </row>
    <row r="361" spans="2:7" x14ac:dyDescent="0.25">
      <c r="B361" s="2"/>
      <c r="C361" s="11"/>
      <c r="D361" s="2"/>
      <c r="E361" s="11"/>
      <c r="F361" s="3"/>
      <c r="G361" s="3"/>
    </row>
    <row r="362" spans="2:7" x14ac:dyDescent="0.25">
      <c r="B362" s="2"/>
      <c r="C362" s="11"/>
      <c r="D362" s="2"/>
      <c r="E362" s="11"/>
      <c r="F362" s="3"/>
    </row>
    <row r="363" spans="2:7" x14ac:dyDescent="0.25">
      <c r="B363" s="2"/>
      <c r="C363" s="11"/>
      <c r="D363" s="2"/>
      <c r="E363" s="11"/>
      <c r="F363" s="3"/>
    </row>
    <row r="364" spans="2:7" x14ac:dyDescent="0.25">
      <c r="B364" s="2"/>
      <c r="C364" s="11"/>
      <c r="D364" s="2"/>
      <c r="E364" s="11"/>
      <c r="F364" s="3"/>
      <c r="G364" s="3"/>
    </row>
    <row r="365" spans="2:7" x14ac:dyDescent="0.25">
      <c r="B365" s="2"/>
      <c r="C365" s="11"/>
      <c r="D365" s="2"/>
      <c r="E365" s="11"/>
      <c r="F365" s="3"/>
    </row>
    <row r="366" spans="2:7" x14ac:dyDescent="0.25">
      <c r="B366" s="2"/>
      <c r="C366" s="11"/>
      <c r="D366" s="2"/>
      <c r="E366" s="11"/>
      <c r="F366" s="3"/>
    </row>
    <row r="367" spans="2:7" x14ac:dyDescent="0.25">
      <c r="B367" s="2"/>
      <c r="C367" s="11"/>
      <c r="D367" s="2"/>
      <c r="E367" s="11"/>
      <c r="F367" s="3"/>
      <c r="G367" s="3"/>
    </row>
    <row r="368" spans="2:7" x14ac:dyDescent="0.25">
      <c r="B368" s="2"/>
      <c r="C368" s="11"/>
      <c r="D368" s="2"/>
      <c r="E368" s="11"/>
      <c r="F368" s="3"/>
    </row>
    <row r="369" spans="2:7" x14ac:dyDescent="0.25">
      <c r="B369" s="2"/>
      <c r="C369" s="11"/>
      <c r="D369" s="2"/>
      <c r="E369" s="11"/>
      <c r="F369" s="3"/>
    </row>
    <row r="370" spans="2:7" x14ac:dyDescent="0.25">
      <c r="B370" s="2"/>
      <c r="C370" s="11"/>
      <c r="D370" s="2"/>
      <c r="E370" s="11"/>
      <c r="F370" s="3"/>
      <c r="G370" s="3"/>
    </row>
    <row r="371" spans="2:7" x14ac:dyDescent="0.25">
      <c r="B371" s="2"/>
      <c r="C371" s="11"/>
      <c r="D371" s="2"/>
      <c r="E371" s="11"/>
      <c r="F371" s="3"/>
    </row>
    <row r="372" spans="2:7" x14ac:dyDescent="0.25">
      <c r="B372" s="2"/>
      <c r="C372" s="11"/>
      <c r="D372" s="2"/>
      <c r="E372" s="11"/>
      <c r="F372" s="3"/>
    </row>
    <row r="373" spans="2:7" x14ac:dyDescent="0.25">
      <c r="B373" s="2"/>
      <c r="C373" s="11"/>
      <c r="D373" s="2"/>
      <c r="E373" s="11"/>
      <c r="F373" s="3"/>
      <c r="G373" s="3"/>
    </row>
    <row r="374" spans="2:7" x14ac:dyDescent="0.25">
      <c r="B374" s="2"/>
      <c r="C374" s="11"/>
      <c r="D374" s="2"/>
      <c r="E374" s="11"/>
      <c r="F374" s="3"/>
    </row>
    <row r="375" spans="2:7" x14ac:dyDescent="0.25">
      <c r="B375" s="2"/>
      <c r="C375" s="11"/>
      <c r="D375" s="2"/>
      <c r="E375" s="11"/>
      <c r="F375" s="3"/>
    </row>
    <row r="376" spans="2:7" x14ac:dyDescent="0.25">
      <c r="B376" s="2"/>
      <c r="C376" s="11"/>
      <c r="D376" s="2"/>
      <c r="E376" s="11"/>
      <c r="F376" s="3"/>
      <c r="G376" s="3"/>
    </row>
    <row r="377" spans="2:7" x14ac:dyDescent="0.25">
      <c r="B377" s="2"/>
      <c r="C377" s="11"/>
      <c r="D377" s="2"/>
      <c r="E377" s="11"/>
      <c r="F377" s="3"/>
    </row>
    <row r="378" spans="2:7" x14ac:dyDescent="0.25">
      <c r="B378" s="2"/>
      <c r="C378" s="11"/>
      <c r="D378" s="2"/>
      <c r="E378" s="11"/>
      <c r="F378" s="3"/>
    </row>
    <row r="379" spans="2:7" x14ac:dyDescent="0.25">
      <c r="B379" s="2"/>
      <c r="C379" s="11"/>
      <c r="D379" s="2"/>
      <c r="E379" s="11"/>
      <c r="F379" s="3"/>
      <c r="G379" s="3"/>
    </row>
    <row r="380" spans="2:7" x14ac:dyDescent="0.25">
      <c r="B380" s="2"/>
      <c r="C380" s="11"/>
      <c r="D380" s="2"/>
      <c r="E380" s="11"/>
      <c r="F380" s="3"/>
    </row>
    <row r="381" spans="2:7" x14ac:dyDescent="0.25">
      <c r="B381" s="2"/>
      <c r="C381" s="11"/>
      <c r="D381" s="2"/>
      <c r="E381" s="11"/>
      <c r="F381" s="3"/>
    </row>
    <row r="382" spans="2:7" x14ac:dyDescent="0.25">
      <c r="B382" s="2"/>
      <c r="C382" s="11"/>
      <c r="D382" s="2"/>
      <c r="E382" s="11"/>
      <c r="F382" s="3"/>
      <c r="G382" s="3"/>
    </row>
    <row r="383" spans="2:7" x14ac:dyDescent="0.25">
      <c r="B383" s="2"/>
      <c r="C383" s="11"/>
      <c r="D383" s="2"/>
      <c r="E383" s="11"/>
      <c r="F383" s="3"/>
    </row>
    <row r="384" spans="2:7" x14ac:dyDescent="0.25">
      <c r="B384" s="2"/>
      <c r="C384" s="11"/>
      <c r="D384" s="2"/>
      <c r="E384" s="11"/>
      <c r="F384" s="3"/>
    </row>
    <row r="385" spans="2:7" x14ac:dyDescent="0.25">
      <c r="B385" s="2"/>
      <c r="C385" s="11"/>
      <c r="D385" s="2"/>
      <c r="E385" s="11"/>
      <c r="F385" s="3"/>
      <c r="G385" s="3"/>
    </row>
    <row r="386" spans="2:7" x14ac:dyDescent="0.25">
      <c r="B386" s="2"/>
      <c r="C386" s="11"/>
      <c r="D386" s="2"/>
      <c r="E386" s="11"/>
      <c r="F386" s="3"/>
    </row>
    <row r="387" spans="2:7" x14ac:dyDescent="0.25">
      <c r="B387" s="2"/>
      <c r="C387" s="11"/>
      <c r="D387" s="2"/>
      <c r="E387" s="11"/>
      <c r="F387" s="3"/>
    </row>
    <row r="388" spans="2:7" x14ac:dyDescent="0.25">
      <c r="B388" s="2"/>
      <c r="C388" s="11"/>
      <c r="D388" s="2"/>
      <c r="E388" s="11"/>
      <c r="F388" s="3"/>
      <c r="G388" s="3"/>
    </row>
    <row r="389" spans="2:7" x14ac:dyDescent="0.25">
      <c r="B389" s="2"/>
      <c r="C389" s="11"/>
      <c r="D389" s="2"/>
      <c r="E389" s="11"/>
      <c r="F389" s="3"/>
    </row>
    <row r="390" spans="2:7" x14ac:dyDescent="0.25">
      <c r="B390" s="2"/>
      <c r="C390" s="11"/>
      <c r="D390" s="2"/>
      <c r="E390" s="11"/>
      <c r="F390" s="3"/>
    </row>
    <row r="391" spans="2:7" x14ac:dyDescent="0.25">
      <c r="B391" s="2"/>
      <c r="C391" s="11"/>
      <c r="D391" s="2"/>
      <c r="E391" s="11"/>
      <c r="F391" s="3"/>
      <c r="G391" s="3"/>
    </row>
    <row r="392" spans="2:7" x14ac:dyDescent="0.25">
      <c r="B392" s="2"/>
      <c r="C392" s="11"/>
      <c r="D392" s="2"/>
      <c r="E392" s="11"/>
      <c r="F392" s="3"/>
    </row>
    <row r="393" spans="2:7" x14ac:dyDescent="0.25">
      <c r="B393" s="2"/>
      <c r="C393" s="11"/>
      <c r="D393" s="2"/>
      <c r="E393" s="11"/>
      <c r="F393" s="3"/>
    </row>
    <row r="394" spans="2:7" x14ac:dyDescent="0.25">
      <c r="B394" s="2"/>
      <c r="C394" s="11"/>
      <c r="D394" s="2"/>
      <c r="E394" s="11"/>
      <c r="F394" s="3"/>
      <c r="G394" s="3"/>
    </row>
    <row r="395" spans="2:7" x14ac:dyDescent="0.25">
      <c r="B395" s="2"/>
      <c r="C395" s="11"/>
      <c r="D395" s="2"/>
      <c r="E395" s="11"/>
      <c r="F395" s="3"/>
    </row>
    <row r="396" spans="2:7" x14ac:dyDescent="0.25">
      <c r="B396" s="2"/>
      <c r="C396" s="11"/>
      <c r="D396" s="2"/>
      <c r="E396" s="11"/>
      <c r="F396" s="3"/>
    </row>
    <row r="397" spans="2:7" x14ac:dyDescent="0.25">
      <c r="B397" s="2"/>
      <c r="C397" s="11"/>
      <c r="D397" s="2"/>
      <c r="E397" s="11"/>
      <c r="F397" s="3"/>
      <c r="G397" s="3"/>
    </row>
    <row r="398" spans="2:7" x14ac:dyDescent="0.25">
      <c r="B398" s="2"/>
      <c r="C398" s="11"/>
      <c r="D398" s="2"/>
      <c r="E398" s="11"/>
      <c r="F398" s="3"/>
    </row>
    <row r="399" spans="2:7" x14ac:dyDescent="0.25">
      <c r="B399" s="2"/>
      <c r="C399" s="11"/>
      <c r="D399" s="2"/>
      <c r="E399" s="11"/>
      <c r="F399" s="3"/>
    </row>
    <row r="400" spans="2:7" x14ac:dyDescent="0.25">
      <c r="B400" s="2"/>
      <c r="C400" s="11"/>
      <c r="D400" s="2"/>
      <c r="E400" s="11"/>
      <c r="F400" s="3"/>
      <c r="G400" s="3"/>
    </row>
    <row r="401" spans="2:7" x14ac:dyDescent="0.25">
      <c r="B401" s="2"/>
      <c r="C401" s="11"/>
      <c r="D401" s="2"/>
      <c r="E401" s="11"/>
      <c r="F401" s="3"/>
    </row>
    <row r="402" spans="2:7" x14ac:dyDescent="0.25">
      <c r="B402" s="2"/>
      <c r="C402" s="11"/>
      <c r="D402" s="2"/>
      <c r="E402" s="11"/>
      <c r="F402" s="3"/>
    </row>
    <row r="403" spans="2:7" x14ac:dyDescent="0.25">
      <c r="B403" s="2"/>
      <c r="C403" s="11"/>
      <c r="D403" s="2"/>
      <c r="E403" s="11"/>
      <c r="F403" s="3"/>
      <c r="G403" s="3"/>
    </row>
    <row r="404" spans="2:7" x14ac:dyDescent="0.25">
      <c r="B404" s="2"/>
      <c r="C404" s="11"/>
      <c r="D404" s="2"/>
      <c r="E404" s="11"/>
      <c r="F404" s="3"/>
    </row>
    <row r="405" spans="2:7" x14ac:dyDescent="0.25">
      <c r="B405" s="2"/>
      <c r="C405" s="11"/>
      <c r="D405" s="2"/>
      <c r="E405" s="11"/>
      <c r="F405" s="3"/>
    </row>
    <row r="406" spans="2:7" x14ac:dyDescent="0.25">
      <c r="B406" s="2"/>
      <c r="C406" s="11"/>
      <c r="D406" s="2"/>
      <c r="E406" s="11"/>
      <c r="F406" s="3"/>
      <c r="G406" s="3"/>
    </row>
    <row r="407" spans="2:7" x14ac:dyDescent="0.25">
      <c r="B407" s="2"/>
      <c r="C407" s="11"/>
      <c r="D407" s="2"/>
      <c r="E407" s="11"/>
      <c r="F407" s="3"/>
    </row>
    <row r="408" spans="2:7" x14ac:dyDescent="0.25">
      <c r="B408" s="2"/>
      <c r="C408" s="11"/>
      <c r="D408" s="2"/>
      <c r="E408" s="11"/>
      <c r="F408" s="3"/>
    </row>
    <row r="409" spans="2:7" x14ac:dyDescent="0.25">
      <c r="B409" s="2"/>
      <c r="C409" s="11"/>
      <c r="D409" s="2"/>
      <c r="E409" s="11"/>
      <c r="F409" s="3"/>
      <c r="G409" s="3"/>
    </row>
    <row r="410" spans="2:7" x14ac:dyDescent="0.25">
      <c r="B410" s="2"/>
      <c r="C410" s="11"/>
      <c r="D410" s="2"/>
      <c r="E410" s="11"/>
      <c r="F410" s="3"/>
    </row>
    <row r="411" spans="2:7" x14ac:dyDescent="0.25">
      <c r="B411" s="2"/>
      <c r="C411" s="11"/>
      <c r="D411" s="2"/>
      <c r="E411" s="11"/>
      <c r="F411" s="3"/>
    </row>
    <row r="412" spans="2:7" x14ac:dyDescent="0.25">
      <c r="B412" s="2"/>
      <c r="C412" s="11"/>
      <c r="D412" s="2"/>
      <c r="E412" s="11"/>
      <c r="F412" s="3"/>
      <c r="G412" s="3"/>
    </row>
    <row r="413" spans="2:7" x14ac:dyDescent="0.25">
      <c r="B413" s="2"/>
      <c r="C413" s="11"/>
      <c r="D413" s="2"/>
      <c r="E413" s="11"/>
      <c r="F413" s="3"/>
    </row>
    <row r="414" spans="2:7" x14ac:dyDescent="0.25">
      <c r="B414" s="2"/>
      <c r="C414" s="11"/>
      <c r="D414" s="2"/>
      <c r="E414" s="11"/>
      <c r="F414" s="3"/>
    </row>
    <row r="415" spans="2:7" x14ac:dyDescent="0.25">
      <c r="B415" s="2"/>
      <c r="C415" s="11"/>
      <c r="D415" s="2"/>
      <c r="E415" s="11"/>
      <c r="F415" s="3"/>
      <c r="G415" s="3"/>
    </row>
    <row r="416" spans="2:7" x14ac:dyDescent="0.25">
      <c r="B416" s="2"/>
      <c r="C416" s="11"/>
      <c r="D416" s="2"/>
      <c r="E416" s="11"/>
      <c r="F416" s="3"/>
    </row>
    <row r="417" spans="2:7" x14ac:dyDescent="0.25">
      <c r="B417" s="2"/>
      <c r="C417" s="11"/>
      <c r="D417" s="2"/>
      <c r="E417" s="11"/>
      <c r="F417" s="3"/>
    </row>
    <row r="418" spans="2:7" x14ac:dyDescent="0.25">
      <c r="B418" s="2"/>
      <c r="C418" s="11"/>
      <c r="D418" s="2"/>
      <c r="E418" s="11"/>
      <c r="F418" s="3"/>
      <c r="G418" s="3"/>
    </row>
    <row r="419" spans="2:7" x14ac:dyDescent="0.25">
      <c r="B419" s="2"/>
      <c r="C419" s="11"/>
      <c r="D419" s="2"/>
      <c r="E419" s="11"/>
      <c r="F419" s="3"/>
    </row>
    <row r="420" spans="2:7" x14ac:dyDescent="0.25">
      <c r="B420" s="2"/>
      <c r="C420" s="11"/>
      <c r="D420" s="2"/>
      <c r="E420" s="11"/>
      <c r="F420" s="3"/>
    </row>
    <row r="421" spans="2:7" x14ac:dyDescent="0.25">
      <c r="B421" s="2"/>
      <c r="C421" s="11"/>
      <c r="D421" s="2"/>
      <c r="E421" s="11"/>
      <c r="F421" s="3"/>
      <c r="G421" s="3"/>
    </row>
    <row r="422" spans="2:7" x14ac:dyDescent="0.25">
      <c r="B422" s="2"/>
      <c r="C422" s="11"/>
      <c r="D422" s="2"/>
      <c r="E422" s="11"/>
      <c r="F422" s="3"/>
    </row>
    <row r="423" spans="2:7" x14ac:dyDescent="0.25">
      <c r="B423" s="2"/>
      <c r="C423" s="11"/>
      <c r="D423" s="2"/>
      <c r="E423" s="11"/>
      <c r="F423" s="3"/>
    </row>
    <row r="424" spans="2:7" x14ac:dyDescent="0.25">
      <c r="B424" s="2"/>
      <c r="C424" s="11"/>
      <c r="D424" s="2"/>
      <c r="E424" s="11"/>
      <c r="F424" s="3"/>
      <c r="G424" s="3"/>
    </row>
    <row r="425" spans="2:7" x14ac:dyDescent="0.25">
      <c r="B425" s="2"/>
      <c r="C425" s="11"/>
      <c r="D425" s="2"/>
      <c r="E425" s="11"/>
      <c r="F425" s="3"/>
    </row>
    <row r="426" spans="2:7" x14ac:dyDescent="0.25">
      <c r="B426" s="2"/>
      <c r="C426" s="11"/>
      <c r="D426" s="2"/>
      <c r="E426" s="11"/>
      <c r="F426" s="3"/>
    </row>
    <row r="427" spans="2:7" x14ac:dyDescent="0.25">
      <c r="B427" s="2"/>
      <c r="C427" s="11"/>
      <c r="D427" s="2"/>
      <c r="E427" s="11"/>
      <c r="F427" s="3"/>
      <c r="G427" s="3"/>
    </row>
    <row r="428" spans="2:7" x14ac:dyDescent="0.25">
      <c r="B428" s="2"/>
      <c r="C428" s="11"/>
      <c r="D428" s="2"/>
      <c r="E428" s="11"/>
      <c r="F428" s="3"/>
    </row>
    <row r="429" spans="2:7" x14ac:dyDescent="0.25">
      <c r="B429" s="2"/>
      <c r="C429" s="11"/>
      <c r="D429" s="2"/>
      <c r="E429" s="11"/>
      <c r="F429" s="3"/>
    </row>
    <row r="430" spans="2:7" x14ac:dyDescent="0.25">
      <c r="B430" s="2"/>
      <c r="C430" s="11"/>
      <c r="D430" s="2"/>
      <c r="E430" s="11"/>
      <c r="F430" s="3"/>
      <c r="G430" s="3"/>
    </row>
    <row r="431" spans="2:7" x14ac:dyDescent="0.25">
      <c r="B431" s="2"/>
      <c r="C431" s="11"/>
      <c r="D431" s="2"/>
      <c r="E431" s="11"/>
      <c r="F431" s="3"/>
    </row>
    <row r="432" spans="2:7" x14ac:dyDescent="0.25">
      <c r="B432" s="2"/>
      <c r="C432" s="11"/>
      <c r="D432" s="2"/>
      <c r="E432" s="11"/>
      <c r="F432" s="3"/>
    </row>
    <row r="433" spans="2:7" x14ac:dyDescent="0.25">
      <c r="B433" s="2"/>
      <c r="C433" s="11"/>
      <c r="D433" s="2"/>
      <c r="E433" s="11"/>
      <c r="F433" s="3"/>
      <c r="G433" s="3"/>
    </row>
    <row r="434" spans="2:7" x14ac:dyDescent="0.25">
      <c r="B434" s="2"/>
      <c r="C434" s="11"/>
      <c r="D434" s="2"/>
      <c r="E434" s="11"/>
      <c r="F434" s="3"/>
    </row>
    <row r="435" spans="2:7" x14ac:dyDescent="0.25">
      <c r="B435" s="2"/>
      <c r="C435" s="11"/>
      <c r="D435" s="2"/>
      <c r="E435" s="11"/>
      <c r="F435" s="3"/>
    </row>
    <row r="436" spans="2:7" x14ac:dyDescent="0.25">
      <c r="B436" s="2"/>
      <c r="C436" s="11"/>
      <c r="D436" s="2"/>
      <c r="E436" s="11"/>
      <c r="F436" s="3"/>
      <c r="G436" s="3"/>
    </row>
    <row r="437" spans="2:7" x14ac:dyDescent="0.25">
      <c r="B437" s="2"/>
      <c r="C437" s="11"/>
      <c r="D437" s="2"/>
      <c r="E437" s="11"/>
      <c r="F437" s="3"/>
    </row>
    <row r="438" spans="2:7" x14ac:dyDescent="0.25">
      <c r="B438" s="2"/>
      <c r="C438" s="11"/>
      <c r="D438" s="2"/>
      <c r="E438" s="11"/>
      <c r="F438" s="3"/>
    </row>
    <row r="439" spans="2:7" x14ac:dyDescent="0.25">
      <c r="B439" s="2"/>
      <c r="C439" s="11"/>
      <c r="D439" s="2"/>
      <c r="E439" s="11"/>
      <c r="F439" s="3"/>
      <c r="G439" s="3"/>
    </row>
    <row r="440" spans="2:7" x14ac:dyDescent="0.25">
      <c r="B440" s="2"/>
      <c r="C440" s="11"/>
      <c r="D440" s="2"/>
      <c r="E440" s="11"/>
      <c r="F440" s="3"/>
    </row>
    <row r="441" spans="2:7" x14ac:dyDescent="0.25">
      <c r="B441" s="2"/>
      <c r="C441" s="11"/>
      <c r="D441" s="2"/>
      <c r="E441" s="11"/>
      <c r="F441" s="3"/>
    </row>
    <row r="442" spans="2:7" x14ac:dyDescent="0.25">
      <c r="B442" s="2"/>
      <c r="C442" s="11"/>
      <c r="D442" s="2"/>
      <c r="E442" s="11"/>
      <c r="F442" s="3"/>
      <c r="G442" s="3"/>
    </row>
    <row r="443" spans="2:7" x14ac:dyDescent="0.25">
      <c r="B443" s="2"/>
      <c r="C443" s="11"/>
      <c r="D443" s="2"/>
      <c r="E443" s="11"/>
      <c r="F443" s="3"/>
    </row>
    <row r="444" spans="2:7" x14ac:dyDescent="0.25">
      <c r="B444" s="2"/>
      <c r="C444" s="11"/>
      <c r="D444" s="2"/>
      <c r="E444" s="11"/>
      <c r="F444" s="3"/>
    </row>
    <row r="445" spans="2:7" x14ac:dyDescent="0.25">
      <c r="B445" s="2"/>
      <c r="C445" s="11"/>
      <c r="D445" s="2"/>
      <c r="E445" s="11"/>
      <c r="F445" s="3"/>
      <c r="G445" s="3"/>
    </row>
    <row r="446" spans="2:7" x14ac:dyDescent="0.25">
      <c r="B446" s="2"/>
      <c r="C446" s="11"/>
      <c r="D446" s="2"/>
      <c r="E446" s="11"/>
      <c r="F446" s="3"/>
    </row>
    <row r="447" spans="2:7" x14ac:dyDescent="0.25">
      <c r="B447" s="2"/>
      <c r="C447" s="11"/>
      <c r="D447" s="2"/>
      <c r="E447" s="11"/>
      <c r="F447" s="3"/>
    </row>
    <row r="448" spans="2:7" x14ac:dyDescent="0.25">
      <c r="B448" s="2"/>
      <c r="C448" s="11"/>
      <c r="D448" s="2"/>
      <c r="E448" s="11"/>
      <c r="F448" s="3"/>
      <c r="G448" s="3"/>
    </row>
    <row r="449" spans="2:7" x14ac:dyDescent="0.25">
      <c r="B449" s="2"/>
      <c r="C449" s="11"/>
      <c r="D449" s="2"/>
      <c r="E449" s="11"/>
      <c r="F449" s="3"/>
    </row>
    <row r="450" spans="2:7" x14ac:dyDescent="0.25">
      <c r="B450" s="2"/>
      <c r="C450" s="11"/>
      <c r="D450" s="2"/>
      <c r="E450" s="11"/>
      <c r="F450" s="3"/>
    </row>
    <row r="451" spans="2:7" x14ac:dyDescent="0.25">
      <c r="B451" s="2"/>
      <c r="C451" s="11"/>
      <c r="D451" s="2"/>
      <c r="E451" s="11"/>
      <c r="F451" s="3"/>
      <c r="G451" s="3"/>
    </row>
    <row r="452" spans="2:7" x14ac:dyDescent="0.25">
      <c r="B452" s="2"/>
      <c r="C452" s="11"/>
      <c r="D452" s="2"/>
      <c r="E452" s="11"/>
      <c r="F452" s="3"/>
    </row>
    <row r="453" spans="2:7" x14ac:dyDescent="0.25">
      <c r="B453" s="2"/>
      <c r="C453" s="11"/>
      <c r="D453" s="2"/>
      <c r="E453" s="11"/>
      <c r="F453" s="3"/>
    </row>
    <row r="454" spans="2:7" x14ac:dyDescent="0.25">
      <c r="B454" s="2"/>
      <c r="C454" s="11"/>
      <c r="D454" s="2"/>
      <c r="E454" s="11"/>
      <c r="F454" s="3"/>
      <c r="G454" s="3"/>
    </row>
    <row r="455" spans="2:7" x14ac:dyDescent="0.25">
      <c r="B455" s="2"/>
      <c r="C455" s="11"/>
      <c r="D455" s="2"/>
      <c r="E455" s="11"/>
      <c r="F455" s="3"/>
    </row>
    <row r="456" spans="2:7" x14ac:dyDescent="0.25">
      <c r="B456" s="2"/>
      <c r="C456" s="11"/>
      <c r="D456" s="2"/>
      <c r="E456" s="11"/>
      <c r="F456" s="3"/>
    </row>
    <row r="457" spans="2:7" x14ac:dyDescent="0.25">
      <c r="B457" s="2"/>
      <c r="C457" s="11"/>
      <c r="D457" s="2"/>
      <c r="E457" s="11"/>
      <c r="F457" s="3"/>
      <c r="G457" s="3"/>
    </row>
    <row r="458" spans="2:7" x14ac:dyDescent="0.25">
      <c r="B458" s="2"/>
      <c r="C458" s="11"/>
      <c r="D458" s="2"/>
      <c r="E458" s="11"/>
      <c r="F458" s="3"/>
    </row>
    <row r="459" spans="2:7" x14ac:dyDescent="0.25">
      <c r="B459" s="2"/>
      <c r="C459" s="11"/>
      <c r="D459" s="2"/>
      <c r="E459" s="11"/>
      <c r="F459" s="3"/>
    </row>
    <row r="460" spans="2:7" x14ac:dyDescent="0.25">
      <c r="B460" s="2"/>
      <c r="C460" s="11"/>
      <c r="D460" s="2"/>
      <c r="E460" s="11"/>
      <c r="F460" s="3"/>
      <c r="G460" s="3"/>
    </row>
    <row r="461" spans="2:7" x14ac:dyDescent="0.25">
      <c r="B461" s="2"/>
      <c r="C461" s="11"/>
      <c r="D461" s="2"/>
      <c r="E461" s="11"/>
      <c r="F461" s="3"/>
    </row>
    <row r="462" spans="2:7" x14ac:dyDescent="0.25">
      <c r="B462" s="2"/>
      <c r="C462" s="11"/>
      <c r="D462" s="2"/>
      <c r="E462" s="11"/>
      <c r="F462" s="3"/>
    </row>
    <row r="463" spans="2:7" x14ac:dyDescent="0.25">
      <c r="B463" s="2"/>
      <c r="C463" s="11"/>
      <c r="D463" s="2"/>
      <c r="E463" s="11"/>
      <c r="F463" s="3"/>
      <c r="G463" s="3"/>
    </row>
    <row r="464" spans="2:7" x14ac:dyDescent="0.25">
      <c r="B464" s="2"/>
      <c r="C464" s="11"/>
      <c r="D464" s="2"/>
      <c r="E464" s="11"/>
      <c r="F464" s="3"/>
    </row>
    <row r="465" spans="2:7" x14ac:dyDescent="0.25">
      <c r="B465" s="2"/>
      <c r="C465" s="11"/>
      <c r="D465" s="2"/>
      <c r="E465" s="11"/>
      <c r="F465" s="3"/>
    </row>
    <row r="466" spans="2:7" x14ac:dyDescent="0.25">
      <c r="B466" s="2"/>
      <c r="C466" s="11"/>
      <c r="D466" s="2"/>
      <c r="E466" s="11"/>
      <c r="F466" s="3"/>
      <c r="G466" s="3"/>
    </row>
    <row r="467" spans="2:7" x14ac:dyDescent="0.25">
      <c r="B467" s="2"/>
      <c r="C467" s="11"/>
      <c r="D467" s="2"/>
      <c r="E467" s="11"/>
      <c r="F467" s="3"/>
    </row>
    <row r="468" spans="2:7" x14ac:dyDescent="0.25">
      <c r="B468" s="2"/>
      <c r="C468" s="11"/>
      <c r="D468" s="2"/>
      <c r="E468" s="11"/>
      <c r="F468" s="3"/>
    </row>
    <row r="469" spans="2:7" x14ac:dyDescent="0.25">
      <c r="B469" s="2"/>
      <c r="C469" s="11"/>
      <c r="D469" s="2"/>
      <c r="E469" s="11"/>
      <c r="F469" s="3"/>
      <c r="G469" s="3"/>
    </row>
    <row r="470" spans="2:7" x14ac:dyDescent="0.25">
      <c r="B470" s="2"/>
      <c r="C470" s="11"/>
      <c r="D470" s="2"/>
      <c r="E470" s="11"/>
      <c r="F470" s="3"/>
    </row>
    <row r="471" spans="2:7" x14ac:dyDescent="0.25">
      <c r="B471" s="2"/>
      <c r="C471" s="11"/>
      <c r="D471" s="2"/>
      <c r="E471" s="11"/>
      <c r="F471" s="3"/>
    </row>
    <row r="472" spans="2:7" x14ac:dyDescent="0.25">
      <c r="B472" s="2"/>
      <c r="C472" s="11"/>
      <c r="D472" s="2"/>
      <c r="E472" s="11"/>
      <c r="F472" s="3"/>
      <c r="G472" s="3"/>
    </row>
    <row r="473" spans="2:7" x14ac:dyDescent="0.25">
      <c r="B473" s="2"/>
      <c r="C473" s="11"/>
      <c r="D473" s="2"/>
      <c r="E473" s="11"/>
      <c r="F473" s="3"/>
    </row>
    <row r="474" spans="2:7" x14ac:dyDescent="0.25">
      <c r="B474" s="2"/>
      <c r="C474" s="11"/>
      <c r="D474" s="2"/>
      <c r="E474" s="11"/>
      <c r="F474" s="3"/>
    </row>
    <row r="475" spans="2:7" x14ac:dyDescent="0.25">
      <c r="B475" s="2"/>
      <c r="C475" s="11"/>
      <c r="D475" s="2"/>
      <c r="E475" s="11"/>
      <c r="F475" s="3"/>
      <c r="G475" s="3"/>
    </row>
    <row r="476" spans="2:7" x14ac:dyDescent="0.25">
      <c r="B476" s="2"/>
      <c r="C476" s="11"/>
      <c r="D476" s="2"/>
      <c r="E476" s="11"/>
      <c r="F476" s="3"/>
    </row>
    <row r="477" spans="2:7" x14ac:dyDescent="0.25">
      <c r="B477" s="2"/>
      <c r="C477" s="11"/>
      <c r="D477" s="2"/>
      <c r="E477" s="11"/>
      <c r="F477" s="3"/>
    </row>
    <row r="478" spans="2:7" x14ac:dyDescent="0.25">
      <c r="B478" s="2"/>
      <c r="C478" s="11"/>
      <c r="D478" s="2"/>
      <c r="E478" s="11"/>
      <c r="F478" s="3"/>
      <c r="G478" s="3"/>
    </row>
    <row r="479" spans="2:7" x14ac:dyDescent="0.25">
      <c r="B479" s="2"/>
      <c r="C479" s="11"/>
      <c r="D479" s="2"/>
      <c r="E479" s="11"/>
      <c r="F479" s="3"/>
    </row>
    <row r="480" spans="2:7" x14ac:dyDescent="0.25">
      <c r="B480" s="2"/>
      <c r="C480" s="11"/>
      <c r="D480" s="2"/>
      <c r="E480" s="11"/>
      <c r="F480" s="3"/>
    </row>
    <row r="481" spans="2:7" x14ac:dyDescent="0.25">
      <c r="B481" s="2"/>
      <c r="C481" s="11"/>
      <c r="D481" s="2"/>
      <c r="E481" s="11"/>
      <c r="F481" s="3"/>
      <c r="G481" s="3"/>
    </row>
    <row r="482" spans="2:7" x14ac:dyDescent="0.25">
      <c r="B482" s="2"/>
      <c r="C482" s="11"/>
      <c r="D482" s="2"/>
      <c r="E482" s="11"/>
      <c r="F482" s="3"/>
    </row>
    <row r="483" spans="2:7" x14ac:dyDescent="0.25">
      <c r="B483" s="2"/>
      <c r="C483" s="11"/>
      <c r="D483" s="2"/>
      <c r="E483" s="11"/>
      <c r="F483" s="3"/>
    </row>
    <row r="484" spans="2:7" x14ac:dyDescent="0.25">
      <c r="B484" s="2"/>
      <c r="C484" s="11"/>
      <c r="D484" s="2"/>
      <c r="E484" s="11"/>
      <c r="F484" s="3"/>
      <c r="G484" s="3"/>
    </row>
    <row r="485" spans="2:7" x14ac:dyDescent="0.25">
      <c r="B485" s="2"/>
      <c r="C485" s="11"/>
      <c r="D485" s="2"/>
      <c r="E485" s="11"/>
      <c r="F485" s="3"/>
    </row>
    <row r="486" spans="2:7" x14ac:dyDescent="0.25">
      <c r="B486" s="2"/>
      <c r="C486" s="11"/>
      <c r="D486" s="2"/>
      <c r="E486" s="11"/>
      <c r="F486" s="3"/>
    </row>
    <row r="487" spans="2:7" x14ac:dyDescent="0.25">
      <c r="B487" s="2"/>
      <c r="C487" s="11"/>
      <c r="D487" s="2"/>
      <c r="E487" s="11"/>
      <c r="F487" s="3"/>
      <c r="G487" s="3"/>
    </row>
    <row r="488" spans="2:7" x14ac:dyDescent="0.25">
      <c r="B488" s="2"/>
      <c r="C488" s="11"/>
      <c r="D488" s="2"/>
      <c r="E488" s="11"/>
      <c r="F488" s="3"/>
    </row>
    <row r="489" spans="2:7" x14ac:dyDescent="0.25">
      <c r="B489" s="2"/>
      <c r="C489" s="11"/>
      <c r="D489" s="2"/>
      <c r="E489" s="11"/>
      <c r="F489" s="3"/>
    </row>
    <row r="490" spans="2:7" x14ac:dyDescent="0.25">
      <c r="B490" s="2"/>
      <c r="C490" s="11"/>
      <c r="D490" s="2"/>
      <c r="E490" s="11"/>
      <c r="F490" s="3"/>
      <c r="G490" s="3"/>
    </row>
    <row r="491" spans="2:7" x14ac:dyDescent="0.25">
      <c r="B491" s="2"/>
      <c r="C491" s="11"/>
      <c r="D491" s="2"/>
      <c r="E491" s="11"/>
      <c r="F491" s="3"/>
    </row>
    <row r="492" spans="2:7" x14ac:dyDescent="0.25">
      <c r="B492" s="2"/>
      <c r="C492" s="11"/>
      <c r="D492" s="2"/>
      <c r="E492" s="11"/>
      <c r="F492" s="3"/>
    </row>
    <row r="493" spans="2:7" x14ac:dyDescent="0.25">
      <c r="B493" s="2"/>
      <c r="C493" s="11"/>
      <c r="D493" s="2"/>
      <c r="E493" s="11"/>
      <c r="F493" s="3"/>
      <c r="G493" s="3"/>
    </row>
    <row r="494" spans="2:7" x14ac:dyDescent="0.25">
      <c r="B494" s="2"/>
      <c r="C494" s="11"/>
      <c r="D494" s="2"/>
      <c r="E494" s="11"/>
      <c r="F494" s="3"/>
    </row>
    <row r="495" spans="2:7" x14ac:dyDescent="0.25">
      <c r="B495" s="2"/>
      <c r="C495" s="11"/>
      <c r="D495" s="2"/>
      <c r="E495" s="11"/>
      <c r="F495" s="3"/>
    </row>
    <row r="496" spans="2:7" x14ac:dyDescent="0.25">
      <c r="B496" s="2"/>
      <c r="C496" s="11"/>
      <c r="D496" s="2"/>
      <c r="E496" s="11"/>
      <c r="F496" s="3"/>
      <c r="G496" s="3"/>
    </row>
    <row r="497" spans="2:7" x14ac:dyDescent="0.25">
      <c r="B497" s="2"/>
      <c r="C497" s="11"/>
      <c r="D497" s="2"/>
      <c r="E497" s="11"/>
      <c r="F497" s="3"/>
    </row>
    <row r="498" spans="2:7" x14ac:dyDescent="0.25">
      <c r="B498" s="2"/>
      <c r="C498" s="11"/>
      <c r="D498" s="2"/>
      <c r="E498" s="11"/>
      <c r="F498" s="3"/>
    </row>
    <row r="499" spans="2:7" x14ac:dyDescent="0.25">
      <c r="B499" s="2"/>
      <c r="C499" s="11"/>
      <c r="D499" s="2"/>
      <c r="E499" s="11"/>
      <c r="F499" s="3"/>
      <c r="G499" s="3"/>
    </row>
    <row r="500" spans="2:7" x14ac:dyDescent="0.25">
      <c r="B500" s="2"/>
      <c r="C500" s="11"/>
      <c r="D500" s="2"/>
      <c r="E500" s="11"/>
      <c r="F500" s="3"/>
    </row>
    <row r="501" spans="2:7" x14ac:dyDescent="0.25">
      <c r="B501" s="2"/>
      <c r="C501" s="11"/>
      <c r="D501" s="2"/>
      <c r="E501" s="11"/>
      <c r="F501" s="3"/>
    </row>
    <row r="502" spans="2:7" x14ac:dyDescent="0.25">
      <c r="B502" s="2"/>
      <c r="C502" s="11"/>
      <c r="D502" s="2"/>
      <c r="E502" s="11"/>
      <c r="F502" s="3"/>
      <c r="G502" s="3"/>
    </row>
    <row r="503" spans="2:7" x14ac:dyDescent="0.25">
      <c r="B503" s="2"/>
      <c r="C503" s="11"/>
      <c r="D503" s="2"/>
      <c r="E503" s="11"/>
      <c r="F503" s="3"/>
    </row>
    <row r="504" spans="2:7" x14ac:dyDescent="0.2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defaultColWidth="8.77734375" defaultRowHeight="13.2" x14ac:dyDescent="0.25"/>
  <cols>
    <col min="1" max="1" width="23.33203125" customWidth="1"/>
    <col min="8" max="8" width="9.44140625" bestFit="1" customWidth="1"/>
  </cols>
  <sheetData>
    <row r="1" spans="1:12" x14ac:dyDescent="0.25">
      <c r="A1">
        <f>'30N2'!A1</f>
        <v>531.20000000000005</v>
      </c>
      <c r="B1" s="16" t="s">
        <v>72</v>
      </c>
    </row>
    <row r="2" spans="1:12" x14ac:dyDescent="0.25">
      <c r="A2" s="2" t="e">
        <f>'30N2'!A2</f>
        <v>#REF!</v>
      </c>
      <c r="B2" s="16" t="s">
        <v>73</v>
      </c>
    </row>
    <row r="4" spans="1:12" x14ac:dyDescent="0.25">
      <c r="B4" s="4" t="s">
        <v>54</v>
      </c>
      <c r="C4" s="4" t="s">
        <v>55</v>
      </c>
      <c r="E4" t="s">
        <v>61</v>
      </c>
    </row>
    <row r="5" spans="1:12" x14ac:dyDescent="0.2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3.8" thickBot="1" x14ac:dyDescent="0.3"/>
    <row r="7" spans="1:12" x14ac:dyDescent="0.25">
      <c r="A7" t="e">
        <f>'30N2'!A7</f>
        <v>#REF!</v>
      </c>
      <c r="B7" s="2" t="e">
        <f>Data!#REF!</f>
        <v>#REF!</v>
      </c>
      <c r="C7" s="2" t="e">
        <f>Data!#REF!</f>
        <v>#REF!</v>
      </c>
      <c r="D7" s="2" t="e">
        <f>C7-(B7*H$22+H$21)</f>
        <v>#REF!</v>
      </c>
      <c r="E7" s="3" t="e">
        <f>A$1*D7/A$2</f>
        <v>#REF!</v>
      </c>
      <c r="G7" s="14" t="s">
        <v>10</v>
      </c>
      <c r="H7" s="14"/>
    </row>
    <row r="8" spans="1:12" x14ac:dyDescent="0.25">
      <c r="B8" s="2" t="e">
        <f>Data!#REF!</f>
        <v>#REF!</v>
      </c>
      <c r="C8" s="2" t="e">
        <f>Data!#REF!</f>
        <v>#REF!</v>
      </c>
      <c r="D8" s="2" t="e">
        <f t="shared" ref="D8:D30" si="0">C8-(B8*H$22+H$21)</f>
        <v>#REF!</v>
      </c>
      <c r="E8" s="3" t="e">
        <f t="shared" ref="E8:E30" si="1">A$1*D8/A$2</f>
        <v>#REF!</v>
      </c>
      <c r="G8" t="s">
        <v>11</v>
      </c>
      <c r="H8">
        <v>0.99981929668797853</v>
      </c>
    </row>
    <row r="9" spans="1:12" x14ac:dyDescent="0.25">
      <c r="B9" s="2" t="e">
        <f>Data!#REF!</f>
        <v>#REF!</v>
      </c>
      <c r="C9" s="2" t="e">
        <f>Data!#REF!</f>
        <v>#REF!</v>
      </c>
      <c r="D9" s="2" t="e">
        <f t="shared" si="0"/>
        <v>#REF!</v>
      </c>
      <c r="E9" s="3" t="e">
        <f t="shared" si="1"/>
        <v>#REF!</v>
      </c>
      <c r="G9" t="s">
        <v>12</v>
      </c>
      <c r="H9">
        <v>0.99963862602964404</v>
      </c>
    </row>
    <row r="10" spans="1:12" x14ac:dyDescent="0.25">
      <c r="A10" t="e">
        <f>'30N2'!A10</f>
        <v>#REF!</v>
      </c>
      <c r="B10" s="2" t="e">
        <f>Data!#REF!</f>
        <v>#REF!</v>
      </c>
      <c r="C10" s="2" t="e">
        <f>Data!#REF!</f>
        <v>#REF!</v>
      </c>
      <c r="D10" s="2" t="e">
        <f t="shared" si="0"/>
        <v>#REF!</v>
      </c>
      <c r="E10" s="3" t="e">
        <f t="shared" si="1"/>
        <v>#REF!</v>
      </c>
      <c r="G10" t="s">
        <v>13</v>
      </c>
      <c r="H10">
        <v>0.99963077007376666</v>
      </c>
    </row>
    <row r="11" spans="1:12" x14ac:dyDescent="0.25">
      <c r="B11" s="2" t="e">
        <f>Data!#REF!</f>
        <v>#REF!</v>
      </c>
      <c r="C11" s="2" t="e">
        <f>Data!#REF!</f>
        <v>#REF!</v>
      </c>
      <c r="D11" s="2" t="e">
        <f t="shared" si="0"/>
        <v>#REF!</v>
      </c>
      <c r="E11" s="3" t="e">
        <f t="shared" si="1"/>
        <v>#REF!</v>
      </c>
      <c r="G11" t="s">
        <v>14</v>
      </c>
      <c r="H11">
        <v>6.3671909778847793E-13</v>
      </c>
    </row>
    <row r="12" spans="1:12" ht="13.8" thickBot="1" x14ac:dyDescent="0.3">
      <c r="B12" s="2" t="e">
        <f>Data!#REF!</f>
        <v>#REF!</v>
      </c>
      <c r="C12" s="2" t="e">
        <f>Data!#REF!</f>
        <v>#REF!</v>
      </c>
      <c r="D12" s="2" t="e">
        <f t="shared" si="0"/>
        <v>#REF!</v>
      </c>
      <c r="E12" s="3" t="e">
        <f t="shared" si="1"/>
        <v>#REF!</v>
      </c>
      <c r="G12" s="5" t="s">
        <v>15</v>
      </c>
      <c r="H12" s="5">
        <v>48</v>
      </c>
    </row>
    <row r="13" spans="1:12" x14ac:dyDescent="0.25">
      <c r="A13" t="e">
        <f>'30N2'!A13</f>
        <v>#REF!</v>
      </c>
      <c r="B13" s="2" t="e">
        <f>Data!#REF!</f>
        <v>#REF!</v>
      </c>
      <c r="C13" s="2" t="e">
        <f>Data!#REF!</f>
        <v>#REF!</v>
      </c>
      <c r="D13" s="2" t="e">
        <f t="shared" si="0"/>
        <v>#REF!</v>
      </c>
      <c r="E13" s="3" t="e">
        <f t="shared" si="1"/>
        <v>#REF!</v>
      </c>
    </row>
    <row r="14" spans="1:12" ht="13.8" thickBot="1" x14ac:dyDescent="0.3">
      <c r="B14" s="2" t="e">
        <f>Data!#REF!</f>
        <v>#REF!</v>
      </c>
      <c r="C14" s="2" t="e">
        <f>Data!#REF!</f>
        <v>#REF!</v>
      </c>
      <c r="D14" s="2" t="e">
        <f t="shared" si="0"/>
        <v>#REF!</v>
      </c>
      <c r="E14" s="3" t="e">
        <f t="shared" si="1"/>
        <v>#REF!</v>
      </c>
      <c r="G14" t="s">
        <v>16</v>
      </c>
    </row>
    <row r="15" spans="1:12" x14ac:dyDescent="0.25">
      <c r="B15" s="2" t="e">
        <f>Data!#REF!</f>
        <v>#REF!</v>
      </c>
      <c r="C15" s="2" t="e">
        <f>Data!#REF!</f>
        <v>#REF!</v>
      </c>
      <c r="D15" s="2" t="e">
        <f t="shared" si="0"/>
        <v>#REF!</v>
      </c>
      <c r="E15" s="3" t="e">
        <f t="shared" si="1"/>
        <v>#REF!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25">
      <c r="A16" t="e">
        <f>'30N2'!A16</f>
        <v>#REF!</v>
      </c>
      <c r="B16" s="2" t="e">
        <f>Data!#REF!</f>
        <v>#REF!</v>
      </c>
      <c r="C16" s="2" t="e">
        <f>Data!#REF!</f>
        <v>#REF!</v>
      </c>
      <c r="D16" s="2" t="e">
        <f t="shared" si="0"/>
        <v>#REF!</v>
      </c>
      <c r="E16" s="3" t="e">
        <f t="shared" si="1"/>
        <v>#REF!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25">
      <c r="B17" s="2" t="e">
        <f>Data!#REF!</f>
        <v>#REF!</v>
      </c>
      <c r="C17" s="2" t="e">
        <f>Data!#REF!</f>
        <v>#REF!</v>
      </c>
      <c r="D17" s="2" t="e">
        <f t="shared" si="0"/>
        <v>#REF!</v>
      </c>
      <c r="E17" s="3" t="e">
        <f t="shared" si="1"/>
        <v>#REF!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3.8" thickBot="1" x14ac:dyDescent="0.3">
      <c r="B18" s="2" t="e">
        <f>Data!#REF!</f>
        <v>#REF!</v>
      </c>
      <c r="C18" s="2" t="e">
        <f>Data!#REF!</f>
        <v>#REF!</v>
      </c>
      <c r="D18" s="2" t="e">
        <f t="shared" si="0"/>
        <v>#REF!</v>
      </c>
      <c r="E18" s="3" t="e">
        <f t="shared" si="1"/>
        <v>#REF!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3.8" thickBot="1" x14ac:dyDescent="0.3">
      <c r="A19" t="e">
        <f>'30N2'!A19</f>
        <v>#REF!</v>
      </c>
      <c r="B19" s="2" t="e">
        <f>Data!#REF!</f>
        <v>#REF!</v>
      </c>
      <c r="C19" s="2" t="e">
        <f>Data!#REF!</f>
        <v>#REF!</v>
      </c>
      <c r="D19" s="2" t="e">
        <f t="shared" si="0"/>
        <v>#REF!</v>
      </c>
      <c r="E19" s="3" t="e">
        <f t="shared" si="1"/>
        <v>#REF!</v>
      </c>
    </row>
    <row r="20" spans="1:15" x14ac:dyDescent="0.25">
      <c r="B20" s="2" t="e">
        <f>Data!#REF!</f>
        <v>#REF!</v>
      </c>
      <c r="C20" s="2" t="e">
        <f>Data!#REF!</f>
        <v>#REF!</v>
      </c>
      <c r="D20" s="2" t="e">
        <f t="shared" si="0"/>
        <v>#REF!</v>
      </c>
      <c r="E20" s="3" t="e">
        <f t="shared" si="1"/>
        <v>#REF!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25">
      <c r="B21" s="2" t="e">
        <f>Data!#REF!</f>
        <v>#REF!</v>
      </c>
      <c r="C21" s="2" t="e">
        <f>Data!#REF!</f>
        <v>#REF!</v>
      </c>
      <c r="D21" s="2" t="e">
        <f t="shared" si="0"/>
        <v>#REF!</v>
      </c>
      <c r="E21" s="3" t="e">
        <f t="shared" si="1"/>
        <v>#REF!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3.8" thickBot="1" x14ac:dyDescent="0.3">
      <c r="A22" t="e">
        <f>'30N2'!A22</f>
        <v>#REF!</v>
      </c>
      <c r="B22" s="2" t="e">
        <f>Data!#REF!</f>
        <v>#REF!</v>
      </c>
      <c r="C22" s="2" t="e">
        <f>Data!#REF!</f>
        <v>#REF!</v>
      </c>
      <c r="D22" s="2" t="e">
        <f t="shared" si="0"/>
        <v>#REF!</v>
      </c>
      <c r="E22" s="3" t="e">
        <f t="shared" si="1"/>
        <v>#REF!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25">
      <c r="B23" s="2" t="e">
        <f>Data!#REF!</f>
        <v>#REF!</v>
      </c>
      <c r="C23" s="2" t="e">
        <f>Data!#REF!</f>
        <v>#REF!</v>
      </c>
      <c r="D23" s="2" t="e">
        <f t="shared" si="0"/>
        <v>#REF!</v>
      </c>
      <c r="E23" s="3" t="e">
        <f t="shared" si="1"/>
        <v>#REF!</v>
      </c>
    </row>
    <row r="24" spans="1:15" x14ac:dyDescent="0.25">
      <c r="B24" s="2" t="e">
        <f>Data!#REF!</f>
        <v>#REF!</v>
      </c>
      <c r="C24" s="2" t="e">
        <f>Data!#REF!</f>
        <v>#REF!</v>
      </c>
      <c r="D24" s="2" t="e">
        <f t="shared" si="0"/>
        <v>#REF!</v>
      </c>
      <c r="E24" s="3" t="e">
        <f t="shared" si="1"/>
        <v>#REF!</v>
      </c>
    </row>
    <row r="25" spans="1:15" x14ac:dyDescent="0.25">
      <c r="A25">
        <f>'30N2'!A25</f>
        <v>30</v>
      </c>
      <c r="B25" s="2">
        <f>Data!C11</f>
        <v>1.464004E-10</v>
      </c>
      <c r="C25" s="2">
        <f>Data!D11</f>
        <v>6.8473019999999996E-11</v>
      </c>
      <c r="D25" s="2">
        <f t="shared" si="0"/>
        <v>6.4714026734198933E-11</v>
      </c>
      <c r="E25" s="3" t="e">
        <f t="shared" si="1"/>
        <v>#REF!</v>
      </c>
    </row>
    <row r="26" spans="1:15" x14ac:dyDescent="0.25">
      <c r="B26" s="2">
        <f>Data!C12</f>
        <v>1.4638890000000001E-10</v>
      </c>
      <c r="C26" s="2">
        <f>Data!D12</f>
        <v>6.8463790000000005E-11</v>
      </c>
      <c r="D26" s="2">
        <f t="shared" si="0"/>
        <v>6.4704877181779775E-11</v>
      </c>
      <c r="E26" s="3" t="e">
        <f t="shared" si="1"/>
        <v>#REF!</v>
      </c>
    </row>
    <row r="27" spans="1:15" x14ac:dyDescent="0.25">
      <c r="B27" s="2">
        <f>Data!C13</f>
        <v>1.462323E-10</v>
      </c>
      <c r="C27" s="2">
        <f>Data!D13</f>
        <v>6.8398959999999998E-11</v>
      </c>
      <c r="D27" s="2">
        <f t="shared" si="0"/>
        <v>6.4641142667967418E-11</v>
      </c>
      <c r="E27" s="3" t="e">
        <f t="shared" si="1"/>
        <v>#REF!</v>
      </c>
    </row>
    <row r="28" spans="1:15" x14ac:dyDescent="0.25">
      <c r="A28" t="str">
        <f>'30N2'!A28</f>
        <v>Hardwoods_IN_T1_1</v>
      </c>
      <c r="B28" s="2">
        <f>Data!C14</f>
        <v>1.7036469999999999E-10</v>
      </c>
      <c r="C28" s="2">
        <f>Data!D14</f>
        <v>6.0020090000000003E-11</v>
      </c>
      <c r="D28" s="2">
        <f t="shared" si="0"/>
        <v>5.6093455868000264E-11</v>
      </c>
      <c r="E28" s="3" t="e">
        <f t="shared" si="1"/>
        <v>#REF!</v>
      </c>
    </row>
    <row r="29" spans="1:15" x14ac:dyDescent="0.25">
      <c r="B29" s="2">
        <f>Data!C15</f>
        <v>1.7039339999999999E-10</v>
      </c>
      <c r="C29" s="2">
        <f>Data!D15</f>
        <v>6.0020969999999994E-11</v>
      </c>
      <c r="D29" s="2">
        <f t="shared" si="0"/>
        <v>5.6094135098820275E-11</v>
      </c>
      <c r="E29" s="3" t="e">
        <f t="shared" si="1"/>
        <v>#REF!</v>
      </c>
    </row>
    <row r="30" spans="1:15" x14ac:dyDescent="0.25">
      <c r="B30" s="2">
        <f>Data!C16</f>
        <v>1.7040759999999999E-10</v>
      </c>
      <c r="C30" s="2">
        <f>Data!D16</f>
        <v>6.0019820000000003E-11</v>
      </c>
      <c r="D30" s="2">
        <f t="shared" si="0"/>
        <v>5.609288576354656E-11</v>
      </c>
      <c r="E30" s="3" t="e">
        <f t="shared" si="1"/>
        <v>#REF!</v>
      </c>
    </row>
    <row r="31" spans="1:15" x14ac:dyDescent="0.25">
      <c r="A31" t="str">
        <f>'30N2'!A31</f>
        <v>Hardwoods_13_T1_1</v>
      </c>
      <c r="B31" s="2">
        <f>Data!C17</f>
        <v>1.6828949999999999E-10</v>
      </c>
      <c r="C31" s="2">
        <f>Data!D17</f>
        <v>4.9410830000000001E-11</v>
      </c>
      <c r="D31" s="2">
        <f t="shared" ref="D31:D42" si="2">C31-(B31*H$22+H$21)</f>
        <v>4.5498712808847089E-11</v>
      </c>
      <c r="E31" s="3" t="e">
        <f t="shared" ref="E31:E42" si="3">A$1*D31/A$2</f>
        <v>#REF!</v>
      </c>
    </row>
    <row r="32" spans="1:15" x14ac:dyDescent="0.25">
      <c r="B32" s="2">
        <f>Data!C18</f>
        <v>1.6833220000000001E-10</v>
      </c>
      <c r="C32" s="2">
        <f>Data!D18</f>
        <v>4.9400589999999997E-11</v>
      </c>
      <c r="D32" s="2">
        <f t="shared" si="2"/>
        <v>4.5488174103481738E-11</v>
      </c>
      <c r="E32" s="3" t="e">
        <f t="shared" si="3"/>
        <v>#REF!</v>
      </c>
    </row>
    <row r="33" spans="1:5" x14ac:dyDescent="0.25">
      <c r="B33" s="2">
        <f>Data!C19</f>
        <v>1.6832719999999999E-10</v>
      </c>
      <c r="C33" s="2">
        <f>Data!D19</f>
        <v>4.9383280000000002E-11</v>
      </c>
      <c r="D33" s="2">
        <f t="shared" si="2"/>
        <v>4.5470899080690804E-11</v>
      </c>
      <c r="E33" s="3" t="e">
        <f t="shared" si="3"/>
        <v>#REF!</v>
      </c>
    </row>
    <row r="34" spans="1:5" x14ac:dyDescent="0.25">
      <c r="A34" t="str">
        <f>'30N2'!A34</f>
        <v>Hardwoods_14_T1_1</v>
      </c>
      <c r="B34" s="2">
        <f>Data!C20</f>
        <v>1.678446E-10</v>
      </c>
      <c r="C34" s="2">
        <f>Data!D20</f>
        <v>5.7839080000000003E-11</v>
      </c>
      <c r="D34" s="2">
        <f t="shared" si="2"/>
        <v>5.3930075080908939E-11</v>
      </c>
      <c r="E34" s="3" t="e">
        <f t="shared" si="3"/>
        <v>#REF!</v>
      </c>
    </row>
    <row r="35" spans="1:5" x14ac:dyDescent="0.25">
      <c r="B35" s="2">
        <f>Data!C21</f>
        <v>1.6786520000000001E-10</v>
      </c>
      <c r="C35" s="2">
        <f>Data!D21</f>
        <v>5.7858559999999997E-11</v>
      </c>
      <c r="D35" s="2">
        <f t="shared" si="2"/>
        <v>5.3949410974807621E-11</v>
      </c>
      <c r="E35" s="3" t="e">
        <f t="shared" si="3"/>
        <v>#REF!</v>
      </c>
    </row>
    <row r="36" spans="1:5" x14ac:dyDescent="0.25">
      <c r="B36" s="2">
        <f>Data!C22</f>
        <v>1.6786409999999999E-10</v>
      </c>
      <c r="C36" s="2">
        <f>Data!D22</f>
        <v>5.7862060000000001E-11</v>
      </c>
      <c r="D36" s="2">
        <f t="shared" si="2"/>
        <v>5.3952918669793613E-11</v>
      </c>
      <c r="E36" s="3" t="e">
        <f t="shared" si="3"/>
        <v>#REF!</v>
      </c>
    </row>
    <row r="37" spans="1:5" x14ac:dyDescent="0.25">
      <c r="A37" t="e">
        <f>'30N2'!A37</f>
        <v>#REF!</v>
      </c>
      <c r="B37" s="2" t="e">
        <f>Data!#REF!</f>
        <v>#REF!</v>
      </c>
      <c r="C37" s="2" t="e">
        <f>Data!#REF!</f>
        <v>#REF!</v>
      </c>
      <c r="D37" s="2" t="e">
        <f t="shared" si="2"/>
        <v>#REF!</v>
      </c>
      <c r="E37" s="3" t="e">
        <f t="shared" si="3"/>
        <v>#REF!</v>
      </c>
    </row>
    <row r="38" spans="1:5" x14ac:dyDescent="0.25">
      <c r="B38" s="2" t="e">
        <f>Data!#REF!</f>
        <v>#REF!</v>
      </c>
      <c r="C38" s="2" t="e">
        <f>Data!#REF!</f>
        <v>#REF!</v>
      </c>
      <c r="D38" s="2" t="e">
        <f t="shared" si="2"/>
        <v>#REF!</v>
      </c>
      <c r="E38" s="3" t="e">
        <f t="shared" si="3"/>
        <v>#REF!</v>
      </c>
    </row>
    <row r="39" spans="1:5" x14ac:dyDescent="0.25">
      <c r="B39" s="2" t="e">
        <f>Data!#REF!</f>
        <v>#REF!</v>
      </c>
      <c r="C39" s="2" t="e">
        <f>Data!#REF!</f>
        <v>#REF!</v>
      </c>
      <c r="D39" s="2" t="e">
        <f t="shared" si="2"/>
        <v>#REF!</v>
      </c>
      <c r="E39" s="3" t="e">
        <f t="shared" si="3"/>
        <v>#REF!</v>
      </c>
    </row>
    <row r="40" spans="1:5" x14ac:dyDescent="0.25">
      <c r="A40" t="e">
        <f>'30N2'!A40</f>
        <v>#REF!</v>
      </c>
      <c r="B40" s="2" t="e">
        <f>Data!#REF!</f>
        <v>#REF!</v>
      </c>
      <c r="C40" s="2" t="e">
        <f>Data!#REF!</f>
        <v>#REF!</v>
      </c>
      <c r="D40" s="2" t="e">
        <f t="shared" si="2"/>
        <v>#REF!</v>
      </c>
      <c r="E40" s="3" t="e">
        <f t="shared" si="3"/>
        <v>#REF!</v>
      </c>
    </row>
    <row r="41" spans="1:5" x14ac:dyDescent="0.25">
      <c r="B41" s="2" t="e">
        <f>Data!#REF!</f>
        <v>#REF!</v>
      </c>
      <c r="C41" s="2" t="e">
        <f>Data!#REF!</f>
        <v>#REF!</v>
      </c>
      <c r="D41" s="2" t="e">
        <f t="shared" si="2"/>
        <v>#REF!</v>
      </c>
      <c r="E41" s="3" t="e">
        <f t="shared" si="3"/>
        <v>#REF!</v>
      </c>
    </row>
    <row r="42" spans="1:5" x14ac:dyDescent="0.25">
      <c r="B42" s="2" t="e">
        <f>Data!#REF!</f>
        <v>#REF!</v>
      </c>
      <c r="C42" s="2" t="e">
        <f>Data!#REF!</f>
        <v>#REF!</v>
      </c>
      <c r="D42" s="2" t="e">
        <f t="shared" si="2"/>
        <v>#REF!</v>
      </c>
      <c r="E42" s="3" t="e">
        <f t="shared" si="3"/>
        <v>#REF!</v>
      </c>
    </row>
    <row r="43" spans="1:5" x14ac:dyDescent="0.25">
      <c r="A43" t="str">
        <f>'30N2'!A31</f>
        <v>Hardwoods_13_T1_1</v>
      </c>
      <c r="B43" s="2" t="e">
        <f>Data!#REF!</f>
        <v>#REF!</v>
      </c>
      <c r="C43" s="2" t="e">
        <f>Data!#REF!</f>
        <v>#REF!</v>
      </c>
      <c r="D43" s="2" t="e">
        <f t="shared" ref="D43:D54" si="4">C43-(B43*H$22+H$21)</f>
        <v>#REF!</v>
      </c>
      <c r="E43" s="3" t="e">
        <f t="shared" ref="E43:E54" si="5">A$1*D43/A$2</f>
        <v>#REF!</v>
      </c>
    </row>
    <row r="44" spans="1:5" x14ac:dyDescent="0.25">
      <c r="B44" s="2" t="e">
        <f>Data!#REF!</f>
        <v>#REF!</v>
      </c>
      <c r="C44" s="2" t="e">
        <f>Data!#REF!</f>
        <v>#REF!</v>
      </c>
      <c r="D44" s="2" t="e">
        <f t="shared" si="4"/>
        <v>#REF!</v>
      </c>
      <c r="E44" s="3" t="e">
        <f t="shared" si="5"/>
        <v>#REF!</v>
      </c>
    </row>
    <row r="45" spans="1:5" x14ac:dyDescent="0.25">
      <c r="B45" s="2" t="e">
        <f>Data!#REF!</f>
        <v>#REF!</v>
      </c>
      <c r="C45" s="2" t="e">
        <f>Data!#REF!</f>
        <v>#REF!</v>
      </c>
      <c r="D45" s="2" t="e">
        <f t="shared" si="4"/>
        <v>#REF!</v>
      </c>
      <c r="E45" s="3" t="e">
        <f t="shared" si="5"/>
        <v>#REF!</v>
      </c>
    </row>
    <row r="46" spans="1:5" x14ac:dyDescent="0.25">
      <c r="A46" t="str">
        <f>'30N2'!A34</f>
        <v>Hardwoods_14_T1_1</v>
      </c>
      <c r="B46" s="2" t="e">
        <f>Data!#REF!</f>
        <v>#REF!</v>
      </c>
      <c r="C46" s="2" t="e">
        <f>Data!#REF!</f>
        <v>#REF!</v>
      </c>
      <c r="D46" s="2" t="e">
        <f t="shared" si="4"/>
        <v>#REF!</v>
      </c>
      <c r="E46" s="3" t="e">
        <f t="shared" si="5"/>
        <v>#REF!</v>
      </c>
    </row>
    <row r="47" spans="1:5" x14ac:dyDescent="0.25">
      <c r="B47" s="2" t="e">
        <f>Data!#REF!</f>
        <v>#REF!</v>
      </c>
      <c r="C47" s="2" t="e">
        <f>Data!#REF!</f>
        <v>#REF!</v>
      </c>
      <c r="D47" s="2" t="e">
        <f t="shared" si="4"/>
        <v>#REF!</v>
      </c>
      <c r="E47" s="3" t="e">
        <f t="shared" si="5"/>
        <v>#REF!</v>
      </c>
    </row>
    <row r="48" spans="1:5" x14ac:dyDescent="0.25">
      <c r="B48" s="2" t="e">
        <f>Data!#REF!</f>
        <v>#REF!</v>
      </c>
      <c r="C48" s="2" t="e">
        <f>Data!#REF!</f>
        <v>#REF!</v>
      </c>
      <c r="D48" s="2" t="e">
        <f t="shared" si="4"/>
        <v>#REF!</v>
      </c>
      <c r="E48" s="3" t="e">
        <f t="shared" si="5"/>
        <v>#REF!</v>
      </c>
    </row>
    <row r="49" spans="1:6" x14ac:dyDescent="0.25">
      <c r="A49" t="e">
        <f>'30N2'!A37</f>
        <v>#REF!</v>
      </c>
      <c r="B49" s="2" t="e">
        <f>Data!#REF!</f>
        <v>#REF!</v>
      </c>
      <c r="C49" s="2" t="e">
        <f>Data!#REF!</f>
        <v>#REF!</v>
      </c>
      <c r="D49" s="2" t="e">
        <f t="shared" si="4"/>
        <v>#REF!</v>
      </c>
      <c r="E49" s="3" t="e">
        <f t="shared" si="5"/>
        <v>#REF!</v>
      </c>
    </row>
    <row r="50" spans="1:6" x14ac:dyDescent="0.25">
      <c r="B50" s="2" t="e">
        <f>Data!#REF!</f>
        <v>#REF!</v>
      </c>
      <c r="C50" s="2" t="e">
        <f>Data!#REF!</f>
        <v>#REF!</v>
      </c>
      <c r="D50" s="2" t="e">
        <f t="shared" si="4"/>
        <v>#REF!</v>
      </c>
      <c r="E50" s="3" t="e">
        <f t="shared" si="5"/>
        <v>#REF!</v>
      </c>
    </row>
    <row r="51" spans="1:6" x14ac:dyDescent="0.25">
      <c r="B51" s="2" t="e">
        <f>Data!#REF!</f>
        <v>#REF!</v>
      </c>
      <c r="C51" s="2" t="e">
        <f>Data!#REF!</f>
        <v>#REF!</v>
      </c>
      <c r="D51" s="2" t="e">
        <f t="shared" si="4"/>
        <v>#REF!</v>
      </c>
      <c r="E51" s="3" t="e">
        <f t="shared" si="5"/>
        <v>#REF!</v>
      </c>
    </row>
    <row r="52" spans="1:6" x14ac:dyDescent="0.25">
      <c r="A52" t="e">
        <f>'30N2'!A40</f>
        <v>#REF!</v>
      </c>
      <c r="B52" s="2" t="e">
        <f>Data!#REF!</f>
        <v>#REF!</v>
      </c>
      <c r="C52" s="2" t="e">
        <f>Data!#REF!</f>
        <v>#REF!</v>
      </c>
      <c r="D52" s="2" t="e">
        <f t="shared" si="4"/>
        <v>#REF!</v>
      </c>
      <c r="E52" s="3" t="e">
        <f t="shared" si="5"/>
        <v>#REF!</v>
      </c>
    </row>
    <row r="53" spans="1:6" x14ac:dyDescent="0.25">
      <c r="B53" s="2" t="e">
        <f>Data!#REF!</f>
        <v>#REF!</v>
      </c>
      <c r="C53" s="2" t="e">
        <f>Data!#REF!</f>
        <v>#REF!</v>
      </c>
      <c r="D53" s="2" t="e">
        <f t="shared" si="4"/>
        <v>#REF!</v>
      </c>
      <c r="E53" s="3" t="e">
        <f t="shared" si="5"/>
        <v>#REF!</v>
      </c>
    </row>
    <row r="54" spans="1:6" x14ac:dyDescent="0.25">
      <c r="B54" s="2" t="e">
        <f>Data!#REF!</f>
        <v>#REF!</v>
      </c>
      <c r="C54" s="2" t="e">
        <f>Data!#REF!</f>
        <v>#REF!</v>
      </c>
      <c r="D54" s="2" t="e">
        <f t="shared" si="4"/>
        <v>#REF!</v>
      </c>
      <c r="E54" s="3" t="e">
        <f t="shared" si="5"/>
        <v>#REF!</v>
      </c>
    </row>
    <row r="55" spans="1:6" x14ac:dyDescent="0.25">
      <c r="A55" t="e">
        <f>'30N2'!A55</f>
        <v>#REF!</v>
      </c>
      <c r="B55" s="2" t="e">
        <f>Data!#REF!</f>
        <v>#REF!</v>
      </c>
      <c r="C55" s="2" t="e">
        <f>Data!#REF!</f>
        <v>#REF!</v>
      </c>
      <c r="D55" s="2" t="e">
        <f>C55-(B55*H$22+H$21)</f>
        <v>#REF!</v>
      </c>
      <c r="E55" s="3" t="e">
        <f>A$1*D55/A$2</f>
        <v>#REF!</v>
      </c>
      <c r="F55" s="3" t="e">
        <f>AVERAGE(E55:E57)</f>
        <v>#REF!</v>
      </c>
    </row>
    <row r="56" spans="1:6" x14ac:dyDescent="0.25">
      <c r="B56" s="2" t="e">
        <f>Data!#REF!</f>
        <v>#REF!</v>
      </c>
      <c r="C56" s="2" t="e">
        <f>Data!#REF!</f>
        <v>#REF!</v>
      </c>
      <c r="D56" s="2" t="e">
        <f>C56-(B56*H$22+H$21)</f>
        <v>#REF!</v>
      </c>
      <c r="E56" s="3" t="e">
        <f>A$1*D56/A$2</f>
        <v>#REF!</v>
      </c>
    </row>
    <row r="57" spans="1:6" x14ac:dyDescent="0.25">
      <c r="B57" s="2" t="e">
        <f>Data!#REF!</f>
        <v>#REF!</v>
      </c>
      <c r="C57" s="2" t="e">
        <f>Data!#REF!</f>
        <v>#REF!</v>
      </c>
      <c r="D57" s="2" t="e">
        <f>C57-(B57*H$22+H$21)</f>
        <v>#REF!</v>
      </c>
      <c r="E57" s="3" t="e">
        <f>A$1*D57/A$2</f>
        <v>#REF!</v>
      </c>
    </row>
    <row r="58" spans="1:6" x14ac:dyDescent="0.25">
      <c r="A58" t="e">
        <f>'30N2'!A58</f>
        <v>#REF!</v>
      </c>
      <c r="B58" s="2" t="e">
        <f>Data!#REF!</f>
        <v>#REF!</v>
      </c>
      <c r="C58" s="2" t="e">
        <f>Data!#REF!</f>
        <v>#REF!</v>
      </c>
      <c r="D58" s="2" t="e">
        <f t="shared" ref="D58:D90" si="6">C58-(B58*H$22+H$21)</f>
        <v>#REF!</v>
      </c>
      <c r="E58" s="3" t="e">
        <f t="shared" ref="E58:E90" si="7">A$1*D58/A$2</f>
        <v>#REF!</v>
      </c>
      <c r="F58" s="3" t="e">
        <f>AVERAGE(E58:E60)</f>
        <v>#REF!</v>
      </c>
    </row>
    <row r="59" spans="1:6" x14ac:dyDescent="0.25">
      <c r="B59" s="2" t="e">
        <f>Data!#REF!</f>
        <v>#REF!</v>
      </c>
      <c r="C59" s="2" t="e">
        <f>Data!#REF!</f>
        <v>#REF!</v>
      </c>
      <c r="D59" s="2" t="e">
        <f t="shared" si="6"/>
        <v>#REF!</v>
      </c>
      <c r="E59" s="3" t="e">
        <f t="shared" si="7"/>
        <v>#REF!</v>
      </c>
    </row>
    <row r="60" spans="1:6" x14ac:dyDescent="0.25">
      <c r="B60" s="2" t="e">
        <f>Data!#REF!</f>
        <v>#REF!</v>
      </c>
      <c r="C60" s="2" t="e">
        <f>Data!#REF!</f>
        <v>#REF!</v>
      </c>
      <c r="D60" s="2" t="e">
        <f t="shared" si="6"/>
        <v>#REF!</v>
      </c>
      <c r="E60" s="3" t="e">
        <f t="shared" si="7"/>
        <v>#REF!</v>
      </c>
    </row>
    <row r="61" spans="1:6" x14ac:dyDescent="0.25">
      <c r="A61" t="e">
        <f>'30N2'!A61</f>
        <v>#REF!</v>
      </c>
      <c r="B61" s="2" t="e">
        <f>Data!#REF!</f>
        <v>#REF!</v>
      </c>
      <c r="C61" s="2" t="e">
        <f>Data!#REF!</f>
        <v>#REF!</v>
      </c>
      <c r="D61" s="2" t="e">
        <f t="shared" si="6"/>
        <v>#REF!</v>
      </c>
      <c r="E61" s="3" t="e">
        <f t="shared" si="7"/>
        <v>#REF!</v>
      </c>
      <c r="F61" s="3" t="e">
        <f>AVERAGE(E61:E63)</f>
        <v>#REF!</v>
      </c>
    </row>
    <row r="62" spans="1:6" x14ac:dyDescent="0.25">
      <c r="B62" s="2" t="e">
        <f>Data!#REF!</f>
        <v>#REF!</v>
      </c>
      <c r="C62" s="2" t="e">
        <f>Data!#REF!</f>
        <v>#REF!</v>
      </c>
      <c r="D62" s="2" t="e">
        <f t="shared" si="6"/>
        <v>#REF!</v>
      </c>
      <c r="E62" s="3" t="e">
        <f t="shared" si="7"/>
        <v>#REF!</v>
      </c>
    </row>
    <row r="63" spans="1:6" x14ac:dyDescent="0.25">
      <c r="B63" s="2" t="e">
        <f>Data!#REF!</f>
        <v>#REF!</v>
      </c>
      <c r="C63" s="2" t="e">
        <f>Data!#REF!</f>
        <v>#REF!</v>
      </c>
      <c r="D63" s="2" t="e">
        <f t="shared" si="6"/>
        <v>#REF!</v>
      </c>
      <c r="E63" s="3" t="e">
        <f t="shared" si="7"/>
        <v>#REF!</v>
      </c>
    </row>
    <row r="64" spans="1:6" x14ac:dyDescent="0.25">
      <c r="A64" t="e">
        <f>'30N2'!A64</f>
        <v>#REF!</v>
      </c>
      <c r="B64" s="2" t="e">
        <f>Data!#REF!</f>
        <v>#REF!</v>
      </c>
      <c r="C64" s="2" t="e">
        <f>Data!#REF!</f>
        <v>#REF!</v>
      </c>
      <c r="D64" s="2" t="e">
        <f t="shared" si="6"/>
        <v>#REF!</v>
      </c>
      <c r="E64" s="3" t="e">
        <f t="shared" si="7"/>
        <v>#REF!</v>
      </c>
      <c r="F64" s="3" t="e">
        <f>AVERAGE(E64:E66)</f>
        <v>#REF!</v>
      </c>
    </row>
    <row r="65" spans="1:6" x14ac:dyDescent="0.25">
      <c r="B65" s="2" t="e">
        <f>Data!#REF!</f>
        <v>#REF!</v>
      </c>
      <c r="C65" s="2" t="e">
        <f>Data!#REF!</f>
        <v>#REF!</v>
      </c>
      <c r="D65" s="2" t="e">
        <f t="shared" si="6"/>
        <v>#REF!</v>
      </c>
      <c r="E65" s="3" t="e">
        <f t="shared" si="7"/>
        <v>#REF!</v>
      </c>
    </row>
    <row r="66" spans="1:6" x14ac:dyDescent="0.25">
      <c r="B66" s="2" t="e">
        <f>Data!#REF!</f>
        <v>#REF!</v>
      </c>
      <c r="C66" s="2" t="e">
        <f>Data!#REF!</f>
        <v>#REF!</v>
      </c>
      <c r="D66" s="2" t="e">
        <f t="shared" si="6"/>
        <v>#REF!</v>
      </c>
      <c r="E66" s="3" t="e">
        <f t="shared" si="7"/>
        <v>#REF!</v>
      </c>
    </row>
    <row r="67" spans="1:6" x14ac:dyDescent="0.25">
      <c r="A67" t="e">
        <f>'30N2'!A67</f>
        <v>#REF!</v>
      </c>
      <c r="B67" s="2" t="e">
        <f>Data!#REF!</f>
        <v>#REF!</v>
      </c>
      <c r="C67" s="2" t="e">
        <f>Data!#REF!</f>
        <v>#REF!</v>
      </c>
      <c r="D67" s="2" t="e">
        <f t="shared" si="6"/>
        <v>#REF!</v>
      </c>
      <c r="E67" s="3" t="e">
        <f t="shared" si="7"/>
        <v>#REF!</v>
      </c>
      <c r="F67" s="3" t="e">
        <f>AVERAGE(E67:E69)</f>
        <v>#REF!</v>
      </c>
    </row>
    <row r="68" spans="1:6" x14ac:dyDescent="0.25">
      <c r="B68" s="2" t="e">
        <f>Data!#REF!</f>
        <v>#REF!</v>
      </c>
      <c r="C68" s="2" t="e">
        <f>Data!#REF!</f>
        <v>#REF!</v>
      </c>
      <c r="D68" s="2" t="e">
        <f t="shared" si="6"/>
        <v>#REF!</v>
      </c>
      <c r="E68" s="3" t="e">
        <f t="shared" si="7"/>
        <v>#REF!</v>
      </c>
    </row>
    <row r="69" spans="1:6" x14ac:dyDescent="0.25">
      <c r="B69" s="2" t="e">
        <f>Data!#REF!</f>
        <v>#REF!</v>
      </c>
      <c r="C69" s="2" t="e">
        <f>Data!#REF!</f>
        <v>#REF!</v>
      </c>
      <c r="D69" s="2" t="e">
        <f t="shared" si="6"/>
        <v>#REF!</v>
      </c>
      <c r="E69" s="3" t="e">
        <f t="shared" si="7"/>
        <v>#REF!</v>
      </c>
    </row>
    <row r="70" spans="1:6" x14ac:dyDescent="0.25">
      <c r="A70" t="e">
        <f>'30N2'!A70</f>
        <v>#REF!</v>
      </c>
      <c r="B70" s="2" t="e">
        <f>Data!#REF!</f>
        <v>#REF!</v>
      </c>
      <c r="C70" s="2" t="e">
        <f>Data!#REF!</f>
        <v>#REF!</v>
      </c>
      <c r="D70" s="2" t="e">
        <f t="shared" si="6"/>
        <v>#REF!</v>
      </c>
      <c r="E70" s="3" t="e">
        <f t="shared" si="7"/>
        <v>#REF!</v>
      </c>
      <c r="F70" s="3" t="e">
        <f>AVERAGE(E70:E72)</f>
        <v>#REF!</v>
      </c>
    </row>
    <row r="71" spans="1:6" x14ac:dyDescent="0.25">
      <c r="B71" s="2" t="e">
        <f>Data!#REF!</f>
        <v>#REF!</v>
      </c>
      <c r="C71" s="2" t="e">
        <f>Data!#REF!</f>
        <v>#REF!</v>
      </c>
      <c r="D71" s="2" t="e">
        <f t="shared" si="6"/>
        <v>#REF!</v>
      </c>
      <c r="E71" s="3" t="e">
        <f t="shared" si="7"/>
        <v>#REF!</v>
      </c>
    </row>
    <row r="72" spans="1:6" x14ac:dyDescent="0.25">
      <c r="B72" s="2" t="e">
        <f>Data!#REF!</f>
        <v>#REF!</v>
      </c>
      <c r="C72" s="2" t="e">
        <f>Data!#REF!</f>
        <v>#REF!</v>
      </c>
      <c r="D72" s="2" t="e">
        <f t="shared" si="6"/>
        <v>#REF!</v>
      </c>
      <c r="E72" s="3" t="e">
        <f t="shared" si="7"/>
        <v>#REF!</v>
      </c>
    </row>
    <row r="73" spans="1:6" x14ac:dyDescent="0.25">
      <c r="A73" t="e">
        <f>'30N2'!A73</f>
        <v>#REF!</v>
      </c>
      <c r="B73" s="2" t="e">
        <f>Data!#REF!</f>
        <v>#REF!</v>
      </c>
      <c r="C73" s="2" t="e">
        <f>Data!#REF!</f>
        <v>#REF!</v>
      </c>
      <c r="D73" s="2" t="e">
        <f t="shared" si="6"/>
        <v>#REF!</v>
      </c>
      <c r="E73" s="3" t="e">
        <f t="shared" si="7"/>
        <v>#REF!</v>
      </c>
      <c r="F73" s="3" t="e">
        <f>AVERAGE(E73:E75)</f>
        <v>#REF!</v>
      </c>
    </row>
    <row r="74" spans="1:6" x14ac:dyDescent="0.25">
      <c r="B74" s="2" t="e">
        <f>Data!#REF!</f>
        <v>#REF!</v>
      </c>
      <c r="C74" s="2" t="e">
        <f>Data!#REF!</f>
        <v>#REF!</v>
      </c>
      <c r="D74" s="2" t="e">
        <f t="shared" si="6"/>
        <v>#REF!</v>
      </c>
      <c r="E74" s="3" t="e">
        <f t="shared" si="7"/>
        <v>#REF!</v>
      </c>
    </row>
    <row r="75" spans="1:6" x14ac:dyDescent="0.25">
      <c r="B75" s="2" t="e">
        <f>Data!#REF!</f>
        <v>#REF!</v>
      </c>
      <c r="C75" s="2" t="e">
        <f>Data!#REF!</f>
        <v>#REF!</v>
      </c>
      <c r="D75" s="2" t="e">
        <f t="shared" si="6"/>
        <v>#REF!</v>
      </c>
      <c r="E75" s="3" t="e">
        <f t="shared" si="7"/>
        <v>#REF!</v>
      </c>
    </row>
    <row r="76" spans="1:6" x14ac:dyDescent="0.25">
      <c r="A76" t="e">
        <f>'30N2'!A76</f>
        <v>#REF!</v>
      </c>
      <c r="B76" s="2" t="e">
        <f>Data!#REF!</f>
        <v>#REF!</v>
      </c>
      <c r="C76" s="2" t="e">
        <f>Data!#REF!</f>
        <v>#REF!</v>
      </c>
      <c r="D76" s="2" t="e">
        <f t="shared" si="6"/>
        <v>#REF!</v>
      </c>
      <c r="E76" s="3" t="e">
        <f t="shared" si="7"/>
        <v>#REF!</v>
      </c>
      <c r="F76" s="3" t="e">
        <f>AVERAGE(E76:E78)</f>
        <v>#REF!</v>
      </c>
    </row>
    <row r="77" spans="1:6" x14ac:dyDescent="0.25">
      <c r="B77" s="2" t="e">
        <f>Data!#REF!</f>
        <v>#REF!</v>
      </c>
      <c r="C77" s="2" t="e">
        <f>Data!#REF!</f>
        <v>#REF!</v>
      </c>
      <c r="D77" s="2" t="e">
        <f t="shared" si="6"/>
        <v>#REF!</v>
      </c>
      <c r="E77" s="3" t="e">
        <f t="shared" si="7"/>
        <v>#REF!</v>
      </c>
    </row>
    <row r="78" spans="1:6" x14ac:dyDescent="0.25">
      <c r="B78" s="2" t="e">
        <f>Data!#REF!</f>
        <v>#REF!</v>
      </c>
      <c r="C78" s="2" t="e">
        <f>Data!#REF!</f>
        <v>#REF!</v>
      </c>
      <c r="D78" s="2" t="e">
        <f t="shared" si="6"/>
        <v>#REF!</v>
      </c>
      <c r="E78" s="3" t="e">
        <f t="shared" si="7"/>
        <v>#REF!</v>
      </c>
    </row>
    <row r="79" spans="1:6" x14ac:dyDescent="0.25">
      <c r="A79" t="e">
        <f>'30N2'!A79</f>
        <v>#REF!</v>
      </c>
      <c r="B79" s="2" t="e">
        <f>Data!#REF!</f>
        <v>#REF!</v>
      </c>
      <c r="C79" s="2" t="e">
        <f>Data!#REF!</f>
        <v>#REF!</v>
      </c>
      <c r="D79" s="2" t="e">
        <f t="shared" si="6"/>
        <v>#REF!</v>
      </c>
      <c r="E79" s="3" t="e">
        <f t="shared" si="7"/>
        <v>#REF!</v>
      </c>
      <c r="F79" s="3" t="e">
        <f>AVERAGE(E79:E81)</f>
        <v>#REF!</v>
      </c>
    </row>
    <row r="80" spans="1:6" x14ac:dyDescent="0.25">
      <c r="B80" s="2" t="e">
        <f>Data!#REF!</f>
        <v>#REF!</v>
      </c>
      <c r="C80" s="2" t="e">
        <f>Data!#REF!</f>
        <v>#REF!</v>
      </c>
      <c r="D80" s="2" t="e">
        <f t="shared" si="6"/>
        <v>#REF!</v>
      </c>
      <c r="E80" s="3" t="e">
        <f t="shared" si="7"/>
        <v>#REF!</v>
      </c>
    </row>
    <row r="81" spans="1:6" x14ac:dyDescent="0.25">
      <c r="B81" s="2" t="e">
        <f>Data!#REF!</f>
        <v>#REF!</v>
      </c>
      <c r="C81" s="2" t="e">
        <f>Data!#REF!</f>
        <v>#REF!</v>
      </c>
      <c r="D81" s="2" t="e">
        <f t="shared" si="6"/>
        <v>#REF!</v>
      </c>
      <c r="E81" s="3" t="e">
        <f t="shared" si="7"/>
        <v>#REF!</v>
      </c>
    </row>
    <row r="82" spans="1:6" x14ac:dyDescent="0.25">
      <c r="A82" t="e">
        <f>'30N2'!A82</f>
        <v>#REF!</v>
      </c>
      <c r="B82" s="2" t="e">
        <f>Data!#REF!</f>
        <v>#REF!</v>
      </c>
      <c r="C82" s="2" t="e">
        <f>Data!#REF!</f>
        <v>#REF!</v>
      </c>
      <c r="D82" s="2" t="e">
        <f t="shared" si="6"/>
        <v>#REF!</v>
      </c>
      <c r="E82" s="3" t="e">
        <f t="shared" si="7"/>
        <v>#REF!</v>
      </c>
      <c r="F82" s="3" t="e">
        <f>AVERAGE(E82:E84)</f>
        <v>#REF!</v>
      </c>
    </row>
    <row r="83" spans="1:6" x14ac:dyDescent="0.25">
      <c r="B83" s="2" t="e">
        <f>Data!#REF!</f>
        <v>#REF!</v>
      </c>
      <c r="C83" s="2" t="e">
        <f>Data!#REF!</f>
        <v>#REF!</v>
      </c>
      <c r="D83" s="2" t="e">
        <f t="shared" si="6"/>
        <v>#REF!</v>
      </c>
      <c r="E83" s="3" t="e">
        <f t="shared" si="7"/>
        <v>#REF!</v>
      </c>
    </row>
    <row r="84" spans="1:6" x14ac:dyDescent="0.25">
      <c r="B84" s="2" t="e">
        <f>Data!#REF!</f>
        <v>#REF!</v>
      </c>
      <c r="C84" s="2" t="e">
        <f>Data!#REF!</f>
        <v>#REF!</v>
      </c>
      <c r="D84" s="2" t="e">
        <f t="shared" si="6"/>
        <v>#REF!</v>
      </c>
      <c r="E84" s="3" t="e">
        <f t="shared" si="7"/>
        <v>#REF!</v>
      </c>
    </row>
    <row r="85" spans="1:6" x14ac:dyDescent="0.25">
      <c r="A85" t="e">
        <f>'30N2'!A85</f>
        <v>#REF!</v>
      </c>
      <c r="B85" s="2" t="e">
        <f>Data!#REF!</f>
        <v>#REF!</v>
      </c>
      <c r="C85" s="2" t="e">
        <f>Data!#REF!</f>
        <v>#REF!</v>
      </c>
      <c r="D85" s="2" t="e">
        <f t="shared" si="6"/>
        <v>#REF!</v>
      </c>
      <c r="E85" s="3" t="e">
        <f t="shared" si="7"/>
        <v>#REF!</v>
      </c>
      <c r="F85" s="3" t="e">
        <f>AVERAGE(E85:E87)</f>
        <v>#REF!</v>
      </c>
    </row>
    <row r="86" spans="1:6" x14ac:dyDescent="0.25">
      <c r="B86" s="2" t="e">
        <f>Data!#REF!</f>
        <v>#REF!</v>
      </c>
      <c r="C86" s="2" t="e">
        <f>Data!#REF!</f>
        <v>#REF!</v>
      </c>
      <c r="D86" s="2" t="e">
        <f t="shared" si="6"/>
        <v>#REF!</v>
      </c>
      <c r="E86" s="3" t="e">
        <f t="shared" si="7"/>
        <v>#REF!</v>
      </c>
    </row>
    <row r="87" spans="1:6" x14ac:dyDescent="0.25">
      <c r="B87" s="2" t="e">
        <f>Data!#REF!</f>
        <v>#REF!</v>
      </c>
      <c r="C87" s="2" t="e">
        <f>Data!#REF!</f>
        <v>#REF!</v>
      </c>
      <c r="D87" s="2" t="e">
        <f t="shared" si="6"/>
        <v>#REF!</v>
      </c>
      <c r="E87" s="3" t="e">
        <f t="shared" si="7"/>
        <v>#REF!</v>
      </c>
    </row>
    <row r="88" spans="1:6" x14ac:dyDescent="0.25">
      <c r="A88" t="e">
        <f>'30N2'!A88</f>
        <v>#REF!</v>
      </c>
      <c r="B88" s="2" t="e">
        <f>Data!#REF!</f>
        <v>#REF!</v>
      </c>
      <c r="C88" s="2" t="e">
        <f>Data!#REF!</f>
        <v>#REF!</v>
      </c>
      <c r="D88" s="2" t="e">
        <f t="shared" si="6"/>
        <v>#REF!</v>
      </c>
      <c r="E88" s="3" t="e">
        <f t="shared" si="7"/>
        <v>#REF!</v>
      </c>
      <c r="F88" s="3" t="e">
        <f>AVERAGE(E88:E90)</f>
        <v>#REF!</v>
      </c>
    </row>
    <row r="89" spans="1:6" x14ac:dyDescent="0.25">
      <c r="B89" s="2" t="e">
        <f>Data!#REF!</f>
        <v>#REF!</v>
      </c>
      <c r="C89" s="2" t="e">
        <f>Data!#REF!</f>
        <v>#REF!</v>
      </c>
      <c r="D89" s="2" t="e">
        <f t="shared" si="6"/>
        <v>#REF!</v>
      </c>
      <c r="E89" s="3" t="e">
        <f t="shared" si="7"/>
        <v>#REF!</v>
      </c>
    </row>
    <row r="90" spans="1:6" x14ac:dyDescent="0.25">
      <c r="B90" s="2" t="e">
        <f>Data!#REF!</f>
        <v>#REF!</v>
      </c>
      <c r="C90" s="2" t="e">
        <f>Data!#REF!</f>
        <v>#REF!</v>
      </c>
      <c r="D90" s="2" t="e">
        <f t="shared" si="6"/>
        <v>#REF!</v>
      </c>
      <c r="E90" s="3" t="e">
        <f t="shared" si="7"/>
        <v>#REF!</v>
      </c>
    </row>
    <row r="91" spans="1:6" x14ac:dyDescent="0.25">
      <c r="A91" t="e">
        <f>'30N2'!A91</f>
        <v>#REF!</v>
      </c>
      <c r="B91" s="2" t="e">
        <f>Data!#REF!</f>
        <v>#REF!</v>
      </c>
      <c r="C91" s="2" t="e">
        <f>Data!#REF!</f>
        <v>#REF!</v>
      </c>
      <c r="D91" s="2" t="e">
        <f t="shared" ref="D91:D102" si="8">C91-(B91*H$22+H$21)</f>
        <v>#REF!</v>
      </c>
      <c r="E91" s="3" t="e">
        <f t="shared" ref="E91:E102" si="9">A$1*D91/A$2</f>
        <v>#REF!</v>
      </c>
      <c r="F91" s="3" t="e">
        <f>AVERAGE(E91:E93)</f>
        <v>#REF!</v>
      </c>
    </row>
    <row r="92" spans="1:6" x14ac:dyDescent="0.25">
      <c r="B92" s="2" t="e">
        <f>Data!#REF!</f>
        <v>#REF!</v>
      </c>
      <c r="C92" s="2" t="e">
        <f>Data!#REF!</f>
        <v>#REF!</v>
      </c>
      <c r="D92" s="2" t="e">
        <f t="shared" si="8"/>
        <v>#REF!</v>
      </c>
      <c r="E92" s="3" t="e">
        <f t="shared" si="9"/>
        <v>#REF!</v>
      </c>
    </row>
    <row r="93" spans="1:6" x14ac:dyDescent="0.25">
      <c r="B93" s="2" t="e">
        <f>Data!#REF!</f>
        <v>#REF!</v>
      </c>
      <c r="C93" s="2" t="e">
        <f>Data!#REF!</f>
        <v>#REF!</v>
      </c>
      <c r="D93" s="2" t="e">
        <f t="shared" si="8"/>
        <v>#REF!</v>
      </c>
      <c r="E93" s="3" t="e">
        <f t="shared" si="9"/>
        <v>#REF!</v>
      </c>
    </row>
    <row r="94" spans="1:6" x14ac:dyDescent="0.25">
      <c r="A94" t="e">
        <f>'30N2'!A94</f>
        <v>#REF!</v>
      </c>
      <c r="B94" s="2" t="e">
        <f>Data!#REF!</f>
        <v>#REF!</v>
      </c>
      <c r="C94" s="2" t="e">
        <f>Data!#REF!</f>
        <v>#REF!</v>
      </c>
      <c r="D94" s="2" t="e">
        <f t="shared" si="8"/>
        <v>#REF!</v>
      </c>
      <c r="E94" s="3" t="e">
        <f t="shared" si="9"/>
        <v>#REF!</v>
      </c>
      <c r="F94" s="3" t="e">
        <f>AVERAGE(E94:E96)</f>
        <v>#REF!</v>
      </c>
    </row>
    <row r="95" spans="1:6" x14ac:dyDescent="0.25">
      <c r="B95" s="2" t="e">
        <f>Data!#REF!</f>
        <v>#REF!</v>
      </c>
      <c r="C95" s="2" t="e">
        <f>Data!#REF!</f>
        <v>#REF!</v>
      </c>
      <c r="D95" s="2" t="e">
        <f t="shared" si="8"/>
        <v>#REF!</v>
      </c>
      <c r="E95" s="3" t="e">
        <f t="shared" si="9"/>
        <v>#REF!</v>
      </c>
    </row>
    <row r="96" spans="1:6" x14ac:dyDescent="0.25">
      <c r="B96" s="2" t="e">
        <f>Data!#REF!</f>
        <v>#REF!</v>
      </c>
      <c r="C96" s="2" t="e">
        <f>Data!#REF!</f>
        <v>#REF!</v>
      </c>
      <c r="D96" s="2" t="e">
        <f t="shared" si="8"/>
        <v>#REF!</v>
      </c>
      <c r="E96" s="3" t="e">
        <f t="shared" si="9"/>
        <v>#REF!</v>
      </c>
    </row>
    <row r="97" spans="1:6" x14ac:dyDescent="0.25">
      <c r="A97" t="e">
        <f>'30N2'!A97</f>
        <v>#REF!</v>
      </c>
      <c r="B97" s="2" t="e">
        <f>Data!#REF!</f>
        <v>#REF!</v>
      </c>
      <c r="C97" s="2" t="e">
        <f>Data!#REF!</f>
        <v>#REF!</v>
      </c>
      <c r="D97" s="2" t="e">
        <f t="shared" si="8"/>
        <v>#REF!</v>
      </c>
      <c r="E97" s="3" t="e">
        <f t="shared" si="9"/>
        <v>#REF!</v>
      </c>
      <c r="F97" s="3" t="e">
        <f>AVERAGE(E97:E99)</f>
        <v>#REF!</v>
      </c>
    </row>
    <row r="98" spans="1:6" x14ac:dyDescent="0.25">
      <c r="B98" s="2" t="e">
        <f>Data!#REF!</f>
        <v>#REF!</v>
      </c>
      <c r="C98" s="2" t="e">
        <f>Data!#REF!</f>
        <v>#REF!</v>
      </c>
      <c r="D98" s="2" t="e">
        <f t="shared" si="8"/>
        <v>#REF!</v>
      </c>
      <c r="E98" s="3" t="e">
        <f t="shared" si="9"/>
        <v>#REF!</v>
      </c>
    </row>
    <row r="99" spans="1:6" x14ac:dyDescent="0.25">
      <c r="B99" s="2" t="e">
        <f>Data!#REF!</f>
        <v>#REF!</v>
      </c>
      <c r="C99" s="2" t="e">
        <f>Data!#REF!</f>
        <v>#REF!</v>
      </c>
      <c r="D99" s="2" t="e">
        <f t="shared" si="8"/>
        <v>#REF!</v>
      </c>
      <c r="E99" s="3" t="e">
        <f t="shared" si="9"/>
        <v>#REF!</v>
      </c>
    </row>
    <row r="100" spans="1:6" x14ac:dyDescent="0.25">
      <c r="A100" t="e">
        <f>'30N2'!A100</f>
        <v>#REF!</v>
      </c>
      <c r="B100" s="2" t="e">
        <f>Data!#REF!</f>
        <v>#REF!</v>
      </c>
      <c r="C100" s="2" t="e">
        <f>Data!#REF!</f>
        <v>#REF!</v>
      </c>
      <c r="D100" s="2" t="e">
        <f t="shared" si="8"/>
        <v>#REF!</v>
      </c>
      <c r="E100" s="3" t="e">
        <f t="shared" si="9"/>
        <v>#REF!</v>
      </c>
      <c r="F100" s="3" t="e">
        <f>AVERAGE(E100:E102)</f>
        <v>#REF!</v>
      </c>
    </row>
    <row r="101" spans="1:6" x14ac:dyDescent="0.25">
      <c r="B101" s="2" t="e">
        <f>Data!#REF!</f>
        <v>#REF!</v>
      </c>
      <c r="C101" s="2" t="e">
        <f>Data!#REF!</f>
        <v>#REF!</v>
      </c>
      <c r="D101" s="2" t="e">
        <f t="shared" si="8"/>
        <v>#REF!</v>
      </c>
      <c r="E101" s="3" t="e">
        <f t="shared" si="9"/>
        <v>#REF!</v>
      </c>
    </row>
    <row r="102" spans="1:6" x14ac:dyDescent="0.25">
      <c r="B102" s="2" t="e">
        <f>Data!#REF!</f>
        <v>#REF!</v>
      </c>
      <c r="C102" s="2" t="e">
        <f>Data!#REF!</f>
        <v>#REF!</v>
      </c>
      <c r="D102" s="2" t="e">
        <f t="shared" si="8"/>
        <v>#REF!</v>
      </c>
      <c r="E102" s="3" t="e">
        <f t="shared" si="9"/>
        <v>#REF!</v>
      </c>
    </row>
    <row r="103" spans="1:6" x14ac:dyDescent="0.25">
      <c r="A103" t="e">
        <f>'30N2'!A103</f>
        <v>#REF!</v>
      </c>
      <c r="B103" s="2" t="e">
        <f>Data!#REF!</f>
        <v>#REF!</v>
      </c>
      <c r="C103" s="2" t="e">
        <f>Data!#REF!</f>
        <v>#REF!</v>
      </c>
      <c r="D103" s="2" t="e">
        <f t="shared" ref="D103:D114" si="10">C103-(B103*H$22+H$21)</f>
        <v>#REF!</v>
      </c>
      <c r="E103" s="3" t="e">
        <f t="shared" ref="E103:E114" si="11">A$1*D103/A$2</f>
        <v>#REF!</v>
      </c>
      <c r="F103" s="3" t="e">
        <f>AVERAGE(E103:E105)</f>
        <v>#REF!</v>
      </c>
    </row>
    <row r="104" spans="1:6" x14ac:dyDescent="0.25">
      <c r="B104" s="2" t="e">
        <f>Data!#REF!</f>
        <v>#REF!</v>
      </c>
      <c r="C104" s="2" t="e">
        <f>Data!#REF!</f>
        <v>#REF!</v>
      </c>
      <c r="D104" s="2" t="e">
        <f t="shared" si="10"/>
        <v>#REF!</v>
      </c>
      <c r="E104" s="3" t="e">
        <f t="shared" si="11"/>
        <v>#REF!</v>
      </c>
    </row>
    <row r="105" spans="1:6" x14ac:dyDescent="0.25">
      <c r="B105" s="2" t="e">
        <f>Data!#REF!</f>
        <v>#REF!</v>
      </c>
      <c r="C105" s="2" t="e">
        <f>Data!#REF!</f>
        <v>#REF!</v>
      </c>
      <c r="D105" s="2" t="e">
        <f t="shared" si="10"/>
        <v>#REF!</v>
      </c>
      <c r="E105" s="3" t="e">
        <f t="shared" si="11"/>
        <v>#REF!</v>
      </c>
    </row>
    <row r="106" spans="1:6" x14ac:dyDescent="0.25">
      <c r="A106" t="e">
        <f>'30N2'!A106</f>
        <v>#REF!</v>
      </c>
      <c r="B106" s="2" t="e">
        <f>Data!#REF!</f>
        <v>#REF!</v>
      </c>
      <c r="C106" s="2" t="e">
        <f>Data!#REF!</f>
        <v>#REF!</v>
      </c>
      <c r="D106" s="2" t="e">
        <f t="shared" si="10"/>
        <v>#REF!</v>
      </c>
      <c r="E106" s="3" t="e">
        <f t="shared" si="11"/>
        <v>#REF!</v>
      </c>
      <c r="F106" s="3" t="e">
        <f>AVERAGE(E106:E108)</f>
        <v>#REF!</v>
      </c>
    </row>
    <row r="107" spans="1:6" x14ac:dyDescent="0.25">
      <c r="B107" s="2" t="e">
        <f>Data!#REF!</f>
        <v>#REF!</v>
      </c>
      <c r="C107" s="2" t="e">
        <f>Data!#REF!</f>
        <v>#REF!</v>
      </c>
      <c r="D107" s="2" t="e">
        <f t="shared" si="10"/>
        <v>#REF!</v>
      </c>
      <c r="E107" s="3" t="e">
        <f t="shared" si="11"/>
        <v>#REF!</v>
      </c>
    </row>
    <row r="108" spans="1:6" x14ac:dyDescent="0.25">
      <c r="B108" s="2" t="e">
        <f>Data!#REF!</f>
        <v>#REF!</v>
      </c>
      <c r="C108" s="2" t="e">
        <f>Data!#REF!</f>
        <v>#REF!</v>
      </c>
      <c r="D108" s="2" t="e">
        <f t="shared" si="10"/>
        <v>#REF!</v>
      </c>
      <c r="E108" s="3" t="e">
        <f t="shared" si="11"/>
        <v>#REF!</v>
      </c>
    </row>
    <row r="109" spans="1:6" x14ac:dyDescent="0.25">
      <c r="A109" t="e">
        <f>'30N2'!A109</f>
        <v>#REF!</v>
      </c>
      <c r="B109" s="2" t="e">
        <f>Data!#REF!</f>
        <v>#REF!</v>
      </c>
      <c r="C109" s="2" t="e">
        <f>Data!#REF!</f>
        <v>#REF!</v>
      </c>
      <c r="D109" s="2" t="e">
        <f t="shared" si="10"/>
        <v>#REF!</v>
      </c>
      <c r="E109" s="3" t="e">
        <f t="shared" si="11"/>
        <v>#REF!</v>
      </c>
      <c r="F109" s="3" t="e">
        <f>AVERAGE(E109:E111)</f>
        <v>#REF!</v>
      </c>
    </row>
    <row r="110" spans="1:6" x14ac:dyDescent="0.25">
      <c r="B110" s="2" t="e">
        <f>Data!#REF!</f>
        <v>#REF!</v>
      </c>
      <c r="C110" s="2" t="e">
        <f>Data!#REF!</f>
        <v>#REF!</v>
      </c>
      <c r="D110" s="2" t="e">
        <f t="shared" si="10"/>
        <v>#REF!</v>
      </c>
      <c r="E110" s="3" t="e">
        <f t="shared" si="11"/>
        <v>#REF!</v>
      </c>
    </row>
    <row r="111" spans="1:6" x14ac:dyDescent="0.25">
      <c r="B111" s="2" t="e">
        <f>Data!#REF!</f>
        <v>#REF!</v>
      </c>
      <c r="C111" s="2" t="e">
        <f>Data!#REF!</f>
        <v>#REF!</v>
      </c>
      <c r="D111" s="2" t="e">
        <f t="shared" si="10"/>
        <v>#REF!</v>
      </c>
      <c r="E111" s="3" t="e">
        <f t="shared" si="11"/>
        <v>#REF!</v>
      </c>
    </row>
    <row r="112" spans="1:6" x14ac:dyDescent="0.25">
      <c r="A112">
        <f>'30N2'!A112</f>
        <v>20</v>
      </c>
      <c r="B112" s="2">
        <f>Data!C8</f>
        <v>1.6906340000000001E-10</v>
      </c>
      <c r="C112" s="2">
        <f>Data!D8</f>
        <v>7.9966549999999995E-11</v>
      </c>
      <c r="D112" s="2">
        <f t="shared" si="10"/>
        <v>7.6049019036429313E-11</v>
      </c>
      <c r="E112" s="3" t="e">
        <f t="shared" si="11"/>
        <v>#REF!</v>
      </c>
      <c r="F112" s="3" t="e">
        <f>AVERAGE(E112:E114)</f>
        <v>#REF!</v>
      </c>
    </row>
    <row r="113" spans="1:6" x14ac:dyDescent="0.25">
      <c r="B113" s="2">
        <f>Data!C9</f>
        <v>1.689836E-10</v>
      </c>
      <c r="C113" s="2">
        <f>Data!D9</f>
        <v>7.9988289999999995E-11</v>
      </c>
      <c r="D113" s="2">
        <f t="shared" si="10"/>
        <v>7.607131727268586E-11</v>
      </c>
      <c r="E113" s="3" t="e">
        <f t="shared" si="11"/>
        <v>#REF!</v>
      </c>
    </row>
    <row r="114" spans="1:6" x14ac:dyDescent="0.25">
      <c r="B114" s="2">
        <f>Data!C10</f>
        <v>1.6897859999999999E-10</v>
      </c>
      <c r="C114" s="2">
        <f>Data!D10</f>
        <v>7.9996399999999998E-11</v>
      </c>
      <c r="D114" s="2">
        <f t="shared" si="10"/>
        <v>7.6079462249894918E-11</v>
      </c>
      <c r="E114" s="3" t="e">
        <f t="shared" si="11"/>
        <v>#REF!</v>
      </c>
    </row>
    <row r="115" spans="1:6" x14ac:dyDescent="0.25">
      <c r="A115">
        <f>'30N2'!A115</f>
        <v>20</v>
      </c>
      <c r="B115" s="2">
        <f>Data!C23</f>
        <v>1.6687129999999999E-10</v>
      </c>
      <c r="C115" s="2">
        <f>Data!D23</f>
        <v>7.8909760000000006E-11</v>
      </c>
      <c r="D115" s="2">
        <f t="shared" ref="D115:D132" si="12">C115-(B115*H$22+H$21)</f>
        <v>7.5007563744423884E-11</v>
      </c>
      <c r="E115" s="3" t="e">
        <f t="shared" ref="E115:E132" si="13">A$1*D115/A$2</f>
        <v>#REF!</v>
      </c>
      <c r="F115" s="3" t="e">
        <f>AVERAGE(E115:E117)</f>
        <v>#REF!</v>
      </c>
    </row>
    <row r="116" spans="1:6" x14ac:dyDescent="0.25">
      <c r="B116" s="2">
        <f>Data!C24</f>
        <v>1.66814E-10</v>
      </c>
      <c r="C116" s="2">
        <f>Data!D24</f>
        <v>7.8914619999999994E-11</v>
      </c>
      <c r="D116" s="2">
        <f t="shared" si="12"/>
        <v>7.5012824583239657E-11</v>
      </c>
      <c r="E116" s="3" t="e">
        <f t="shared" si="13"/>
        <v>#REF!</v>
      </c>
    </row>
    <row r="117" spans="1:6" x14ac:dyDescent="0.25">
      <c r="B117" s="2">
        <f>Data!C25</f>
        <v>1.667948E-10</v>
      </c>
      <c r="C117" s="2">
        <f>Data!D25</f>
        <v>7.8919830000000003E-11</v>
      </c>
      <c r="D117" s="2">
        <f t="shared" si="12"/>
        <v>7.5018168895722445E-11</v>
      </c>
      <c r="E117" s="3" t="e">
        <f t="shared" si="13"/>
        <v>#REF!</v>
      </c>
    </row>
    <row r="118" spans="1:6" x14ac:dyDescent="0.25">
      <c r="A118">
        <f>'30N2'!A118</f>
        <v>30</v>
      </c>
      <c r="B118" s="2">
        <f>Data!C26</f>
        <v>1.4497110000000001E-10</v>
      </c>
      <c r="C118" s="2">
        <f>Data!D26</f>
        <v>6.7649399999999996E-11</v>
      </c>
      <c r="D118" s="2">
        <f t="shared" si="12"/>
        <v>6.3900405319179842E-11</v>
      </c>
      <c r="E118" s="3" t="e">
        <f t="shared" si="13"/>
        <v>#REF!</v>
      </c>
      <c r="F118" s="3" t="e">
        <f>AVERAGE(E118:E120)</f>
        <v>#REF!</v>
      </c>
    </row>
    <row r="119" spans="1:6" x14ac:dyDescent="0.25">
      <c r="B119" s="2">
        <f>Data!C27</f>
        <v>1.4471260000000001E-10</v>
      </c>
      <c r="C119" s="2">
        <f>Data!D27</f>
        <v>6.7547679999999994E-11</v>
      </c>
      <c r="D119" s="2">
        <f t="shared" si="12"/>
        <v>6.3800493640888057E-11</v>
      </c>
      <c r="E119" s="3" t="e">
        <f t="shared" si="13"/>
        <v>#REF!</v>
      </c>
    </row>
    <row r="120" spans="1:6" x14ac:dyDescent="0.25">
      <c r="B120" s="2">
        <f>Data!C28</f>
        <v>1.4465649999999999E-10</v>
      </c>
      <c r="C120" s="2">
        <f>Data!D28</f>
        <v>6.7525200000000006E-11</v>
      </c>
      <c r="D120" s="2">
        <f t="shared" si="12"/>
        <v>6.3778406085173685E-11</v>
      </c>
      <c r="E120" s="3" t="e">
        <f t="shared" si="13"/>
        <v>#REF!</v>
      </c>
    </row>
    <row r="121" spans="1:6" x14ac:dyDescent="0.25">
      <c r="A121" t="e">
        <f>'30N2'!A121</f>
        <v>#REF!</v>
      </c>
      <c r="B121" s="2" t="e">
        <f>Data!#REF!</f>
        <v>#REF!</v>
      </c>
      <c r="C121" s="2" t="e">
        <f>Data!#REF!</f>
        <v>#REF!</v>
      </c>
      <c r="D121" s="2" t="e">
        <f t="shared" si="12"/>
        <v>#REF!</v>
      </c>
      <c r="E121" s="3" t="e">
        <f t="shared" si="13"/>
        <v>#REF!</v>
      </c>
      <c r="F121" s="3" t="e">
        <f>AVERAGE(E121:E123)</f>
        <v>#REF!</v>
      </c>
    </row>
    <row r="122" spans="1:6" x14ac:dyDescent="0.25">
      <c r="B122" s="2" t="e">
        <f>Data!#REF!</f>
        <v>#REF!</v>
      </c>
      <c r="C122" s="2" t="e">
        <f>Data!#REF!</f>
        <v>#REF!</v>
      </c>
      <c r="D122" s="2" t="e">
        <f t="shared" si="12"/>
        <v>#REF!</v>
      </c>
      <c r="E122" s="3" t="e">
        <f t="shared" si="13"/>
        <v>#REF!</v>
      </c>
    </row>
    <row r="123" spans="1:6" x14ac:dyDescent="0.25">
      <c r="B123" s="2" t="e">
        <f>Data!#REF!</f>
        <v>#REF!</v>
      </c>
      <c r="C123" s="2" t="e">
        <f>Data!#REF!</f>
        <v>#REF!</v>
      </c>
      <c r="D123" s="2" t="e">
        <f t="shared" si="12"/>
        <v>#REF!</v>
      </c>
      <c r="E123" s="3" t="e">
        <f t="shared" si="13"/>
        <v>#REF!</v>
      </c>
    </row>
    <row r="124" spans="1:6" x14ac:dyDescent="0.25">
      <c r="A124" t="e">
        <f>'30N2'!A124</f>
        <v>#REF!</v>
      </c>
      <c r="B124" s="2" t="e">
        <f>Data!#REF!</f>
        <v>#REF!</v>
      </c>
      <c r="C124" s="2" t="e">
        <f>Data!#REF!</f>
        <v>#REF!</v>
      </c>
      <c r="D124" s="2" t="e">
        <f t="shared" si="12"/>
        <v>#REF!</v>
      </c>
      <c r="E124" s="3" t="e">
        <f t="shared" si="13"/>
        <v>#REF!</v>
      </c>
      <c r="F124" s="3" t="e">
        <f>AVERAGE(E124:E126)</f>
        <v>#REF!</v>
      </c>
    </row>
    <row r="125" spans="1:6" x14ac:dyDescent="0.25">
      <c r="B125" s="2" t="e">
        <f>Data!#REF!</f>
        <v>#REF!</v>
      </c>
      <c r="C125" s="2" t="e">
        <f>Data!#REF!</f>
        <v>#REF!</v>
      </c>
      <c r="D125" s="2" t="e">
        <f t="shared" si="12"/>
        <v>#REF!</v>
      </c>
      <c r="E125" s="3" t="e">
        <f t="shared" si="13"/>
        <v>#REF!</v>
      </c>
    </row>
    <row r="126" spans="1:6" x14ac:dyDescent="0.25">
      <c r="B126" s="2" t="e">
        <f>Data!#REF!</f>
        <v>#REF!</v>
      </c>
      <c r="C126" s="2" t="e">
        <f>Data!#REF!</f>
        <v>#REF!</v>
      </c>
      <c r="D126" s="2" t="e">
        <f t="shared" si="12"/>
        <v>#REF!</v>
      </c>
      <c r="E126" s="3" t="e">
        <f t="shared" si="13"/>
        <v>#REF!</v>
      </c>
    </row>
    <row r="127" spans="1:6" x14ac:dyDescent="0.25">
      <c r="A127" t="e">
        <f>'30N2'!A127</f>
        <v>#REF!</v>
      </c>
      <c r="B127" s="2" t="e">
        <f>Data!#REF!</f>
        <v>#REF!</v>
      </c>
      <c r="C127" s="2" t="e">
        <f>Data!#REF!</f>
        <v>#REF!</v>
      </c>
      <c r="D127" s="2" t="e">
        <f t="shared" si="12"/>
        <v>#REF!</v>
      </c>
      <c r="E127" s="3" t="e">
        <f t="shared" si="13"/>
        <v>#REF!</v>
      </c>
      <c r="F127" s="3" t="e">
        <f>AVERAGE(E127:E129)</f>
        <v>#REF!</v>
      </c>
    </row>
    <row r="128" spans="1:6" x14ac:dyDescent="0.25">
      <c r="B128" s="2" t="e">
        <f>Data!#REF!</f>
        <v>#REF!</v>
      </c>
      <c r="C128" s="2" t="e">
        <f>Data!#REF!</f>
        <v>#REF!</v>
      </c>
      <c r="D128" s="2" t="e">
        <f t="shared" si="12"/>
        <v>#REF!</v>
      </c>
      <c r="E128" s="3" t="e">
        <f t="shared" si="13"/>
        <v>#REF!</v>
      </c>
    </row>
    <row r="129" spans="1:6" x14ac:dyDescent="0.25">
      <c r="B129" s="2" t="e">
        <f>Data!#REF!</f>
        <v>#REF!</v>
      </c>
      <c r="C129" s="2" t="e">
        <f>Data!#REF!</f>
        <v>#REF!</v>
      </c>
      <c r="D129" s="2" t="e">
        <f t="shared" si="12"/>
        <v>#REF!</v>
      </c>
      <c r="E129" s="3" t="e">
        <f t="shared" si="13"/>
        <v>#REF!</v>
      </c>
    </row>
    <row r="130" spans="1:6" x14ac:dyDescent="0.25">
      <c r="A130" t="e">
        <f>'30N2'!A130</f>
        <v>#REF!</v>
      </c>
      <c r="B130" s="2" t="e">
        <f>Data!#REF!</f>
        <v>#REF!</v>
      </c>
      <c r="C130" s="2" t="e">
        <f>Data!#REF!</f>
        <v>#REF!</v>
      </c>
      <c r="D130" s="2" t="e">
        <f t="shared" si="12"/>
        <v>#REF!</v>
      </c>
      <c r="E130" s="3" t="e">
        <f t="shared" si="13"/>
        <v>#REF!</v>
      </c>
      <c r="F130" s="3" t="e">
        <f>AVERAGE(E130:E132)</f>
        <v>#REF!</v>
      </c>
    </row>
    <row r="131" spans="1:6" x14ac:dyDescent="0.25">
      <c r="B131" s="2" t="e">
        <f>Data!#REF!</f>
        <v>#REF!</v>
      </c>
      <c r="C131" s="2" t="e">
        <f>Data!#REF!</f>
        <v>#REF!</v>
      </c>
      <c r="D131" s="2" t="e">
        <f t="shared" si="12"/>
        <v>#REF!</v>
      </c>
      <c r="E131" s="3" t="e">
        <f t="shared" si="13"/>
        <v>#REF!</v>
      </c>
    </row>
    <row r="132" spans="1:6" x14ac:dyDescent="0.25">
      <c r="B132" s="2" t="e">
        <f>Data!#REF!</f>
        <v>#REF!</v>
      </c>
      <c r="C132" s="2" t="e">
        <f>Data!#REF!</f>
        <v>#REF!</v>
      </c>
      <c r="D132" s="2" t="e">
        <f t="shared" si="12"/>
        <v>#REF!</v>
      </c>
      <c r="E132" s="3" t="e">
        <f t="shared" si="13"/>
        <v>#REF!</v>
      </c>
    </row>
    <row r="133" spans="1:6" x14ac:dyDescent="0.25">
      <c r="A133" t="e">
        <f>'30N2'!A133</f>
        <v>#REF!</v>
      </c>
      <c r="B133" s="2" t="e">
        <f>Data!#REF!</f>
        <v>#REF!</v>
      </c>
      <c r="C133" s="2" t="e">
        <f>Data!#REF!</f>
        <v>#REF!</v>
      </c>
      <c r="D133" s="2" t="e">
        <f t="shared" ref="D133:D174" si="14">C133-(B133*H$22+H$21)</f>
        <v>#REF!</v>
      </c>
      <c r="E133" s="3" t="e">
        <f t="shared" ref="E133:E174" si="15">A$1*D133/A$2</f>
        <v>#REF!</v>
      </c>
      <c r="F133" s="3" t="e">
        <f>AVERAGE(E133:E135)</f>
        <v>#REF!</v>
      </c>
    </row>
    <row r="134" spans="1:6" x14ac:dyDescent="0.25">
      <c r="B134" s="2" t="e">
        <f>Data!#REF!</f>
        <v>#REF!</v>
      </c>
      <c r="C134" s="2" t="e">
        <f>Data!#REF!</f>
        <v>#REF!</v>
      </c>
      <c r="D134" s="2" t="e">
        <f t="shared" si="14"/>
        <v>#REF!</v>
      </c>
      <c r="E134" s="3" t="e">
        <f t="shared" si="15"/>
        <v>#REF!</v>
      </c>
    </row>
    <row r="135" spans="1:6" x14ac:dyDescent="0.25">
      <c r="B135" s="2" t="e">
        <f>Data!#REF!</f>
        <v>#REF!</v>
      </c>
      <c r="C135" s="2" t="e">
        <f>Data!#REF!</f>
        <v>#REF!</v>
      </c>
      <c r="D135" s="2" t="e">
        <f t="shared" si="14"/>
        <v>#REF!</v>
      </c>
      <c r="E135" s="3" t="e">
        <f t="shared" si="15"/>
        <v>#REF!</v>
      </c>
    </row>
    <row r="136" spans="1:6" x14ac:dyDescent="0.25">
      <c r="A136" t="e">
        <f>'30N2'!A136</f>
        <v>#REF!</v>
      </c>
      <c r="B136" s="2" t="e">
        <f>Data!#REF!</f>
        <v>#REF!</v>
      </c>
      <c r="C136" s="2" t="e">
        <f>Data!#REF!</f>
        <v>#REF!</v>
      </c>
      <c r="D136" s="2" t="e">
        <f t="shared" si="14"/>
        <v>#REF!</v>
      </c>
      <c r="E136" s="3" t="e">
        <f t="shared" si="15"/>
        <v>#REF!</v>
      </c>
      <c r="F136" s="3" t="e">
        <f>AVERAGE(E136:E138)</f>
        <v>#REF!</v>
      </c>
    </row>
    <row r="137" spans="1:6" x14ac:dyDescent="0.25">
      <c r="B137" s="2" t="e">
        <f>Data!#REF!</f>
        <v>#REF!</v>
      </c>
      <c r="C137" s="2" t="e">
        <f>Data!#REF!</f>
        <v>#REF!</v>
      </c>
      <c r="D137" s="2" t="e">
        <f t="shared" si="14"/>
        <v>#REF!</v>
      </c>
      <c r="E137" s="3" t="e">
        <f t="shared" si="15"/>
        <v>#REF!</v>
      </c>
    </row>
    <row r="138" spans="1:6" x14ac:dyDescent="0.25">
      <c r="B138" s="2" t="e">
        <f>Data!#REF!</f>
        <v>#REF!</v>
      </c>
      <c r="C138" s="2" t="e">
        <f>Data!#REF!</f>
        <v>#REF!</v>
      </c>
      <c r="D138" s="2" t="e">
        <f t="shared" si="14"/>
        <v>#REF!</v>
      </c>
      <c r="E138" s="3" t="e">
        <f t="shared" si="15"/>
        <v>#REF!</v>
      </c>
    </row>
    <row r="139" spans="1:6" x14ac:dyDescent="0.25">
      <c r="A139" t="e">
        <f>'30N2'!A139</f>
        <v>#REF!</v>
      </c>
      <c r="B139" s="2" t="e">
        <f>Data!#REF!</f>
        <v>#REF!</v>
      </c>
      <c r="C139" s="2" t="e">
        <f>Data!#REF!</f>
        <v>#REF!</v>
      </c>
      <c r="D139" s="2" t="e">
        <f t="shared" si="14"/>
        <v>#REF!</v>
      </c>
      <c r="E139" s="3" t="e">
        <f t="shared" si="15"/>
        <v>#REF!</v>
      </c>
      <c r="F139" s="3" t="e">
        <f>AVERAGE(E139:E141)</f>
        <v>#REF!</v>
      </c>
    </row>
    <row r="140" spans="1:6" x14ac:dyDescent="0.25">
      <c r="B140" s="2" t="e">
        <f>Data!#REF!</f>
        <v>#REF!</v>
      </c>
      <c r="C140" s="2" t="e">
        <f>Data!#REF!</f>
        <v>#REF!</v>
      </c>
      <c r="D140" s="2" t="e">
        <f t="shared" si="14"/>
        <v>#REF!</v>
      </c>
      <c r="E140" s="3" t="e">
        <f t="shared" si="15"/>
        <v>#REF!</v>
      </c>
    </row>
    <row r="141" spans="1:6" x14ac:dyDescent="0.25">
      <c r="B141" s="2" t="e">
        <f>Data!#REF!</f>
        <v>#REF!</v>
      </c>
      <c r="C141" s="2" t="e">
        <f>Data!#REF!</f>
        <v>#REF!</v>
      </c>
      <c r="D141" s="2" t="e">
        <f t="shared" si="14"/>
        <v>#REF!</v>
      </c>
      <c r="E141" s="3" t="e">
        <f t="shared" si="15"/>
        <v>#REF!</v>
      </c>
    </row>
    <row r="142" spans="1:6" x14ac:dyDescent="0.25">
      <c r="A142" t="e">
        <f>'30N2'!A142</f>
        <v>#REF!</v>
      </c>
      <c r="B142" s="2" t="e">
        <f>Data!#REF!</f>
        <v>#REF!</v>
      </c>
      <c r="C142" s="2" t="e">
        <f>Data!#REF!</f>
        <v>#REF!</v>
      </c>
      <c r="D142" s="2" t="e">
        <f t="shared" si="14"/>
        <v>#REF!</v>
      </c>
      <c r="E142" s="3" t="e">
        <f t="shared" si="15"/>
        <v>#REF!</v>
      </c>
      <c r="F142" s="3" t="e">
        <f>AVERAGE(E142:E144)</f>
        <v>#REF!</v>
      </c>
    </row>
    <row r="143" spans="1:6" x14ac:dyDescent="0.25">
      <c r="B143" s="2" t="e">
        <f>Data!#REF!</f>
        <v>#REF!</v>
      </c>
      <c r="C143" s="2" t="e">
        <f>Data!#REF!</f>
        <v>#REF!</v>
      </c>
      <c r="D143" s="2" t="e">
        <f t="shared" si="14"/>
        <v>#REF!</v>
      </c>
      <c r="E143" s="3" t="e">
        <f t="shared" si="15"/>
        <v>#REF!</v>
      </c>
    </row>
    <row r="144" spans="1:6" x14ac:dyDescent="0.25">
      <c r="B144" s="2" t="e">
        <f>Data!#REF!</f>
        <v>#REF!</v>
      </c>
      <c r="C144" s="2" t="e">
        <f>Data!#REF!</f>
        <v>#REF!</v>
      </c>
      <c r="D144" s="2" t="e">
        <f t="shared" si="14"/>
        <v>#REF!</v>
      </c>
      <c r="E144" s="3" t="e">
        <f t="shared" si="15"/>
        <v>#REF!</v>
      </c>
    </row>
    <row r="145" spans="1:6" x14ac:dyDescent="0.25">
      <c r="A145" t="e">
        <f>'30N2'!A145</f>
        <v>#REF!</v>
      </c>
      <c r="B145" s="2" t="e">
        <f>Data!#REF!</f>
        <v>#REF!</v>
      </c>
      <c r="C145" s="2" t="e">
        <f>Data!#REF!</f>
        <v>#REF!</v>
      </c>
      <c r="D145" s="2" t="e">
        <f t="shared" si="14"/>
        <v>#REF!</v>
      </c>
      <c r="E145" s="3" t="e">
        <f t="shared" si="15"/>
        <v>#REF!</v>
      </c>
      <c r="F145" s="3" t="e">
        <f>AVERAGE(E145:E147)</f>
        <v>#REF!</v>
      </c>
    </row>
    <row r="146" spans="1:6" x14ac:dyDescent="0.25">
      <c r="B146" s="2" t="e">
        <f>Data!#REF!</f>
        <v>#REF!</v>
      </c>
      <c r="C146" s="2" t="e">
        <f>Data!#REF!</f>
        <v>#REF!</v>
      </c>
      <c r="D146" s="2" t="e">
        <f t="shared" si="14"/>
        <v>#REF!</v>
      </c>
      <c r="E146" s="3" t="e">
        <f t="shared" si="15"/>
        <v>#REF!</v>
      </c>
    </row>
    <row r="147" spans="1:6" x14ac:dyDescent="0.25">
      <c r="B147" s="2" t="e">
        <f>Data!#REF!</f>
        <v>#REF!</v>
      </c>
      <c r="C147" s="2" t="e">
        <f>Data!#REF!</f>
        <v>#REF!</v>
      </c>
      <c r="D147" s="2" t="e">
        <f t="shared" si="14"/>
        <v>#REF!</v>
      </c>
      <c r="E147" s="3" t="e">
        <f t="shared" si="15"/>
        <v>#REF!</v>
      </c>
    </row>
    <row r="148" spans="1:6" x14ac:dyDescent="0.25">
      <c r="A148" t="e">
        <f>'30N2'!A148</f>
        <v>#REF!</v>
      </c>
      <c r="B148" s="2" t="e">
        <f>Data!#REF!</f>
        <v>#REF!</v>
      </c>
      <c r="C148" s="2" t="e">
        <f>Data!#REF!</f>
        <v>#REF!</v>
      </c>
      <c r="D148" s="2" t="e">
        <f t="shared" si="14"/>
        <v>#REF!</v>
      </c>
      <c r="E148" s="3" t="e">
        <f t="shared" si="15"/>
        <v>#REF!</v>
      </c>
      <c r="F148" s="3" t="e">
        <f>AVERAGE(E148:E150)</f>
        <v>#REF!</v>
      </c>
    </row>
    <row r="149" spans="1:6" x14ac:dyDescent="0.25">
      <c r="B149" s="2" t="e">
        <f>Data!#REF!</f>
        <v>#REF!</v>
      </c>
      <c r="C149" s="2" t="e">
        <f>Data!#REF!</f>
        <v>#REF!</v>
      </c>
      <c r="D149" s="2" t="e">
        <f t="shared" si="14"/>
        <v>#REF!</v>
      </c>
      <c r="E149" s="3" t="e">
        <f t="shared" si="15"/>
        <v>#REF!</v>
      </c>
    </row>
    <row r="150" spans="1:6" x14ac:dyDescent="0.25">
      <c r="B150" s="2" t="e">
        <f>Data!#REF!</f>
        <v>#REF!</v>
      </c>
      <c r="C150" s="2" t="e">
        <f>Data!#REF!</f>
        <v>#REF!</v>
      </c>
      <c r="D150" s="2" t="e">
        <f t="shared" si="14"/>
        <v>#REF!</v>
      </c>
      <c r="E150" s="3" t="e">
        <f t="shared" si="15"/>
        <v>#REF!</v>
      </c>
    </row>
    <row r="151" spans="1:6" x14ac:dyDescent="0.25">
      <c r="A151" t="e">
        <f>'30N2'!A151</f>
        <v>#REF!</v>
      </c>
      <c r="B151" s="2" t="e">
        <f>Data!#REF!</f>
        <v>#REF!</v>
      </c>
      <c r="C151" s="2" t="e">
        <f>Data!#REF!</f>
        <v>#REF!</v>
      </c>
      <c r="D151" s="2" t="e">
        <f t="shared" si="14"/>
        <v>#REF!</v>
      </c>
      <c r="E151" s="3" t="e">
        <f t="shared" si="15"/>
        <v>#REF!</v>
      </c>
      <c r="F151" s="3" t="e">
        <f>AVERAGE(E151:E153)</f>
        <v>#REF!</v>
      </c>
    </row>
    <row r="152" spans="1:6" x14ac:dyDescent="0.25">
      <c r="B152" s="2" t="e">
        <f>Data!#REF!</f>
        <v>#REF!</v>
      </c>
      <c r="C152" s="2" t="e">
        <f>Data!#REF!</f>
        <v>#REF!</v>
      </c>
      <c r="D152" s="2" t="e">
        <f t="shared" si="14"/>
        <v>#REF!</v>
      </c>
      <c r="E152" s="3" t="e">
        <f t="shared" si="15"/>
        <v>#REF!</v>
      </c>
    </row>
    <row r="153" spans="1:6" x14ac:dyDescent="0.25">
      <c r="B153" s="2" t="e">
        <f>Data!#REF!</f>
        <v>#REF!</v>
      </c>
      <c r="C153" s="2" t="e">
        <f>Data!#REF!</f>
        <v>#REF!</v>
      </c>
      <c r="D153" s="2" t="e">
        <f t="shared" si="14"/>
        <v>#REF!</v>
      </c>
      <c r="E153" s="3" t="e">
        <f t="shared" si="15"/>
        <v>#REF!</v>
      </c>
    </row>
    <row r="154" spans="1:6" x14ac:dyDescent="0.25">
      <c r="A154" t="e">
        <f>'30N2'!A154</f>
        <v>#REF!</v>
      </c>
      <c r="B154" s="2" t="e">
        <f>Data!#REF!</f>
        <v>#REF!</v>
      </c>
      <c r="C154" s="2" t="e">
        <f>Data!#REF!</f>
        <v>#REF!</v>
      </c>
      <c r="D154" s="2" t="e">
        <f t="shared" si="14"/>
        <v>#REF!</v>
      </c>
      <c r="E154" s="3" t="e">
        <f t="shared" si="15"/>
        <v>#REF!</v>
      </c>
      <c r="F154" s="3" t="e">
        <f>AVERAGE(E154:E156)</f>
        <v>#REF!</v>
      </c>
    </row>
    <row r="155" spans="1:6" x14ac:dyDescent="0.25">
      <c r="B155" s="2" t="e">
        <f>Data!#REF!</f>
        <v>#REF!</v>
      </c>
      <c r="C155" s="2" t="e">
        <f>Data!#REF!</f>
        <v>#REF!</v>
      </c>
      <c r="D155" s="2" t="e">
        <f t="shared" si="14"/>
        <v>#REF!</v>
      </c>
      <c r="E155" s="3" t="e">
        <f t="shared" si="15"/>
        <v>#REF!</v>
      </c>
    </row>
    <row r="156" spans="1:6" x14ac:dyDescent="0.25">
      <c r="B156" s="2" t="e">
        <f>Data!#REF!</f>
        <v>#REF!</v>
      </c>
      <c r="C156" s="2" t="e">
        <f>Data!#REF!</f>
        <v>#REF!</v>
      </c>
      <c r="D156" s="2" t="e">
        <f t="shared" si="14"/>
        <v>#REF!</v>
      </c>
      <c r="E156" s="3" t="e">
        <f t="shared" si="15"/>
        <v>#REF!</v>
      </c>
    </row>
    <row r="157" spans="1:6" x14ac:dyDescent="0.25">
      <c r="A157" t="e">
        <f>'30N2'!A157</f>
        <v>#REF!</v>
      </c>
      <c r="B157" s="2" t="e">
        <f>Data!#REF!</f>
        <v>#REF!</v>
      </c>
      <c r="C157" s="2" t="e">
        <f>Data!#REF!</f>
        <v>#REF!</v>
      </c>
      <c r="D157" s="2" t="e">
        <f t="shared" ref="D157:D162" si="16">C157-(B157*H$22+H$21)</f>
        <v>#REF!</v>
      </c>
      <c r="E157" s="3" t="e">
        <f t="shared" ref="E157:E162" si="17">A$1*D157/A$2</f>
        <v>#REF!</v>
      </c>
      <c r="F157" s="3" t="e">
        <f>AVERAGE(E157:E159)</f>
        <v>#REF!</v>
      </c>
    </row>
    <row r="158" spans="1:6" x14ac:dyDescent="0.25">
      <c r="B158" s="2" t="e">
        <f>Data!#REF!</f>
        <v>#REF!</v>
      </c>
      <c r="C158" s="2" t="e">
        <f>Data!#REF!</f>
        <v>#REF!</v>
      </c>
      <c r="D158" s="2" t="e">
        <f t="shared" si="16"/>
        <v>#REF!</v>
      </c>
      <c r="E158" s="3" t="e">
        <f t="shared" si="17"/>
        <v>#REF!</v>
      </c>
    </row>
    <row r="159" spans="1:6" x14ac:dyDescent="0.25">
      <c r="B159" s="2" t="e">
        <f>Data!#REF!</f>
        <v>#REF!</v>
      </c>
      <c r="C159" s="2" t="e">
        <f>Data!#REF!</f>
        <v>#REF!</v>
      </c>
      <c r="D159" s="2" t="e">
        <f t="shared" si="16"/>
        <v>#REF!</v>
      </c>
      <c r="E159" s="3" t="e">
        <f t="shared" si="17"/>
        <v>#REF!</v>
      </c>
    </row>
    <row r="160" spans="1:6" x14ac:dyDescent="0.25">
      <c r="A160" t="e">
        <f>'30N2'!A160</f>
        <v>#REF!</v>
      </c>
      <c r="B160" s="2" t="e">
        <f>Data!#REF!</f>
        <v>#REF!</v>
      </c>
      <c r="C160" s="2" t="e">
        <f>Data!#REF!</f>
        <v>#REF!</v>
      </c>
      <c r="D160" s="2" t="e">
        <f t="shared" si="16"/>
        <v>#REF!</v>
      </c>
      <c r="E160" s="3" t="e">
        <f t="shared" si="17"/>
        <v>#REF!</v>
      </c>
      <c r="F160" s="3" t="e">
        <f>AVERAGE(E160:E162)</f>
        <v>#REF!</v>
      </c>
    </row>
    <row r="161" spans="1:6" x14ac:dyDescent="0.25">
      <c r="B161" s="2" t="e">
        <f>Data!#REF!</f>
        <v>#REF!</v>
      </c>
      <c r="C161" s="2" t="e">
        <f>Data!#REF!</f>
        <v>#REF!</v>
      </c>
      <c r="D161" s="2" t="e">
        <f t="shared" si="16"/>
        <v>#REF!</v>
      </c>
      <c r="E161" s="3" t="e">
        <f t="shared" si="17"/>
        <v>#REF!</v>
      </c>
    </row>
    <row r="162" spans="1:6" x14ac:dyDescent="0.25">
      <c r="B162" s="2" t="e">
        <f>Data!#REF!</f>
        <v>#REF!</v>
      </c>
      <c r="C162" s="2" t="e">
        <f>Data!#REF!</f>
        <v>#REF!</v>
      </c>
      <c r="D162" s="2" t="e">
        <f t="shared" si="16"/>
        <v>#REF!</v>
      </c>
      <c r="E162" s="3" t="e">
        <f t="shared" si="17"/>
        <v>#REF!</v>
      </c>
    </row>
    <row r="163" spans="1:6" x14ac:dyDescent="0.25">
      <c r="A163" t="e">
        <f>'30N2'!A163</f>
        <v>#REF!</v>
      </c>
      <c r="B163" s="2" t="e">
        <f>Data!#REF!</f>
        <v>#REF!</v>
      </c>
      <c r="C163" s="2" t="e">
        <f>Data!#REF!</f>
        <v>#REF!</v>
      </c>
      <c r="D163" s="2" t="e">
        <f t="shared" si="14"/>
        <v>#REF!</v>
      </c>
      <c r="E163" s="3" t="e">
        <f t="shared" si="15"/>
        <v>#REF!</v>
      </c>
      <c r="F163" s="3" t="e">
        <f>AVERAGE(E163:E165)</f>
        <v>#REF!</v>
      </c>
    </row>
    <row r="164" spans="1:6" x14ac:dyDescent="0.25">
      <c r="B164" s="2" t="e">
        <f>Data!#REF!</f>
        <v>#REF!</v>
      </c>
      <c r="C164" s="2" t="e">
        <f>Data!#REF!</f>
        <v>#REF!</v>
      </c>
      <c r="D164" s="2" t="e">
        <f t="shared" si="14"/>
        <v>#REF!</v>
      </c>
      <c r="E164" s="3" t="e">
        <f t="shared" si="15"/>
        <v>#REF!</v>
      </c>
    </row>
    <row r="165" spans="1:6" x14ac:dyDescent="0.25">
      <c r="B165" s="2" t="e">
        <f>Data!#REF!</f>
        <v>#REF!</v>
      </c>
      <c r="C165" s="2" t="e">
        <f>Data!#REF!</f>
        <v>#REF!</v>
      </c>
      <c r="D165" s="2" t="e">
        <f t="shared" si="14"/>
        <v>#REF!</v>
      </c>
      <c r="E165" s="3" t="e">
        <f t="shared" si="15"/>
        <v>#REF!</v>
      </c>
    </row>
    <row r="166" spans="1:6" x14ac:dyDescent="0.25">
      <c r="A166" t="e">
        <f>'30N2'!A166</f>
        <v>#REF!</v>
      </c>
      <c r="B166" s="2" t="e">
        <f>Data!#REF!</f>
        <v>#REF!</v>
      </c>
      <c r="C166" s="2" t="e">
        <f>Data!#REF!</f>
        <v>#REF!</v>
      </c>
      <c r="D166" s="2" t="e">
        <f t="shared" si="14"/>
        <v>#REF!</v>
      </c>
      <c r="E166" s="3" t="e">
        <f t="shared" si="15"/>
        <v>#REF!</v>
      </c>
      <c r="F166" s="3" t="e">
        <f>AVERAGE(E166:E168)</f>
        <v>#REF!</v>
      </c>
    </row>
    <row r="167" spans="1:6" x14ac:dyDescent="0.25">
      <c r="B167" s="2" t="e">
        <f>Data!#REF!</f>
        <v>#REF!</v>
      </c>
      <c r="C167" s="2" t="e">
        <f>Data!#REF!</f>
        <v>#REF!</v>
      </c>
      <c r="D167" s="2" t="e">
        <f t="shared" si="14"/>
        <v>#REF!</v>
      </c>
      <c r="E167" s="3" t="e">
        <f t="shared" si="15"/>
        <v>#REF!</v>
      </c>
    </row>
    <row r="168" spans="1:6" x14ac:dyDescent="0.25">
      <c r="B168" s="2" t="e">
        <f>Data!#REF!</f>
        <v>#REF!</v>
      </c>
      <c r="C168" s="2" t="e">
        <f>Data!#REF!</f>
        <v>#REF!</v>
      </c>
      <c r="D168" s="2" t="e">
        <f t="shared" si="14"/>
        <v>#REF!</v>
      </c>
      <c r="E168" s="3" t="e">
        <f t="shared" si="15"/>
        <v>#REF!</v>
      </c>
    </row>
    <row r="169" spans="1:6" x14ac:dyDescent="0.25">
      <c r="A169" t="e">
        <f>'30N2'!A169</f>
        <v>#REF!</v>
      </c>
      <c r="B169" s="2" t="e">
        <f>Data!#REF!</f>
        <v>#REF!</v>
      </c>
      <c r="C169" s="2" t="e">
        <f>Data!#REF!</f>
        <v>#REF!</v>
      </c>
      <c r="D169" s="2" t="e">
        <f t="shared" si="14"/>
        <v>#REF!</v>
      </c>
      <c r="E169" s="3" t="e">
        <f t="shared" si="15"/>
        <v>#REF!</v>
      </c>
      <c r="F169" s="3" t="e">
        <f>AVERAGE(E169:E171)</f>
        <v>#REF!</v>
      </c>
    </row>
    <row r="170" spans="1:6" x14ac:dyDescent="0.25">
      <c r="B170" s="2" t="e">
        <f>Data!#REF!</f>
        <v>#REF!</v>
      </c>
      <c r="C170" s="2" t="e">
        <f>Data!#REF!</f>
        <v>#REF!</v>
      </c>
      <c r="D170" s="2" t="e">
        <f t="shared" si="14"/>
        <v>#REF!</v>
      </c>
      <c r="E170" s="3" t="e">
        <f t="shared" si="15"/>
        <v>#REF!</v>
      </c>
    </row>
    <row r="171" spans="1:6" x14ac:dyDescent="0.25">
      <c r="B171" s="2" t="e">
        <f>Data!#REF!</f>
        <v>#REF!</v>
      </c>
      <c r="C171" s="2" t="e">
        <f>Data!#REF!</f>
        <v>#REF!</v>
      </c>
      <c r="D171" s="2" t="e">
        <f t="shared" si="14"/>
        <v>#REF!</v>
      </c>
      <c r="E171" s="3" t="e">
        <f t="shared" si="15"/>
        <v>#REF!</v>
      </c>
    </row>
    <row r="172" spans="1:6" x14ac:dyDescent="0.25">
      <c r="A172" t="e">
        <f>'30N2'!A172</f>
        <v>#REF!</v>
      </c>
      <c r="B172" s="2" t="e">
        <f>Data!#REF!</f>
        <v>#REF!</v>
      </c>
      <c r="C172" s="2" t="e">
        <f>Data!#REF!</f>
        <v>#REF!</v>
      </c>
      <c r="D172" s="2" t="e">
        <f t="shared" si="14"/>
        <v>#REF!</v>
      </c>
      <c r="E172" s="3" t="e">
        <f t="shared" si="15"/>
        <v>#REF!</v>
      </c>
      <c r="F172" s="3" t="e">
        <f>AVERAGE(E172:E174)</f>
        <v>#REF!</v>
      </c>
    </row>
    <row r="173" spans="1:6" x14ac:dyDescent="0.25">
      <c r="B173" s="2" t="e">
        <f>Data!#REF!</f>
        <v>#REF!</v>
      </c>
      <c r="C173" s="2" t="e">
        <f>Data!#REF!</f>
        <v>#REF!</v>
      </c>
      <c r="D173" s="2" t="e">
        <f t="shared" si="14"/>
        <v>#REF!</v>
      </c>
      <c r="E173" s="3" t="e">
        <f t="shared" si="15"/>
        <v>#REF!</v>
      </c>
    </row>
    <row r="174" spans="1:6" x14ac:dyDescent="0.25">
      <c r="B174" s="2" t="e">
        <f>Data!#REF!</f>
        <v>#REF!</v>
      </c>
      <c r="C174" s="2" t="e">
        <f>Data!#REF!</f>
        <v>#REF!</v>
      </c>
      <c r="D174" s="2" t="e">
        <f t="shared" si="14"/>
        <v>#REF!</v>
      </c>
      <c r="E174" s="3" t="e">
        <f t="shared" si="15"/>
        <v>#REF!</v>
      </c>
    </row>
    <row r="175" spans="1:6" x14ac:dyDescent="0.25">
      <c r="A175" t="e">
        <f>'30N2'!A175</f>
        <v>#REF!</v>
      </c>
      <c r="B175" s="2" t="e">
        <f>Data!#REF!</f>
        <v>#REF!</v>
      </c>
      <c r="C175" s="2" t="e">
        <f>Data!#REF!</f>
        <v>#REF!</v>
      </c>
      <c r="D175" s="2" t="e">
        <f t="shared" ref="D175:D192" si="18">C175-(B175*H$22+H$21)</f>
        <v>#REF!</v>
      </c>
      <c r="E175" s="3" t="e">
        <f t="shared" ref="E175:E192" si="19">A$1*D175/A$2</f>
        <v>#REF!</v>
      </c>
      <c r="F175" s="3" t="e">
        <f>AVERAGE(E175:E177)</f>
        <v>#REF!</v>
      </c>
    </row>
    <row r="176" spans="1:6" x14ac:dyDescent="0.25">
      <c r="B176" s="2" t="e">
        <f>Data!#REF!</f>
        <v>#REF!</v>
      </c>
      <c r="C176" s="2" t="e">
        <f>Data!#REF!</f>
        <v>#REF!</v>
      </c>
      <c r="D176" s="2" t="e">
        <f t="shared" si="18"/>
        <v>#REF!</v>
      </c>
      <c r="E176" s="3" t="e">
        <f t="shared" si="19"/>
        <v>#REF!</v>
      </c>
    </row>
    <row r="177" spans="1:6" x14ac:dyDescent="0.25">
      <c r="B177" s="2" t="e">
        <f>Data!#REF!</f>
        <v>#REF!</v>
      </c>
      <c r="C177" s="2" t="e">
        <f>Data!#REF!</f>
        <v>#REF!</v>
      </c>
      <c r="D177" s="2" t="e">
        <f t="shared" si="18"/>
        <v>#REF!</v>
      </c>
      <c r="E177" s="3" t="e">
        <f t="shared" si="19"/>
        <v>#REF!</v>
      </c>
    </row>
    <row r="178" spans="1:6" x14ac:dyDescent="0.25">
      <c r="A178" t="e">
        <f>'30N2'!A178</f>
        <v>#REF!</v>
      </c>
      <c r="B178" s="2" t="e">
        <f>Data!#REF!</f>
        <v>#REF!</v>
      </c>
      <c r="C178" s="2" t="e">
        <f>Data!#REF!</f>
        <v>#REF!</v>
      </c>
      <c r="D178" s="2" t="e">
        <f t="shared" si="18"/>
        <v>#REF!</v>
      </c>
      <c r="E178" s="3" t="e">
        <f t="shared" si="19"/>
        <v>#REF!</v>
      </c>
      <c r="F178" s="3" t="e">
        <f>AVERAGE(E178:E180)</f>
        <v>#REF!</v>
      </c>
    </row>
    <row r="179" spans="1:6" x14ac:dyDescent="0.25">
      <c r="B179" s="2" t="e">
        <f>Data!#REF!</f>
        <v>#REF!</v>
      </c>
      <c r="C179" s="2" t="e">
        <f>Data!#REF!</f>
        <v>#REF!</v>
      </c>
      <c r="D179" s="2" t="e">
        <f t="shared" si="18"/>
        <v>#REF!</v>
      </c>
      <c r="E179" s="3" t="e">
        <f t="shared" si="19"/>
        <v>#REF!</v>
      </c>
    </row>
    <row r="180" spans="1:6" x14ac:dyDescent="0.25">
      <c r="B180" s="2" t="e">
        <f>Data!#REF!</f>
        <v>#REF!</v>
      </c>
      <c r="C180" s="2" t="e">
        <f>Data!#REF!</f>
        <v>#REF!</v>
      </c>
      <c r="D180" s="2" t="e">
        <f t="shared" si="18"/>
        <v>#REF!</v>
      </c>
      <c r="E180" s="3" t="e">
        <f t="shared" si="19"/>
        <v>#REF!</v>
      </c>
    </row>
    <row r="181" spans="1:6" x14ac:dyDescent="0.25">
      <c r="A181" t="e">
        <f>'30N2'!A181</f>
        <v>#REF!</v>
      </c>
      <c r="B181" s="2" t="e">
        <f>Data!#REF!</f>
        <v>#REF!</v>
      </c>
      <c r="C181" s="2" t="e">
        <f>Data!#REF!</f>
        <v>#REF!</v>
      </c>
      <c r="D181" s="2" t="e">
        <f t="shared" si="18"/>
        <v>#REF!</v>
      </c>
      <c r="E181" s="3" t="e">
        <f t="shared" si="19"/>
        <v>#REF!</v>
      </c>
      <c r="F181" s="3" t="e">
        <f>AVERAGE(E181:E183)</f>
        <v>#REF!</v>
      </c>
    </row>
    <row r="182" spans="1:6" x14ac:dyDescent="0.25">
      <c r="B182" s="2" t="e">
        <f>Data!#REF!</f>
        <v>#REF!</v>
      </c>
      <c r="C182" s="2" t="e">
        <f>Data!#REF!</f>
        <v>#REF!</v>
      </c>
      <c r="D182" s="2" t="e">
        <f t="shared" si="18"/>
        <v>#REF!</v>
      </c>
      <c r="E182" s="3" t="e">
        <f t="shared" si="19"/>
        <v>#REF!</v>
      </c>
    </row>
    <row r="183" spans="1:6" x14ac:dyDescent="0.25">
      <c r="B183" s="2" t="e">
        <f>Data!#REF!</f>
        <v>#REF!</v>
      </c>
      <c r="C183" s="2" t="e">
        <f>Data!#REF!</f>
        <v>#REF!</v>
      </c>
      <c r="D183" s="2" t="e">
        <f t="shared" si="18"/>
        <v>#REF!</v>
      </c>
      <c r="E183" s="3" t="e">
        <f t="shared" si="19"/>
        <v>#REF!</v>
      </c>
    </row>
    <row r="184" spans="1:6" x14ac:dyDescent="0.25">
      <c r="A184" t="e">
        <f>'30N2'!A184</f>
        <v>#REF!</v>
      </c>
      <c r="B184" s="2" t="e">
        <f>Data!#REF!</f>
        <v>#REF!</v>
      </c>
      <c r="C184" s="2" t="e">
        <f>Data!#REF!</f>
        <v>#REF!</v>
      </c>
      <c r="D184" s="2" t="e">
        <f t="shared" si="18"/>
        <v>#REF!</v>
      </c>
      <c r="E184" s="3" t="e">
        <f t="shared" si="19"/>
        <v>#REF!</v>
      </c>
      <c r="F184" s="3" t="e">
        <f>AVERAGE(E184:E186)</f>
        <v>#REF!</v>
      </c>
    </row>
    <row r="185" spans="1:6" x14ac:dyDescent="0.25">
      <c r="B185" s="2" t="e">
        <f>Data!#REF!</f>
        <v>#REF!</v>
      </c>
      <c r="C185" s="2" t="e">
        <f>Data!#REF!</f>
        <v>#REF!</v>
      </c>
      <c r="D185" s="2" t="e">
        <f t="shared" si="18"/>
        <v>#REF!</v>
      </c>
      <c r="E185" s="3" t="e">
        <f t="shared" si="19"/>
        <v>#REF!</v>
      </c>
    </row>
    <row r="186" spans="1:6" x14ac:dyDescent="0.25">
      <c r="B186" s="2" t="e">
        <f>Data!#REF!</f>
        <v>#REF!</v>
      </c>
      <c r="C186" s="2" t="e">
        <f>Data!#REF!</f>
        <v>#REF!</v>
      </c>
      <c r="D186" s="2" t="e">
        <f t="shared" si="18"/>
        <v>#REF!</v>
      </c>
      <c r="E186" s="3" t="e">
        <f t="shared" si="19"/>
        <v>#REF!</v>
      </c>
    </row>
    <row r="187" spans="1:6" x14ac:dyDescent="0.25">
      <c r="A187" t="e">
        <f>'30N2'!A187</f>
        <v>#REF!</v>
      </c>
      <c r="B187" s="2" t="e">
        <f>Data!#REF!</f>
        <v>#REF!</v>
      </c>
      <c r="C187" s="2" t="e">
        <f>Data!#REF!</f>
        <v>#REF!</v>
      </c>
      <c r="D187" s="2" t="e">
        <f t="shared" si="18"/>
        <v>#REF!</v>
      </c>
      <c r="E187" s="3" t="e">
        <f t="shared" si="19"/>
        <v>#REF!</v>
      </c>
      <c r="F187" s="3" t="e">
        <f>AVERAGE(E187:E189)</f>
        <v>#REF!</v>
      </c>
    </row>
    <row r="188" spans="1:6" x14ac:dyDescent="0.25">
      <c r="B188" s="2" t="e">
        <f>Data!#REF!</f>
        <v>#REF!</v>
      </c>
      <c r="C188" s="2" t="e">
        <f>Data!#REF!</f>
        <v>#REF!</v>
      </c>
      <c r="D188" s="2" t="e">
        <f t="shared" si="18"/>
        <v>#REF!</v>
      </c>
      <c r="E188" s="3" t="e">
        <f t="shared" si="19"/>
        <v>#REF!</v>
      </c>
    </row>
    <row r="189" spans="1:6" x14ac:dyDescent="0.25">
      <c r="B189" s="2" t="e">
        <f>Data!#REF!</f>
        <v>#REF!</v>
      </c>
      <c r="C189" s="2" t="e">
        <f>Data!#REF!</f>
        <v>#REF!</v>
      </c>
      <c r="D189" s="2" t="e">
        <f t="shared" si="18"/>
        <v>#REF!</v>
      </c>
      <c r="E189" s="3" t="e">
        <f t="shared" si="19"/>
        <v>#REF!</v>
      </c>
    </row>
    <row r="190" spans="1:6" x14ac:dyDescent="0.25">
      <c r="A190" t="e">
        <f>'30N2'!A190</f>
        <v>#REF!</v>
      </c>
      <c r="B190" s="2" t="e">
        <f>Data!#REF!</f>
        <v>#REF!</v>
      </c>
      <c r="C190" s="2" t="e">
        <f>Data!#REF!</f>
        <v>#REF!</v>
      </c>
      <c r="D190" s="2" t="e">
        <f t="shared" si="18"/>
        <v>#REF!</v>
      </c>
      <c r="E190" s="3" t="e">
        <f t="shared" si="19"/>
        <v>#REF!</v>
      </c>
      <c r="F190" s="3" t="e">
        <f>AVERAGE(E190:E192)</f>
        <v>#REF!</v>
      </c>
    </row>
    <row r="191" spans="1:6" x14ac:dyDescent="0.25">
      <c r="B191" s="2" t="e">
        <f>Data!#REF!</f>
        <v>#REF!</v>
      </c>
      <c r="C191" s="2" t="e">
        <f>Data!#REF!</f>
        <v>#REF!</v>
      </c>
      <c r="D191" s="2" t="e">
        <f t="shared" si="18"/>
        <v>#REF!</v>
      </c>
      <c r="E191" s="3" t="e">
        <f t="shared" si="19"/>
        <v>#REF!</v>
      </c>
    </row>
    <row r="192" spans="1:6" x14ac:dyDescent="0.25">
      <c r="B192" s="2" t="e">
        <f>Data!#REF!</f>
        <v>#REF!</v>
      </c>
      <c r="C192" s="2" t="e">
        <f>Data!#REF!</f>
        <v>#REF!</v>
      </c>
      <c r="D192" s="2" t="e">
        <f t="shared" si="18"/>
        <v>#REF!</v>
      </c>
      <c r="E192" s="3" t="e">
        <f t="shared" si="19"/>
        <v>#REF!</v>
      </c>
    </row>
    <row r="193" spans="1:6" x14ac:dyDescent="0.25">
      <c r="A193" t="e">
        <f>'30N2'!A193</f>
        <v>#REF!</v>
      </c>
      <c r="B193" s="2" t="e">
        <f>Data!#REF!</f>
        <v>#REF!</v>
      </c>
      <c r="C193" s="2" t="e">
        <f>Data!#REF!</f>
        <v>#REF!</v>
      </c>
      <c r="D193" s="2" t="e">
        <f t="shared" ref="D193:D222" si="20">C193-(B193*H$22+H$21)</f>
        <v>#REF!</v>
      </c>
      <c r="E193" s="3" t="e">
        <f t="shared" ref="E193:E222" si="21">A$1*D193/A$2</f>
        <v>#REF!</v>
      </c>
      <c r="F193" s="3" t="e">
        <f>AVERAGE(E193:E195)</f>
        <v>#REF!</v>
      </c>
    </row>
    <row r="194" spans="1:6" x14ac:dyDescent="0.25">
      <c r="B194" s="2" t="e">
        <f>Data!#REF!</f>
        <v>#REF!</v>
      </c>
      <c r="C194" s="2" t="e">
        <f>Data!#REF!</f>
        <v>#REF!</v>
      </c>
      <c r="D194" s="2" t="e">
        <f t="shared" si="20"/>
        <v>#REF!</v>
      </c>
      <c r="E194" s="3" t="e">
        <f t="shared" si="21"/>
        <v>#REF!</v>
      </c>
    </row>
    <row r="195" spans="1:6" x14ac:dyDescent="0.25">
      <c r="B195" s="2" t="e">
        <f>Data!#REF!</f>
        <v>#REF!</v>
      </c>
      <c r="C195" s="2" t="e">
        <f>Data!#REF!</f>
        <v>#REF!</v>
      </c>
      <c r="D195" s="2" t="e">
        <f t="shared" si="20"/>
        <v>#REF!</v>
      </c>
      <c r="E195" s="3" t="e">
        <f t="shared" si="21"/>
        <v>#REF!</v>
      </c>
    </row>
    <row r="196" spans="1:6" x14ac:dyDescent="0.25">
      <c r="A196" t="e">
        <f>'30N2'!A196</f>
        <v>#REF!</v>
      </c>
      <c r="B196" s="2" t="e">
        <f>Data!#REF!</f>
        <v>#REF!</v>
      </c>
      <c r="C196" s="2" t="e">
        <f>Data!#REF!</f>
        <v>#REF!</v>
      </c>
      <c r="D196" s="2" t="e">
        <f t="shared" si="20"/>
        <v>#REF!</v>
      </c>
      <c r="E196" s="3" t="e">
        <f t="shared" si="21"/>
        <v>#REF!</v>
      </c>
      <c r="F196" s="3" t="e">
        <f>AVERAGE(E196:E198)</f>
        <v>#REF!</v>
      </c>
    </row>
    <row r="197" spans="1:6" x14ac:dyDescent="0.25">
      <c r="B197" s="2" t="e">
        <f>Data!#REF!</f>
        <v>#REF!</v>
      </c>
      <c r="C197" s="2" t="e">
        <f>Data!#REF!</f>
        <v>#REF!</v>
      </c>
      <c r="D197" s="2" t="e">
        <f t="shared" si="20"/>
        <v>#REF!</v>
      </c>
      <c r="E197" s="3" t="e">
        <f t="shared" si="21"/>
        <v>#REF!</v>
      </c>
    </row>
    <row r="198" spans="1:6" x14ac:dyDescent="0.25">
      <c r="B198" s="2" t="e">
        <f>Data!#REF!</f>
        <v>#REF!</v>
      </c>
      <c r="C198" s="2" t="e">
        <f>Data!#REF!</f>
        <v>#REF!</v>
      </c>
      <c r="D198" s="2" t="e">
        <f t="shared" si="20"/>
        <v>#REF!</v>
      </c>
      <c r="E198" s="3" t="e">
        <f t="shared" si="21"/>
        <v>#REF!</v>
      </c>
    </row>
    <row r="199" spans="1:6" x14ac:dyDescent="0.25">
      <c r="A199" t="e">
        <f>'30N2'!A199</f>
        <v>#REF!</v>
      </c>
      <c r="B199" s="2" t="e">
        <f>Data!#REF!</f>
        <v>#REF!</v>
      </c>
      <c r="C199" s="2" t="e">
        <f>Data!#REF!</f>
        <v>#REF!</v>
      </c>
      <c r="D199" s="2" t="e">
        <f t="shared" si="20"/>
        <v>#REF!</v>
      </c>
      <c r="E199" s="3" t="e">
        <f t="shared" si="21"/>
        <v>#REF!</v>
      </c>
      <c r="F199" s="3" t="e">
        <f>AVERAGE(E199:E201)</f>
        <v>#REF!</v>
      </c>
    </row>
    <row r="200" spans="1:6" x14ac:dyDescent="0.25">
      <c r="B200" s="2" t="e">
        <f>Data!#REF!</f>
        <v>#REF!</v>
      </c>
      <c r="C200" s="2" t="e">
        <f>Data!#REF!</f>
        <v>#REF!</v>
      </c>
      <c r="D200" s="2" t="e">
        <f t="shared" si="20"/>
        <v>#REF!</v>
      </c>
      <c r="E200" s="3" t="e">
        <f t="shared" si="21"/>
        <v>#REF!</v>
      </c>
    </row>
    <row r="201" spans="1:6" x14ac:dyDescent="0.25">
      <c r="B201" s="2" t="e">
        <f>Data!#REF!</f>
        <v>#REF!</v>
      </c>
      <c r="C201" s="2" t="e">
        <f>Data!#REF!</f>
        <v>#REF!</v>
      </c>
      <c r="D201" s="2" t="e">
        <f t="shared" si="20"/>
        <v>#REF!</v>
      </c>
      <c r="E201" s="3" t="e">
        <f t="shared" si="21"/>
        <v>#REF!</v>
      </c>
    </row>
    <row r="202" spans="1:6" x14ac:dyDescent="0.25">
      <c r="A202" t="e">
        <f>'30N2'!A202</f>
        <v>#REF!</v>
      </c>
      <c r="B202" s="2" t="e">
        <f>Data!#REF!</f>
        <v>#REF!</v>
      </c>
      <c r="C202" s="2" t="e">
        <f>Data!#REF!</f>
        <v>#REF!</v>
      </c>
      <c r="D202" s="2" t="e">
        <f t="shared" si="20"/>
        <v>#REF!</v>
      </c>
      <c r="E202" s="3" t="e">
        <f t="shared" si="21"/>
        <v>#REF!</v>
      </c>
      <c r="F202" s="3" t="e">
        <f>AVERAGE(E202:E204)</f>
        <v>#REF!</v>
      </c>
    </row>
    <row r="203" spans="1:6" x14ac:dyDescent="0.25">
      <c r="B203" s="2" t="e">
        <f>Data!#REF!</f>
        <v>#REF!</v>
      </c>
      <c r="C203" s="2" t="e">
        <f>Data!#REF!</f>
        <v>#REF!</v>
      </c>
      <c r="D203" s="2" t="e">
        <f t="shared" si="20"/>
        <v>#REF!</v>
      </c>
      <c r="E203" s="3" t="e">
        <f t="shared" si="21"/>
        <v>#REF!</v>
      </c>
    </row>
    <row r="204" spans="1:6" x14ac:dyDescent="0.25">
      <c r="B204" s="2" t="e">
        <f>Data!#REF!</f>
        <v>#REF!</v>
      </c>
      <c r="C204" s="2" t="e">
        <f>Data!#REF!</f>
        <v>#REF!</v>
      </c>
      <c r="D204" s="2" t="e">
        <f t="shared" si="20"/>
        <v>#REF!</v>
      </c>
      <c r="E204" s="3" t="e">
        <f t="shared" si="21"/>
        <v>#REF!</v>
      </c>
    </row>
    <row r="205" spans="1:6" x14ac:dyDescent="0.25">
      <c r="A205" t="e">
        <f>'30N2'!A205</f>
        <v>#REF!</v>
      </c>
      <c r="B205" s="2" t="e">
        <f>Data!#REF!</f>
        <v>#REF!</v>
      </c>
      <c r="C205" s="2" t="e">
        <f>Data!#REF!</f>
        <v>#REF!</v>
      </c>
      <c r="D205" s="2" t="e">
        <f t="shared" si="20"/>
        <v>#REF!</v>
      </c>
      <c r="E205" s="3" t="e">
        <f t="shared" si="21"/>
        <v>#REF!</v>
      </c>
      <c r="F205" s="3" t="e">
        <f>AVERAGE(E205:E207)</f>
        <v>#REF!</v>
      </c>
    </row>
    <row r="206" spans="1:6" x14ac:dyDescent="0.25">
      <c r="B206" s="2" t="e">
        <f>Data!#REF!</f>
        <v>#REF!</v>
      </c>
      <c r="C206" s="2" t="e">
        <f>Data!#REF!</f>
        <v>#REF!</v>
      </c>
      <c r="D206" s="2" t="e">
        <f t="shared" si="20"/>
        <v>#REF!</v>
      </c>
      <c r="E206" s="3" t="e">
        <f t="shared" si="21"/>
        <v>#REF!</v>
      </c>
    </row>
    <row r="207" spans="1:6" x14ac:dyDescent="0.25">
      <c r="B207" s="2" t="e">
        <f>Data!#REF!</f>
        <v>#REF!</v>
      </c>
      <c r="C207" s="2" t="e">
        <f>Data!#REF!</f>
        <v>#REF!</v>
      </c>
      <c r="D207" s="2" t="e">
        <f t="shared" si="20"/>
        <v>#REF!</v>
      </c>
      <c r="E207" s="3" t="e">
        <f t="shared" si="21"/>
        <v>#REF!</v>
      </c>
    </row>
    <row r="208" spans="1:6" x14ac:dyDescent="0.25">
      <c r="A208" t="e">
        <f>'30N2'!A208</f>
        <v>#REF!</v>
      </c>
      <c r="B208" s="2" t="e">
        <f>Data!#REF!</f>
        <v>#REF!</v>
      </c>
      <c r="C208" s="2" t="e">
        <f>Data!#REF!</f>
        <v>#REF!</v>
      </c>
      <c r="D208" s="2" t="e">
        <f t="shared" si="20"/>
        <v>#REF!</v>
      </c>
      <c r="E208" s="3" t="e">
        <f t="shared" si="21"/>
        <v>#REF!</v>
      </c>
      <c r="F208" s="3" t="e">
        <f>AVERAGE(E208:E210)</f>
        <v>#REF!</v>
      </c>
    </row>
    <row r="209" spans="1:6" x14ac:dyDescent="0.25">
      <c r="B209" s="2" t="e">
        <f>Data!#REF!</f>
        <v>#REF!</v>
      </c>
      <c r="C209" s="2" t="e">
        <f>Data!#REF!</f>
        <v>#REF!</v>
      </c>
      <c r="D209" s="2" t="e">
        <f t="shared" si="20"/>
        <v>#REF!</v>
      </c>
      <c r="E209" s="3" t="e">
        <f t="shared" si="21"/>
        <v>#REF!</v>
      </c>
    </row>
    <row r="210" spans="1:6" x14ac:dyDescent="0.25">
      <c r="B210" s="2" t="e">
        <f>Data!#REF!</f>
        <v>#REF!</v>
      </c>
      <c r="C210" s="2" t="e">
        <f>Data!#REF!</f>
        <v>#REF!</v>
      </c>
      <c r="D210" s="2" t="e">
        <f t="shared" si="20"/>
        <v>#REF!</v>
      </c>
      <c r="E210" s="3" t="e">
        <f t="shared" si="21"/>
        <v>#REF!</v>
      </c>
    </row>
    <row r="211" spans="1:6" x14ac:dyDescent="0.25">
      <c r="A211" t="e">
        <f>'30N2'!A211</f>
        <v>#REF!</v>
      </c>
      <c r="B211" s="2" t="e">
        <f>Data!#REF!</f>
        <v>#REF!</v>
      </c>
      <c r="C211" s="2" t="e">
        <f>Data!#REF!</f>
        <v>#REF!</v>
      </c>
      <c r="D211" s="2" t="e">
        <f t="shared" si="20"/>
        <v>#REF!</v>
      </c>
      <c r="E211" s="3" t="e">
        <f t="shared" si="21"/>
        <v>#REF!</v>
      </c>
      <c r="F211" s="3" t="e">
        <f>AVERAGE(E211:E213)</f>
        <v>#REF!</v>
      </c>
    </row>
    <row r="212" spans="1:6" x14ac:dyDescent="0.25">
      <c r="B212" s="2" t="e">
        <f>Data!#REF!</f>
        <v>#REF!</v>
      </c>
      <c r="C212" s="2" t="e">
        <f>Data!#REF!</f>
        <v>#REF!</v>
      </c>
      <c r="D212" s="2" t="e">
        <f t="shared" si="20"/>
        <v>#REF!</v>
      </c>
      <c r="E212" s="3" t="e">
        <f t="shared" si="21"/>
        <v>#REF!</v>
      </c>
    </row>
    <row r="213" spans="1:6" x14ac:dyDescent="0.25">
      <c r="B213" s="2" t="e">
        <f>Data!#REF!</f>
        <v>#REF!</v>
      </c>
      <c r="C213" s="2" t="e">
        <f>Data!#REF!</f>
        <v>#REF!</v>
      </c>
      <c r="D213" s="2" t="e">
        <f t="shared" si="20"/>
        <v>#REF!</v>
      </c>
      <c r="E213" s="3" t="e">
        <f t="shared" si="21"/>
        <v>#REF!</v>
      </c>
    </row>
    <row r="214" spans="1:6" x14ac:dyDescent="0.25">
      <c r="A214" t="e">
        <f>'30N2'!A214</f>
        <v>#REF!</v>
      </c>
      <c r="B214" s="2" t="e">
        <f>Data!#REF!</f>
        <v>#REF!</v>
      </c>
      <c r="C214" s="2" t="e">
        <f>Data!#REF!</f>
        <v>#REF!</v>
      </c>
      <c r="D214" s="2" t="e">
        <f t="shared" si="20"/>
        <v>#REF!</v>
      </c>
      <c r="E214" s="3" t="e">
        <f t="shared" si="21"/>
        <v>#REF!</v>
      </c>
      <c r="F214" s="3" t="e">
        <f>AVERAGE(E214:E216)</f>
        <v>#REF!</v>
      </c>
    </row>
    <row r="215" spans="1:6" x14ac:dyDescent="0.25">
      <c r="B215" s="2" t="e">
        <f>Data!#REF!</f>
        <v>#REF!</v>
      </c>
      <c r="C215" s="2" t="e">
        <f>Data!#REF!</f>
        <v>#REF!</v>
      </c>
      <c r="D215" s="2" t="e">
        <f t="shared" si="20"/>
        <v>#REF!</v>
      </c>
      <c r="E215" s="3" t="e">
        <f t="shared" si="21"/>
        <v>#REF!</v>
      </c>
    </row>
    <row r="216" spans="1:6" x14ac:dyDescent="0.25">
      <c r="B216" s="2" t="e">
        <f>Data!#REF!</f>
        <v>#REF!</v>
      </c>
      <c r="C216" s="2" t="e">
        <f>Data!#REF!</f>
        <v>#REF!</v>
      </c>
      <c r="D216" s="2" t="e">
        <f t="shared" si="20"/>
        <v>#REF!</v>
      </c>
      <c r="E216" s="3" t="e">
        <f t="shared" si="21"/>
        <v>#REF!</v>
      </c>
    </row>
    <row r="217" spans="1:6" x14ac:dyDescent="0.25">
      <c r="A217" t="e">
        <f>'30N2'!A217</f>
        <v>#REF!</v>
      </c>
      <c r="B217" s="2" t="e">
        <f>Data!#REF!</f>
        <v>#REF!</v>
      </c>
      <c r="C217" s="2" t="e">
        <f>Data!#REF!</f>
        <v>#REF!</v>
      </c>
      <c r="D217" s="2" t="e">
        <f t="shared" si="20"/>
        <v>#REF!</v>
      </c>
      <c r="E217" s="3" t="e">
        <f t="shared" si="21"/>
        <v>#REF!</v>
      </c>
      <c r="F217" s="3" t="e">
        <f>AVERAGE(E217:E219)</f>
        <v>#REF!</v>
      </c>
    </row>
    <row r="218" spans="1:6" x14ac:dyDescent="0.25">
      <c r="B218" s="2" t="e">
        <f>Data!#REF!</f>
        <v>#REF!</v>
      </c>
      <c r="C218" s="2" t="e">
        <f>Data!#REF!</f>
        <v>#REF!</v>
      </c>
      <c r="D218" s="2" t="e">
        <f t="shared" si="20"/>
        <v>#REF!</v>
      </c>
      <c r="E218" s="3" t="e">
        <f t="shared" si="21"/>
        <v>#REF!</v>
      </c>
    </row>
    <row r="219" spans="1:6" x14ac:dyDescent="0.25">
      <c r="B219" s="2" t="e">
        <f>Data!#REF!</f>
        <v>#REF!</v>
      </c>
      <c r="C219" s="2" t="e">
        <f>Data!#REF!</f>
        <v>#REF!</v>
      </c>
      <c r="D219" s="2" t="e">
        <f t="shared" si="20"/>
        <v>#REF!</v>
      </c>
      <c r="E219" s="3" t="e">
        <f t="shared" si="21"/>
        <v>#REF!</v>
      </c>
    </row>
    <row r="220" spans="1:6" x14ac:dyDescent="0.25">
      <c r="A220" t="e">
        <f>'30N2'!A220</f>
        <v>#REF!</v>
      </c>
      <c r="B220" s="2" t="e">
        <f>Data!#REF!</f>
        <v>#REF!</v>
      </c>
      <c r="C220" s="2" t="e">
        <f>Data!#REF!</f>
        <v>#REF!</v>
      </c>
      <c r="D220" s="2" t="e">
        <f t="shared" si="20"/>
        <v>#REF!</v>
      </c>
      <c r="E220" s="3" t="e">
        <f t="shared" si="21"/>
        <v>#REF!</v>
      </c>
      <c r="F220" s="3" t="e">
        <f>AVERAGE(E220:E222)</f>
        <v>#REF!</v>
      </c>
    </row>
    <row r="221" spans="1:6" x14ac:dyDescent="0.25">
      <c r="B221" s="2" t="e">
        <f>Data!#REF!</f>
        <v>#REF!</v>
      </c>
      <c r="C221" s="2" t="e">
        <f>Data!#REF!</f>
        <v>#REF!</v>
      </c>
      <c r="D221" s="2" t="e">
        <f t="shared" si="20"/>
        <v>#REF!</v>
      </c>
      <c r="E221" s="3" t="e">
        <f t="shared" si="21"/>
        <v>#REF!</v>
      </c>
    </row>
    <row r="222" spans="1:6" x14ac:dyDescent="0.25">
      <c r="B222" s="2" t="e">
        <f>Data!#REF!</f>
        <v>#REF!</v>
      </c>
      <c r="C222" s="2" t="e">
        <f>Data!#REF!</f>
        <v>#REF!</v>
      </c>
      <c r="D222" s="2" t="e">
        <f t="shared" si="20"/>
        <v>#REF!</v>
      </c>
      <c r="E222" s="3" t="e">
        <f t="shared" si="21"/>
        <v>#REF!</v>
      </c>
    </row>
    <row r="223" spans="1:6" x14ac:dyDescent="0.25">
      <c r="B223" s="2"/>
      <c r="C223" s="2"/>
      <c r="D223" s="2"/>
      <c r="E223" s="3"/>
      <c r="F223" s="3"/>
    </row>
    <row r="224" spans="1:6" x14ac:dyDescent="0.25">
      <c r="B224" s="2"/>
      <c r="C224" s="2"/>
      <c r="D224" s="2"/>
      <c r="E224" s="3"/>
    </row>
    <row r="225" spans="2:6" x14ac:dyDescent="0.25">
      <c r="B225" s="2"/>
      <c r="C225" s="2"/>
      <c r="D225" s="2"/>
      <c r="E225" s="3"/>
    </row>
    <row r="226" spans="2:6" x14ac:dyDescent="0.25">
      <c r="B226" s="2"/>
      <c r="C226" s="2"/>
      <c r="D226" s="2"/>
      <c r="E226" s="3"/>
      <c r="F226" s="3"/>
    </row>
    <row r="227" spans="2:6" x14ac:dyDescent="0.25">
      <c r="B227" s="2"/>
      <c r="C227" s="2"/>
      <c r="D227" s="2"/>
      <c r="E227" s="3"/>
    </row>
    <row r="228" spans="2:6" x14ac:dyDescent="0.25">
      <c r="B228" s="2"/>
      <c r="C228" s="2"/>
      <c r="D228" s="2"/>
      <c r="E228" s="3"/>
    </row>
    <row r="229" spans="2:6" x14ac:dyDescent="0.25">
      <c r="B229" s="2"/>
      <c r="C229" s="2"/>
      <c r="D229" s="2"/>
      <c r="E229" s="3"/>
      <c r="F229" s="3"/>
    </row>
    <row r="230" spans="2:6" x14ac:dyDescent="0.25">
      <c r="B230" s="2"/>
      <c r="C230" s="2"/>
      <c r="D230" s="2"/>
      <c r="E230" s="3"/>
    </row>
    <row r="231" spans="2:6" x14ac:dyDescent="0.25">
      <c r="B231" s="2"/>
      <c r="C231" s="2"/>
      <c r="D231" s="2"/>
      <c r="E231" s="3"/>
    </row>
    <row r="232" spans="2:6" x14ac:dyDescent="0.25">
      <c r="B232" s="2"/>
      <c r="C232" s="2"/>
      <c r="D232" s="2"/>
      <c r="E232" s="3"/>
      <c r="F232" s="3"/>
    </row>
    <row r="233" spans="2:6" x14ac:dyDescent="0.25">
      <c r="B233" s="2"/>
      <c r="C233" s="2"/>
      <c r="D233" s="2"/>
      <c r="E233" s="3"/>
    </row>
    <row r="234" spans="2:6" x14ac:dyDescent="0.25">
      <c r="B234" s="2"/>
      <c r="C234" s="2"/>
      <c r="D234" s="2"/>
      <c r="E234" s="3"/>
    </row>
    <row r="235" spans="2:6" x14ac:dyDescent="0.25">
      <c r="B235" s="2"/>
      <c r="C235" s="2"/>
      <c r="D235" s="2"/>
      <c r="E235" s="3"/>
      <c r="F235" s="3"/>
    </row>
    <row r="236" spans="2:6" x14ac:dyDescent="0.25">
      <c r="B236" s="2"/>
      <c r="C236" s="2"/>
      <c r="D236" s="2"/>
      <c r="E236" s="3"/>
    </row>
    <row r="237" spans="2:6" x14ac:dyDescent="0.25">
      <c r="B237" s="2"/>
      <c r="C237" s="2"/>
      <c r="D237" s="2"/>
      <c r="E237" s="3"/>
    </row>
    <row r="238" spans="2:6" x14ac:dyDescent="0.25">
      <c r="B238" s="2"/>
      <c r="C238" s="2"/>
      <c r="D238" s="2"/>
      <c r="E238" s="3"/>
      <c r="F238" s="3"/>
    </row>
    <row r="239" spans="2:6" x14ac:dyDescent="0.25">
      <c r="B239" s="2"/>
      <c r="C239" s="2"/>
      <c r="D239" s="2"/>
      <c r="E239" s="3"/>
    </row>
    <row r="240" spans="2:6" x14ac:dyDescent="0.25">
      <c r="B240" s="2"/>
      <c r="C240" s="2"/>
      <c r="D240" s="2"/>
      <c r="E240" s="3"/>
    </row>
    <row r="241" spans="2:6" x14ac:dyDescent="0.25">
      <c r="B241" s="2"/>
      <c r="C241" s="2"/>
      <c r="D241" s="2"/>
      <c r="E241" s="3"/>
      <c r="F241" s="3"/>
    </row>
    <row r="242" spans="2:6" x14ac:dyDescent="0.25">
      <c r="B242" s="2"/>
      <c r="C242" s="2"/>
      <c r="D242" s="2"/>
      <c r="E242" s="3"/>
    </row>
    <row r="243" spans="2:6" x14ac:dyDescent="0.25">
      <c r="B243" s="2"/>
      <c r="C243" s="2"/>
      <c r="D243" s="2"/>
      <c r="E243" s="3"/>
    </row>
    <row r="244" spans="2:6" x14ac:dyDescent="0.25">
      <c r="B244" s="2"/>
      <c r="C244" s="2"/>
      <c r="D244" s="2"/>
      <c r="E244" s="3"/>
      <c r="F244" s="3"/>
    </row>
    <row r="245" spans="2:6" x14ac:dyDescent="0.25">
      <c r="B245" s="2"/>
      <c r="C245" s="2"/>
      <c r="D245" s="2"/>
      <c r="E245" s="3"/>
    </row>
    <row r="246" spans="2:6" x14ac:dyDescent="0.25">
      <c r="B246" s="2"/>
      <c r="C246" s="2"/>
      <c r="D246" s="2"/>
      <c r="E246" s="3"/>
    </row>
    <row r="247" spans="2:6" x14ac:dyDescent="0.25">
      <c r="B247" s="2"/>
      <c r="C247" s="2"/>
      <c r="D247" s="2"/>
      <c r="E247" s="3"/>
      <c r="F247" s="3"/>
    </row>
    <row r="248" spans="2:6" x14ac:dyDescent="0.25">
      <c r="B248" s="2"/>
      <c r="C248" s="2"/>
      <c r="D248" s="2"/>
      <c r="E248" s="3"/>
    </row>
    <row r="249" spans="2:6" x14ac:dyDescent="0.25">
      <c r="B249" s="2"/>
      <c r="C249" s="2"/>
      <c r="D249" s="2"/>
      <c r="E249" s="3"/>
    </row>
    <row r="250" spans="2:6" x14ac:dyDescent="0.25">
      <c r="B250" s="2"/>
      <c r="C250" s="2"/>
      <c r="D250" s="2"/>
      <c r="E250" s="3"/>
      <c r="F250" s="3"/>
    </row>
    <row r="251" spans="2:6" x14ac:dyDescent="0.25">
      <c r="B251" s="2"/>
      <c r="C251" s="2"/>
      <c r="D251" s="2"/>
      <c r="E251" s="3"/>
    </row>
    <row r="252" spans="2:6" x14ac:dyDescent="0.25">
      <c r="B252" s="2"/>
      <c r="C252" s="2"/>
      <c r="D252" s="2"/>
      <c r="E252" s="3"/>
    </row>
    <row r="253" spans="2:6" x14ac:dyDescent="0.25">
      <c r="B253" s="2"/>
      <c r="C253" s="2"/>
      <c r="D253" s="2"/>
      <c r="E253" s="3"/>
      <c r="F253" s="3"/>
    </row>
    <row r="254" spans="2:6" x14ac:dyDescent="0.25">
      <c r="B254" s="2"/>
      <c r="C254" s="2"/>
      <c r="D254" s="2"/>
      <c r="E254" s="3"/>
    </row>
    <row r="255" spans="2:6" x14ac:dyDescent="0.25">
      <c r="B255" s="2"/>
      <c r="C255" s="2"/>
      <c r="D255" s="2"/>
      <c r="E255" s="3"/>
    </row>
    <row r="256" spans="2:6" x14ac:dyDescent="0.25">
      <c r="B256" s="2"/>
      <c r="C256" s="2"/>
      <c r="D256" s="2"/>
      <c r="E256" s="3"/>
      <c r="F256" s="3"/>
    </row>
    <row r="257" spans="2:6" x14ac:dyDescent="0.25">
      <c r="B257" s="2"/>
      <c r="C257" s="2"/>
      <c r="D257" s="2"/>
      <c r="E257" s="3"/>
    </row>
    <row r="258" spans="2:6" x14ac:dyDescent="0.25">
      <c r="B258" s="2"/>
      <c r="C258" s="2"/>
      <c r="D258" s="2"/>
      <c r="E258" s="3"/>
    </row>
    <row r="259" spans="2:6" x14ac:dyDescent="0.25">
      <c r="B259" s="2"/>
      <c r="C259" s="2"/>
      <c r="D259" s="2"/>
      <c r="E259" s="3"/>
      <c r="F259" s="3"/>
    </row>
    <row r="260" spans="2:6" x14ac:dyDescent="0.25">
      <c r="B260" s="2"/>
      <c r="C260" s="2"/>
      <c r="D260" s="2"/>
      <c r="E260" s="3"/>
    </row>
    <row r="261" spans="2:6" x14ac:dyDescent="0.25">
      <c r="B261" s="2"/>
      <c r="C261" s="2"/>
      <c r="D261" s="2"/>
      <c r="E261" s="3"/>
    </row>
    <row r="262" spans="2:6" x14ac:dyDescent="0.25">
      <c r="B262" s="2"/>
      <c r="C262" s="2"/>
      <c r="D262" s="2"/>
      <c r="E262" s="3"/>
      <c r="F262" s="3"/>
    </row>
    <row r="263" spans="2:6" x14ac:dyDescent="0.25">
      <c r="B263" s="2"/>
      <c r="C263" s="2"/>
      <c r="D263" s="2"/>
      <c r="E263" s="3"/>
    </row>
    <row r="264" spans="2:6" x14ac:dyDescent="0.25">
      <c r="B264" s="2"/>
      <c r="C264" s="2"/>
      <c r="D264" s="2"/>
      <c r="E264" s="3"/>
    </row>
    <row r="265" spans="2:6" x14ac:dyDescent="0.25">
      <c r="B265" s="2"/>
      <c r="C265" s="2"/>
      <c r="D265" s="2"/>
      <c r="E265" s="3"/>
      <c r="F265" s="3"/>
    </row>
    <row r="266" spans="2:6" x14ac:dyDescent="0.25">
      <c r="B266" s="2"/>
      <c r="C266" s="2"/>
      <c r="D266" s="2"/>
      <c r="E266" s="3"/>
    </row>
    <row r="267" spans="2:6" x14ac:dyDescent="0.25">
      <c r="B267" s="2"/>
      <c r="C267" s="2"/>
      <c r="D267" s="2"/>
      <c r="E267" s="3"/>
    </row>
    <row r="268" spans="2:6" x14ac:dyDescent="0.25">
      <c r="B268" s="2"/>
      <c r="C268" s="2"/>
      <c r="D268" s="2"/>
      <c r="E268" s="3"/>
      <c r="F268" s="3"/>
    </row>
    <row r="269" spans="2:6" x14ac:dyDescent="0.25">
      <c r="B269" s="2"/>
      <c r="C269" s="2"/>
      <c r="D269" s="2"/>
      <c r="E269" s="3"/>
    </row>
    <row r="270" spans="2:6" x14ac:dyDescent="0.25">
      <c r="B270" s="2"/>
      <c r="C270" s="2"/>
      <c r="D270" s="2"/>
      <c r="E270" s="3"/>
    </row>
    <row r="271" spans="2:6" x14ac:dyDescent="0.25">
      <c r="B271" s="2"/>
      <c r="C271" s="2"/>
      <c r="D271" s="2"/>
      <c r="E271" s="3"/>
      <c r="F271" s="3"/>
    </row>
    <row r="272" spans="2:6" x14ac:dyDescent="0.25">
      <c r="B272" s="2"/>
      <c r="C272" s="2"/>
      <c r="D272" s="2"/>
      <c r="E272" s="3"/>
    </row>
    <row r="273" spans="2:6" x14ac:dyDescent="0.25">
      <c r="B273" s="2"/>
      <c r="C273" s="2"/>
      <c r="D273" s="2"/>
      <c r="E273" s="3"/>
    </row>
    <row r="274" spans="2:6" x14ac:dyDescent="0.25">
      <c r="B274" s="2"/>
      <c r="C274" s="2"/>
      <c r="D274" s="2"/>
      <c r="E274" s="3"/>
      <c r="F274" s="3"/>
    </row>
    <row r="275" spans="2:6" x14ac:dyDescent="0.25">
      <c r="B275" s="2"/>
      <c r="C275" s="2"/>
      <c r="D275" s="2"/>
      <c r="E275" s="3"/>
    </row>
    <row r="276" spans="2:6" x14ac:dyDescent="0.25">
      <c r="B276" s="2"/>
      <c r="C276" s="2"/>
      <c r="D276" s="2"/>
      <c r="E276" s="3"/>
    </row>
    <row r="277" spans="2:6" x14ac:dyDescent="0.25">
      <c r="B277" s="2"/>
      <c r="C277" s="2"/>
      <c r="D277" s="2"/>
      <c r="E277" s="3"/>
      <c r="F277" s="3"/>
    </row>
    <row r="278" spans="2:6" x14ac:dyDescent="0.25">
      <c r="B278" s="2"/>
      <c r="C278" s="2"/>
      <c r="D278" s="2"/>
      <c r="E278" s="3"/>
    </row>
    <row r="279" spans="2:6" x14ac:dyDescent="0.25">
      <c r="B279" s="2"/>
      <c r="C279" s="2"/>
      <c r="D279" s="2"/>
      <c r="E279" s="3"/>
    </row>
    <row r="280" spans="2:6" x14ac:dyDescent="0.25">
      <c r="B280" s="2"/>
      <c r="C280" s="2"/>
      <c r="D280" s="2"/>
      <c r="E280" s="3"/>
      <c r="F280" s="3"/>
    </row>
    <row r="281" spans="2:6" x14ac:dyDescent="0.25">
      <c r="B281" s="2"/>
      <c r="C281" s="2"/>
      <c r="D281" s="2"/>
      <c r="E281" s="3"/>
    </row>
    <row r="282" spans="2:6" x14ac:dyDescent="0.25">
      <c r="B282" s="2"/>
      <c r="C282" s="2"/>
      <c r="D282" s="2"/>
      <c r="E282" s="3"/>
    </row>
    <row r="283" spans="2:6" x14ac:dyDescent="0.25">
      <c r="B283" s="2"/>
      <c r="C283" s="2"/>
      <c r="D283" s="2"/>
      <c r="E283" s="3"/>
      <c r="F283" s="3"/>
    </row>
    <row r="284" spans="2:6" x14ac:dyDescent="0.25">
      <c r="B284" s="2"/>
      <c r="C284" s="2"/>
      <c r="D284" s="2"/>
      <c r="E284" s="3"/>
    </row>
    <row r="285" spans="2:6" x14ac:dyDescent="0.25">
      <c r="B285" s="2"/>
      <c r="C285" s="2"/>
      <c r="D285" s="2"/>
      <c r="E285" s="3"/>
    </row>
    <row r="286" spans="2:6" x14ac:dyDescent="0.25">
      <c r="B286" s="2"/>
      <c r="C286" s="2"/>
      <c r="D286" s="2"/>
      <c r="E286" s="3"/>
      <c r="F286" s="3"/>
    </row>
    <row r="287" spans="2:6" x14ac:dyDescent="0.25">
      <c r="B287" s="2"/>
      <c r="C287" s="2"/>
      <c r="D287" s="2"/>
      <c r="E287" s="3"/>
    </row>
    <row r="288" spans="2:6" x14ac:dyDescent="0.25">
      <c r="B288" s="2"/>
      <c r="C288" s="2"/>
      <c r="D288" s="2"/>
      <c r="E288" s="3"/>
    </row>
    <row r="289" spans="2:6" x14ac:dyDescent="0.25">
      <c r="B289" s="2"/>
      <c r="C289" s="2"/>
      <c r="D289" s="2"/>
      <c r="E289" s="3"/>
      <c r="F289" s="3"/>
    </row>
    <row r="290" spans="2:6" x14ac:dyDescent="0.25">
      <c r="B290" s="2"/>
      <c r="C290" s="2"/>
      <c r="D290" s="2"/>
      <c r="E290" s="3"/>
    </row>
    <row r="291" spans="2:6" x14ac:dyDescent="0.25">
      <c r="B291" s="2"/>
      <c r="C291" s="2"/>
      <c r="D291" s="2"/>
      <c r="E291" s="3"/>
    </row>
    <row r="292" spans="2:6" x14ac:dyDescent="0.25">
      <c r="B292" s="2"/>
      <c r="C292" s="2"/>
      <c r="D292" s="2"/>
      <c r="E292" s="3"/>
      <c r="F292" s="3"/>
    </row>
    <row r="293" spans="2:6" x14ac:dyDescent="0.25">
      <c r="B293" s="2"/>
      <c r="C293" s="2"/>
      <c r="D293" s="2"/>
      <c r="E293" s="3"/>
    </row>
    <row r="294" spans="2:6" x14ac:dyDescent="0.25">
      <c r="B294" s="2"/>
      <c r="C294" s="2"/>
      <c r="D294" s="2"/>
      <c r="E294" s="3"/>
    </row>
    <row r="295" spans="2:6" x14ac:dyDescent="0.25">
      <c r="B295" s="2"/>
      <c r="C295" s="2"/>
      <c r="D295" s="2"/>
      <c r="E295" s="3"/>
      <c r="F295" s="3"/>
    </row>
    <row r="296" spans="2:6" x14ac:dyDescent="0.25">
      <c r="B296" s="2"/>
      <c r="C296" s="2"/>
      <c r="D296" s="2"/>
      <c r="E296" s="3"/>
    </row>
    <row r="297" spans="2:6" x14ac:dyDescent="0.25">
      <c r="B297" s="2"/>
      <c r="C297" s="2"/>
      <c r="D297" s="2"/>
      <c r="E297" s="3"/>
    </row>
    <row r="298" spans="2:6" x14ac:dyDescent="0.25">
      <c r="B298" s="2"/>
      <c r="C298" s="2"/>
      <c r="D298" s="2"/>
      <c r="E298" s="3"/>
      <c r="F298" s="3"/>
    </row>
    <row r="299" spans="2:6" x14ac:dyDescent="0.25">
      <c r="B299" s="2"/>
      <c r="C299" s="2"/>
      <c r="D299" s="2"/>
      <c r="E299" s="3"/>
    </row>
    <row r="300" spans="2:6" x14ac:dyDescent="0.25">
      <c r="B300" s="2"/>
      <c r="C300" s="2"/>
      <c r="D300" s="2"/>
      <c r="E300" s="3"/>
    </row>
    <row r="301" spans="2:6" x14ac:dyDescent="0.25">
      <c r="B301" s="2"/>
      <c r="C301" s="2"/>
      <c r="D301" s="2"/>
      <c r="E301" s="3"/>
      <c r="F301" s="3"/>
    </row>
    <row r="302" spans="2:6" x14ac:dyDescent="0.25">
      <c r="B302" s="2"/>
      <c r="C302" s="2"/>
      <c r="D302" s="2"/>
      <c r="E302" s="3"/>
    </row>
    <row r="303" spans="2:6" x14ac:dyDescent="0.25">
      <c r="B303" s="2"/>
      <c r="C303" s="2"/>
      <c r="D303" s="2"/>
      <c r="E303" s="3"/>
    </row>
    <row r="304" spans="2:6" x14ac:dyDescent="0.25">
      <c r="B304" s="2"/>
      <c r="C304" s="2"/>
      <c r="D304" s="2"/>
      <c r="E304" s="3"/>
      <c r="F304" s="3"/>
    </row>
    <row r="305" spans="2:6" x14ac:dyDescent="0.25">
      <c r="B305" s="2"/>
      <c r="C305" s="2"/>
      <c r="D305" s="2"/>
      <c r="E305" s="3"/>
    </row>
    <row r="306" spans="2:6" x14ac:dyDescent="0.25">
      <c r="B306" s="2"/>
      <c r="C306" s="2"/>
      <c r="D306" s="2"/>
      <c r="E306" s="3"/>
    </row>
    <row r="307" spans="2:6" x14ac:dyDescent="0.25">
      <c r="B307" s="2"/>
      <c r="C307" s="2"/>
      <c r="D307" s="2"/>
      <c r="E307" s="3"/>
      <c r="F307" s="3"/>
    </row>
    <row r="308" spans="2:6" x14ac:dyDescent="0.25">
      <c r="B308" s="2"/>
      <c r="C308" s="2"/>
      <c r="D308" s="2"/>
      <c r="E308" s="3"/>
    </row>
    <row r="309" spans="2:6" x14ac:dyDescent="0.25">
      <c r="B309" s="2"/>
      <c r="C309" s="2"/>
      <c r="D309" s="2"/>
      <c r="E309" s="3"/>
    </row>
    <row r="310" spans="2:6" x14ac:dyDescent="0.25">
      <c r="B310" s="2"/>
      <c r="C310" s="2"/>
      <c r="D310" s="2"/>
      <c r="E310" s="3"/>
      <c r="F310" s="3"/>
    </row>
    <row r="311" spans="2:6" x14ac:dyDescent="0.25">
      <c r="B311" s="2"/>
      <c r="C311" s="2"/>
      <c r="D311" s="2"/>
      <c r="E311" s="3"/>
    </row>
    <row r="312" spans="2:6" x14ac:dyDescent="0.25">
      <c r="B312" s="2"/>
      <c r="C312" s="2"/>
      <c r="D312" s="2"/>
      <c r="E312" s="3"/>
    </row>
    <row r="313" spans="2:6" x14ac:dyDescent="0.25">
      <c r="B313" s="2"/>
      <c r="C313" s="2"/>
      <c r="D313" s="2"/>
      <c r="E313" s="3"/>
      <c r="F313" s="3"/>
    </row>
    <row r="314" spans="2:6" x14ac:dyDescent="0.25">
      <c r="B314" s="2"/>
      <c r="C314" s="2"/>
      <c r="D314" s="2"/>
      <c r="E314" s="3"/>
    </row>
    <row r="315" spans="2:6" x14ac:dyDescent="0.25">
      <c r="B315" s="2"/>
      <c r="C315" s="2"/>
      <c r="D315" s="2"/>
      <c r="E315" s="3"/>
    </row>
    <row r="316" spans="2:6" x14ac:dyDescent="0.25">
      <c r="B316" s="2"/>
      <c r="C316" s="2"/>
      <c r="D316" s="2"/>
      <c r="E316" s="3"/>
      <c r="F316" s="3"/>
    </row>
    <row r="317" spans="2:6" x14ac:dyDescent="0.25">
      <c r="B317" s="2"/>
      <c r="C317" s="2"/>
      <c r="D317" s="2"/>
      <c r="E317" s="3"/>
    </row>
    <row r="318" spans="2:6" x14ac:dyDescent="0.25">
      <c r="B318" s="2"/>
      <c r="C318" s="2"/>
      <c r="D318" s="2"/>
      <c r="E318" s="3"/>
    </row>
    <row r="319" spans="2:6" x14ac:dyDescent="0.25">
      <c r="B319" s="2"/>
      <c r="C319" s="2"/>
      <c r="D319" s="2"/>
      <c r="E319" s="3"/>
      <c r="F319" s="3"/>
    </row>
    <row r="320" spans="2:6" x14ac:dyDescent="0.25">
      <c r="B320" s="2"/>
      <c r="C320" s="2"/>
      <c r="D320" s="2"/>
      <c r="E320" s="3"/>
    </row>
    <row r="321" spans="2:6" x14ac:dyDescent="0.25">
      <c r="B321" s="2"/>
      <c r="C321" s="2"/>
      <c r="D321" s="2"/>
      <c r="E321" s="3"/>
    </row>
    <row r="322" spans="2:6" x14ac:dyDescent="0.25">
      <c r="B322" s="2"/>
      <c r="C322" s="2"/>
      <c r="D322" s="2"/>
      <c r="E322" s="3"/>
      <c r="F322" s="3"/>
    </row>
    <row r="323" spans="2:6" x14ac:dyDescent="0.25">
      <c r="B323" s="2"/>
      <c r="C323" s="2"/>
      <c r="D323" s="2"/>
      <c r="E323" s="3"/>
    </row>
    <row r="324" spans="2:6" x14ac:dyDescent="0.25">
      <c r="B324" s="2"/>
      <c r="C324" s="2"/>
      <c r="D324" s="2"/>
      <c r="E324" s="3"/>
    </row>
    <row r="325" spans="2:6" x14ac:dyDescent="0.25">
      <c r="B325" s="2"/>
      <c r="C325" s="2"/>
      <c r="D325" s="2"/>
      <c r="E325" s="3"/>
      <c r="F325" s="3"/>
    </row>
    <row r="326" spans="2:6" x14ac:dyDescent="0.25">
      <c r="B326" s="2"/>
      <c r="C326" s="2"/>
      <c r="D326" s="2"/>
      <c r="E326" s="3"/>
    </row>
    <row r="327" spans="2:6" x14ac:dyDescent="0.25">
      <c r="B327" s="2"/>
      <c r="C327" s="2"/>
      <c r="D327" s="2"/>
      <c r="E327" s="3"/>
    </row>
    <row r="328" spans="2:6" x14ac:dyDescent="0.25">
      <c r="B328" s="2"/>
      <c r="C328" s="2"/>
      <c r="D328" s="2"/>
      <c r="E328" s="3"/>
      <c r="F328" s="3"/>
    </row>
    <row r="329" spans="2:6" x14ac:dyDescent="0.25">
      <c r="B329" s="2"/>
      <c r="C329" s="2"/>
      <c r="D329" s="2"/>
      <c r="E329" s="3"/>
    </row>
    <row r="330" spans="2:6" x14ac:dyDescent="0.2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Regs</vt:lpstr>
      <vt:lpstr>28N2-O2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Back, Michael</cp:lastModifiedBy>
  <cp:lastPrinted>2006-11-29T02:27:39Z</cp:lastPrinted>
  <dcterms:created xsi:type="dcterms:W3CDTF">2002-01-15T19:09:40Z</dcterms:created>
  <dcterms:modified xsi:type="dcterms:W3CDTF">2024-11-12T14:23:57Z</dcterms:modified>
</cp:coreProperties>
</file>