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b\Documents\"/>
    </mc:Choice>
  </mc:AlternateContent>
  <xr:revisionPtr revIDLastSave="0" documentId="13_ncr:1_{A6B014DF-3252-4AEC-A021-CA7CFDFA24EF}" xr6:coauthVersionLast="47" xr6:coauthVersionMax="47" xr10:uidLastSave="{00000000-0000-0000-0000-000000000000}"/>
  <bookViews>
    <workbookView minimized="1" xWindow="9336" yWindow="4476" windowWidth="13800" windowHeight="7944" activeTab="3" xr2:uid="{00000000-000D-0000-FFFF-FFFF00000000}"/>
  </bookViews>
  <sheets>
    <sheet name="Data" sheetId="1" r:id="rId1"/>
    <sheet name="Regs" sheetId="4" r:id="rId2"/>
    <sheet name="28N2-O2" sheetId="5" r:id="rId3"/>
    <sheet name="mimsy_check" sheetId="8" r:id="rId4"/>
    <sheet name="30N2" sheetId="6" r:id="rId5"/>
    <sheet name="29N2" sheetId="7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B6" i="5"/>
  <c r="B7" i="5"/>
  <c r="D14" i="5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17" i="5"/>
  <c r="D48" i="5"/>
  <c r="D47" i="5"/>
  <c r="D46" i="5"/>
  <c r="D45" i="5"/>
  <c r="D44" i="5"/>
  <c r="D43" i="5"/>
  <c r="D33" i="5"/>
  <c r="D32" i="5"/>
  <c r="D31" i="5"/>
  <c r="D30" i="5"/>
  <c r="D29" i="5"/>
  <c r="D28" i="5"/>
  <c r="D18" i="5"/>
  <c r="D16" i="5"/>
  <c r="D15" i="5"/>
  <c r="B8" i="5" l="1"/>
  <c r="B23" i="4" l="1"/>
  <c r="B24" i="4"/>
  <c r="B22" i="4"/>
  <c r="A23" i="4"/>
  <c r="A24" i="4"/>
  <c r="A22" i="4"/>
  <c r="B20" i="4"/>
  <c r="B21" i="4"/>
  <c r="B19" i="4"/>
  <c r="A20" i="4"/>
  <c r="A21" i="4"/>
  <c r="A19" i="4"/>
  <c r="B17" i="4"/>
  <c r="B18" i="4"/>
  <c r="B16" i="4"/>
  <c r="A17" i="4"/>
  <c r="A18" i="4"/>
  <c r="A16" i="4"/>
  <c r="B14" i="4"/>
  <c r="B15" i="4"/>
  <c r="B13" i="4"/>
  <c r="A14" i="4"/>
  <c r="A15" i="4"/>
  <c r="A13" i="4"/>
  <c r="A11" i="4"/>
  <c r="A12" i="4"/>
  <c r="A10" i="4"/>
  <c r="A8" i="4"/>
  <c r="A9" i="4"/>
  <c r="A7" i="4"/>
  <c r="A5" i="4"/>
  <c r="A6" i="4"/>
  <c r="A28" i="4"/>
  <c r="A29" i="4"/>
  <c r="A30" i="4"/>
  <c r="A31" i="4"/>
  <c r="A32" i="4"/>
  <c r="A33" i="4"/>
  <c r="A34" i="4"/>
  <c r="A35" i="4"/>
  <c r="A36" i="4"/>
  <c r="A37" i="4"/>
  <c r="A38" i="4"/>
  <c r="A39" i="4"/>
  <c r="A4" i="4"/>
  <c r="M8" i="1"/>
  <c r="H8" i="1" s="1"/>
  <c r="B4" i="4" s="1"/>
  <c r="C222" i="7" l="1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A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A193" i="7"/>
  <c r="C192" i="7"/>
  <c r="B192" i="7"/>
  <c r="C191" i="7"/>
  <c r="B191" i="7"/>
  <c r="C190" i="7"/>
  <c r="B190" i="7"/>
  <c r="C189" i="7"/>
  <c r="D189" i="7" s="1"/>
  <c r="B189" i="7"/>
  <c r="C188" i="7"/>
  <c r="B188" i="7"/>
  <c r="C187" i="7"/>
  <c r="B187" i="7"/>
  <c r="A187" i="7"/>
  <c r="C186" i="7"/>
  <c r="B186" i="7"/>
  <c r="C185" i="7"/>
  <c r="B185" i="7"/>
  <c r="C184" i="7"/>
  <c r="B184" i="7"/>
  <c r="A184" i="7"/>
  <c r="C183" i="7"/>
  <c r="B183" i="7"/>
  <c r="C182" i="7"/>
  <c r="B182" i="7"/>
  <c r="C181" i="7"/>
  <c r="B181" i="7"/>
  <c r="C180" i="7"/>
  <c r="B180" i="7"/>
  <c r="C179" i="7"/>
  <c r="B179" i="7"/>
  <c r="D179" i="7" s="1"/>
  <c r="C178" i="7"/>
  <c r="B178" i="7"/>
  <c r="C177" i="7"/>
  <c r="B177" i="7"/>
  <c r="C176" i="7"/>
  <c r="B176" i="7"/>
  <c r="C175" i="7"/>
  <c r="B175" i="7"/>
  <c r="A175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B110" i="7"/>
  <c r="C110" i="7"/>
  <c r="B111" i="7"/>
  <c r="C111" i="7"/>
  <c r="B112" i="7"/>
  <c r="C112" i="7"/>
  <c r="B113" i="7"/>
  <c r="C113" i="7"/>
  <c r="B114" i="7"/>
  <c r="C114" i="7"/>
  <c r="C109" i="7"/>
  <c r="B109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C43" i="7"/>
  <c r="B43" i="7"/>
  <c r="B38" i="7"/>
  <c r="C38" i="7"/>
  <c r="B39" i="7"/>
  <c r="C39" i="7"/>
  <c r="D39" i="7" s="1"/>
  <c r="B40" i="7"/>
  <c r="C40" i="7"/>
  <c r="B41" i="7"/>
  <c r="C41" i="7"/>
  <c r="D41" i="7" s="1"/>
  <c r="B42" i="7"/>
  <c r="C42" i="7"/>
  <c r="C37" i="7"/>
  <c r="B37" i="7"/>
  <c r="B32" i="7"/>
  <c r="C32" i="7"/>
  <c r="B33" i="7"/>
  <c r="C33" i="7"/>
  <c r="D33" i="7" s="1"/>
  <c r="B34" i="7"/>
  <c r="C34" i="7"/>
  <c r="B35" i="7"/>
  <c r="C35" i="7"/>
  <c r="B36" i="7"/>
  <c r="C36" i="7"/>
  <c r="C31" i="7"/>
  <c r="B31" i="7"/>
  <c r="B26" i="7"/>
  <c r="C26" i="7"/>
  <c r="B27" i="7"/>
  <c r="C27" i="7"/>
  <c r="B28" i="7"/>
  <c r="C28" i="7"/>
  <c r="B29" i="7"/>
  <c r="C29" i="7"/>
  <c r="B30" i="7"/>
  <c r="C30" i="7"/>
  <c r="C25" i="7"/>
  <c r="B25" i="7"/>
  <c r="B20" i="7"/>
  <c r="C20" i="7"/>
  <c r="B21" i="7"/>
  <c r="C21" i="7"/>
  <c r="B22" i="7"/>
  <c r="C22" i="7"/>
  <c r="B23" i="7"/>
  <c r="C23" i="7"/>
  <c r="B24" i="7"/>
  <c r="C24" i="7"/>
  <c r="C19" i="7"/>
  <c r="B19" i="7"/>
  <c r="D222" i="6"/>
  <c r="B222" i="6"/>
  <c r="C222" i="6" s="1"/>
  <c r="D221" i="6"/>
  <c r="B221" i="6"/>
  <c r="C221" i="6" s="1"/>
  <c r="D220" i="6"/>
  <c r="B220" i="6"/>
  <c r="C220" i="6" s="1"/>
  <c r="E220" i="6" s="1"/>
  <c r="A220" i="6"/>
  <c r="A220" i="7" s="1"/>
  <c r="D219" i="6"/>
  <c r="B219" i="6"/>
  <c r="C219" i="6" s="1"/>
  <c r="D218" i="6"/>
  <c r="B218" i="6"/>
  <c r="C218" i="6" s="1"/>
  <c r="D217" i="6"/>
  <c r="B217" i="6"/>
  <c r="C217" i="6" s="1"/>
  <c r="A217" i="6"/>
  <c r="A217" i="7" s="1"/>
  <c r="D216" i="6"/>
  <c r="B216" i="6"/>
  <c r="C216" i="6" s="1"/>
  <c r="E216" i="6" s="1"/>
  <c r="D215" i="6"/>
  <c r="B215" i="6"/>
  <c r="C215" i="6" s="1"/>
  <c r="D214" i="6"/>
  <c r="B214" i="6"/>
  <c r="C214" i="6" s="1"/>
  <c r="A214" i="6"/>
  <c r="D213" i="6"/>
  <c r="B213" i="6"/>
  <c r="C213" i="6" s="1"/>
  <c r="D212" i="6"/>
  <c r="B212" i="6"/>
  <c r="C212" i="6" s="1"/>
  <c r="D211" i="6"/>
  <c r="B211" i="6"/>
  <c r="C211" i="6" s="1"/>
  <c r="E211" i="6" s="1"/>
  <c r="A211" i="6"/>
  <c r="A211" i="7" s="1"/>
  <c r="D210" i="6"/>
  <c r="B210" i="6"/>
  <c r="C210" i="6" s="1"/>
  <c r="D209" i="6"/>
  <c r="B209" i="6"/>
  <c r="C209" i="6" s="1"/>
  <c r="D208" i="6"/>
  <c r="B208" i="6"/>
  <c r="C208" i="6" s="1"/>
  <c r="E208" i="6" s="1"/>
  <c r="A208" i="6"/>
  <c r="A208" i="7" s="1"/>
  <c r="D207" i="6"/>
  <c r="B207" i="6"/>
  <c r="C207" i="6" s="1"/>
  <c r="D206" i="6"/>
  <c r="B206" i="6"/>
  <c r="C206" i="6" s="1"/>
  <c r="D205" i="6"/>
  <c r="B205" i="6"/>
  <c r="C205" i="6" s="1"/>
  <c r="A205" i="6"/>
  <c r="A205" i="7" s="1"/>
  <c r="D204" i="6"/>
  <c r="B204" i="6"/>
  <c r="C204" i="6" s="1"/>
  <c r="D203" i="6"/>
  <c r="B203" i="6"/>
  <c r="C203" i="6" s="1"/>
  <c r="D202" i="6"/>
  <c r="B202" i="6"/>
  <c r="C202" i="6" s="1"/>
  <c r="A202" i="6"/>
  <c r="A202" i="7" s="1"/>
  <c r="D201" i="6"/>
  <c r="B201" i="6"/>
  <c r="C201" i="6" s="1"/>
  <c r="D200" i="6"/>
  <c r="B200" i="6"/>
  <c r="C200" i="6" s="1"/>
  <c r="E200" i="6" s="1"/>
  <c r="D199" i="6"/>
  <c r="B199" i="6"/>
  <c r="C199" i="6" s="1"/>
  <c r="A199" i="6"/>
  <c r="A199" i="7" s="1"/>
  <c r="D198" i="6"/>
  <c r="B198" i="6"/>
  <c r="C198" i="6" s="1"/>
  <c r="E198" i="6" s="1"/>
  <c r="D197" i="6"/>
  <c r="B197" i="6"/>
  <c r="C197" i="6" s="1"/>
  <c r="E197" i="6" s="1"/>
  <c r="D196" i="6"/>
  <c r="B196" i="6"/>
  <c r="C196" i="6" s="1"/>
  <c r="A196" i="6"/>
  <c r="A196" i="7" s="1"/>
  <c r="D195" i="6"/>
  <c r="B195" i="6"/>
  <c r="C195" i="6" s="1"/>
  <c r="E195" i="6" s="1"/>
  <c r="D194" i="6"/>
  <c r="B194" i="6"/>
  <c r="C194" i="6" s="1"/>
  <c r="D193" i="6"/>
  <c r="B193" i="6"/>
  <c r="C193" i="6" s="1"/>
  <c r="E193" i="6" s="1"/>
  <c r="A193" i="6"/>
  <c r="D192" i="6"/>
  <c r="B192" i="6"/>
  <c r="C192" i="6" s="1"/>
  <c r="D191" i="6"/>
  <c r="B191" i="6"/>
  <c r="C191" i="6" s="1"/>
  <c r="D190" i="6"/>
  <c r="B190" i="6"/>
  <c r="C190" i="6" s="1"/>
  <c r="E190" i="6" s="1"/>
  <c r="A190" i="6"/>
  <c r="A190" i="7" s="1"/>
  <c r="D189" i="6"/>
  <c r="B189" i="6"/>
  <c r="C189" i="6" s="1"/>
  <c r="D188" i="6"/>
  <c r="B188" i="6"/>
  <c r="C188" i="6" s="1"/>
  <c r="E188" i="6" s="1"/>
  <c r="D187" i="6"/>
  <c r="B187" i="6"/>
  <c r="C187" i="6" s="1"/>
  <c r="A187" i="6"/>
  <c r="D186" i="6"/>
  <c r="B186" i="6"/>
  <c r="C186" i="6" s="1"/>
  <c r="D185" i="6"/>
  <c r="B185" i="6"/>
  <c r="C185" i="6" s="1"/>
  <c r="E185" i="6" s="1"/>
  <c r="D184" i="6"/>
  <c r="B184" i="6"/>
  <c r="C184" i="6" s="1"/>
  <c r="A184" i="6"/>
  <c r="D183" i="6"/>
  <c r="B183" i="6"/>
  <c r="C183" i="6" s="1"/>
  <c r="D182" i="6"/>
  <c r="B182" i="6"/>
  <c r="C182" i="6" s="1"/>
  <c r="D181" i="6"/>
  <c r="B181" i="6"/>
  <c r="C181" i="6" s="1"/>
  <c r="A181" i="6"/>
  <c r="A181" i="7" s="1"/>
  <c r="D180" i="6"/>
  <c r="B180" i="6"/>
  <c r="C180" i="6" s="1"/>
  <c r="D179" i="6"/>
  <c r="B179" i="6"/>
  <c r="C179" i="6" s="1"/>
  <c r="D178" i="6"/>
  <c r="B178" i="6"/>
  <c r="C178" i="6" s="1"/>
  <c r="A178" i="6"/>
  <c r="A178" i="7" s="1"/>
  <c r="D177" i="6"/>
  <c r="B177" i="6"/>
  <c r="C177" i="6" s="1"/>
  <c r="D176" i="6"/>
  <c r="B176" i="6"/>
  <c r="C176" i="6" s="1"/>
  <c r="E176" i="6" s="1"/>
  <c r="D175" i="6"/>
  <c r="B175" i="6"/>
  <c r="C175" i="6" s="1"/>
  <c r="A175" i="6"/>
  <c r="D162" i="6"/>
  <c r="B162" i="6"/>
  <c r="C162" i="6" s="1"/>
  <c r="D161" i="6"/>
  <c r="B161" i="6"/>
  <c r="C161" i="6" s="1"/>
  <c r="D160" i="6"/>
  <c r="B160" i="6"/>
  <c r="C160" i="6" s="1"/>
  <c r="E160" i="6" s="1"/>
  <c r="A160" i="6"/>
  <c r="A160" i="7" s="1"/>
  <c r="D159" i="6"/>
  <c r="B159" i="6"/>
  <c r="C159" i="6" s="1"/>
  <c r="D158" i="6"/>
  <c r="B158" i="6"/>
  <c r="C158" i="6" s="1"/>
  <c r="E158" i="6" s="1"/>
  <c r="D157" i="6"/>
  <c r="B157" i="6"/>
  <c r="C157" i="6" s="1"/>
  <c r="A157" i="6"/>
  <c r="A157" i="7" s="1"/>
  <c r="D114" i="6"/>
  <c r="B114" i="6"/>
  <c r="C114" i="6" s="1"/>
  <c r="D113" i="6"/>
  <c r="B113" i="6"/>
  <c r="C113" i="6" s="1"/>
  <c r="D112" i="6"/>
  <c r="B112" i="6"/>
  <c r="C112" i="6" s="1"/>
  <c r="E112" i="6" s="1"/>
  <c r="A112" i="6"/>
  <c r="D111" i="6"/>
  <c r="B111" i="6"/>
  <c r="C111" i="6" s="1"/>
  <c r="D110" i="6"/>
  <c r="B110" i="6"/>
  <c r="C110" i="6" s="1"/>
  <c r="D109" i="6"/>
  <c r="B109" i="6"/>
  <c r="C109" i="6" s="1"/>
  <c r="A109" i="6"/>
  <c r="D44" i="6"/>
  <c r="D45" i="6"/>
  <c r="D46" i="6"/>
  <c r="D47" i="6"/>
  <c r="D48" i="6"/>
  <c r="D49" i="6"/>
  <c r="D50" i="6"/>
  <c r="D51" i="6"/>
  <c r="D52" i="6"/>
  <c r="D53" i="6"/>
  <c r="D54" i="6"/>
  <c r="D43" i="6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E49" i="6" s="1"/>
  <c r="B50" i="6"/>
  <c r="C50" i="6" s="1"/>
  <c r="B51" i="6"/>
  <c r="C51" i="6" s="1"/>
  <c r="E51" i="6" s="1"/>
  <c r="B52" i="6"/>
  <c r="C52" i="6" s="1"/>
  <c r="E52" i="6" s="1"/>
  <c r="B53" i="6"/>
  <c r="C53" i="6" s="1"/>
  <c r="B54" i="6"/>
  <c r="C54" i="6" s="1"/>
  <c r="B43" i="6"/>
  <c r="C43" i="6" s="1"/>
  <c r="D38" i="6"/>
  <c r="D39" i="6"/>
  <c r="D40" i="6"/>
  <c r="D41" i="6"/>
  <c r="D42" i="6"/>
  <c r="D37" i="6"/>
  <c r="B38" i="6"/>
  <c r="B39" i="6"/>
  <c r="B40" i="6"/>
  <c r="B41" i="6"/>
  <c r="B42" i="6"/>
  <c r="B37" i="6"/>
  <c r="D32" i="6"/>
  <c r="D33" i="6"/>
  <c r="D34" i="6"/>
  <c r="D35" i="6"/>
  <c r="D36" i="6"/>
  <c r="D31" i="6"/>
  <c r="B32" i="6"/>
  <c r="B33" i="6"/>
  <c r="B34" i="6"/>
  <c r="B35" i="6"/>
  <c r="B36" i="6"/>
  <c r="B31" i="6"/>
  <c r="D26" i="6"/>
  <c r="D27" i="6"/>
  <c r="D28" i="6"/>
  <c r="D29" i="6"/>
  <c r="D30" i="6"/>
  <c r="D25" i="6"/>
  <c r="B26" i="6"/>
  <c r="B27" i="6"/>
  <c r="B28" i="6"/>
  <c r="B29" i="6"/>
  <c r="B30" i="6"/>
  <c r="B25" i="6"/>
  <c r="D20" i="6"/>
  <c r="D21" i="6"/>
  <c r="D22" i="6"/>
  <c r="D23" i="6"/>
  <c r="D24" i="6"/>
  <c r="D19" i="6"/>
  <c r="B20" i="6"/>
  <c r="B21" i="6"/>
  <c r="B22" i="6"/>
  <c r="B23" i="6"/>
  <c r="B24" i="6"/>
  <c r="B19" i="6"/>
  <c r="A52" i="6"/>
  <c r="A49" i="6"/>
  <c r="A46" i="6"/>
  <c r="A43" i="6"/>
  <c r="A40" i="6"/>
  <c r="A40" i="7" s="1"/>
  <c r="A37" i="6"/>
  <c r="A37" i="7" s="1"/>
  <c r="A34" i="6"/>
  <c r="A34" i="7" s="1"/>
  <c r="A31" i="6"/>
  <c r="A31" i="7" s="1"/>
  <c r="A28" i="6"/>
  <c r="A25" i="6"/>
  <c r="A22" i="6"/>
  <c r="A19" i="6"/>
  <c r="A2" i="6"/>
  <c r="A146" i="4"/>
  <c r="B146" i="4"/>
  <c r="A147" i="4"/>
  <c r="B147" i="4"/>
  <c r="B145" i="4"/>
  <c r="A145" i="4"/>
  <c r="A143" i="4"/>
  <c r="B143" i="4"/>
  <c r="A144" i="4"/>
  <c r="B144" i="4"/>
  <c r="B142" i="4"/>
  <c r="A142" i="4"/>
  <c r="A140" i="4"/>
  <c r="B140" i="4"/>
  <c r="A141" i="4"/>
  <c r="B141" i="4"/>
  <c r="B139" i="4"/>
  <c r="A139" i="4"/>
  <c r="A137" i="4"/>
  <c r="A138" i="4"/>
  <c r="A136" i="4"/>
  <c r="A134" i="4"/>
  <c r="A135" i="4"/>
  <c r="A133" i="4"/>
  <c r="A131" i="4"/>
  <c r="A132" i="4"/>
  <c r="A130" i="4"/>
  <c r="A106" i="4"/>
  <c r="B106" i="4"/>
  <c r="A107" i="4"/>
  <c r="B107" i="4"/>
  <c r="B105" i="4"/>
  <c r="A105" i="4"/>
  <c r="A103" i="4"/>
  <c r="B103" i="4"/>
  <c r="A104" i="4"/>
  <c r="B104" i="4"/>
  <c r="B102" i="4"/>
  <c r="A102" i="4"/>
  <c r="A100" i="4"/>
  <c r="B100" i="4"/>
  <c r="A101" i="4"/>
  <c r="B101" i="4"/>
  <c r="B99" i="4"/>
  <c r="A99" i="4"/>
  <c r="A97" i="4"/>
  <c r="A98" i="4"/>
  <c r="A96" i="4"/>
  <c r="A94" i="4"/>
  <c r="A95" i="4"/>
  <c r="A93" i="4"/>
  <c r="A91" i="4"/>
  <c r="A92" i="4"/>
  <c r="A90" i="4"/>
  <c r="A66" i="4"/>
  <c r="B66" i="4"/>
  <c r="A67" i="4"/>
  <c r="B67" i="4"/>
  <c r="B65" i="4"/>
  <c r="A65" i="4"/>
  <c r="A63" i="4"/>
  <c r="B63" i="4"/>
  <c r="A64" i="4"/>
  <c r="B64" i="4"/>
  <c r="B62" i="4"/>
  <c r="A62" i="4"/>
  <c r="A60" i="4"/>
  <c r="B60" i="4"/>
  <c r="A61" i="4"/>
  <c r="B61" i="4"/>
  <c r="B59" i="4"/>
  <c r="A59" i="4"/>
  <c r="A57" i="4"/>
  <c r="A58" i="4"/>
  <c r="A56" i="4"/>
  <c r="A54" i="4"/>
  <c r="A55" i="4"/>
  <c r="A53" i="4"/>
  <c r="D176" i="7" l="1"/>
  <c r="D187" i="7"/>
  <c r="D188" i="7"/>
  <c r="D217" i="7"/>
  <c r="E213" i="6"/>
  <c r="D199" i="7"/>
  <c r="D219" i="7"/>
  <c r="D193" i="7"/>
  <c r="D194" i="7"/>
  <c r="D211" i="7"/>
  <c r="D195" i="7"/>
  <c r="D200" i="7"/>
  <c r="D177" i="7"/>
  <c r="D181" i="7"/>
  <c r="D159" i="7"/>
  <c r="D201" i="7"/>
  <c r="D221" i="7"/>
  <c r="E206" i="6"/>
  <c r="D183" i="7"/>
  <c r="D212" i="7"/>
  <c r="E183" i="6"/>
  <c r="D197" i="7"/>
  <c r="E210" i="6"/>
  <c r="F210" i="6" s="1"/>
  <c r="D182" i="7"/>
  <c r="E203" i="6"/>
  <c r="F203" i="6" s="1"/>
  <c r="D205" i="7"/>
  <c r="E187" i="6"/>
  <c r="F187" i="6" s="1"/>
  <c r="E180" i="6"/>
  <c r="F180" i="6" s="1"/>
  <c r="D206" i="7"/>
  <c r="E196" i="6"/>
  <c r="F196" i="6" s="1"/>
  <c r="G196" i="6" s="1"/>
  <c r="E212" i="6"/>
  <c r="F212" i="6" s="1"/>
  <c r="D207" i="7"/>
  <c r="D192" i="7"/>
  <c r="D208" i="7"/>
  <c r="E175" i="6"/>
  <c r="D185" i="7"/>
  <c r="D209" i="7"/>
  <c r="E191" i="6"/>
  <c r="E214" i="6"/>
  <c r="E222" i="6"/>
  <c r="D218" i="7"/>
  <c r="E199" i="6"/>
  <c r="E207" i="6"/>
  <c r="F207" i="6" s="1"/>
  <c r="E215" i="6"/>
  <c r="F215" i="6" s="1"/>
  <c r="D186" i="7"/>
  <c r="D210" i="7"/>
  <c r="D214" i="7"/>
  <c r="E219" i="6"/>
  <c r="D162" i="7"/>
  <c r="D190" i="7"/>
  <c r="D215" i="7"/>
  <c r="D175" i="7"/>
  <c r="D191" i="7"/>
  <c r="D216" i="7"/>
  <c r="E221" i="6"/>
  <c r="F221" i="6" s="1"/>
  <c r="D184" i="7"/>
  <c r="E184" i="6"/>
  <c r="F184" i="6" s="1"/>
  <c r="E192" i="6"/>
  <c r="F192" i="6" s="1"/>
  <c r="D158" i="7"/>
  <c r="D178" i="7"/>
  <c r="E177" i="6"/>
  <c r="F177" i="6" s="1"/>
  <c r="D202" i="7"/>
  <c r="D220" i="7"/>
  <c r="E201" i="6"/>
  <c r="F201" i="6" s="1"/>
  <c r="D38" i="7"/>
  <c r="D180" i="7"/>
  <c r="D203" i="7"/>
  <c r="E217" i="6"/>
  <c r="D204" i="7"/>
  <c r="D198" i="7"/>
  <c r="E204" i="6"/>
  <c r="F204" i="6" s="1"/>
  <c r="E189" i="6"/>
  <c r="F189" i="6" s="1"/>
  <c r="E205" i="6"/>
  <c r="F205" i="6" s="1"/>
  <c r="E209" i="6"/>
  <c r="F209" i="6" s="1"/>
  <c r="E179" i="6"/>
  <c r="E194" i="6"/>
  <c r="E218" i="6"/>
  <c r="D160" i="7"/>
  <c r="D196" i="7"/>
  <c r="D213" i="7"/>
  <c r="D222" i="7"/>
  <c r="F220" i="6"/>
  <c r="F197" i="6"/>
  <c r="F198" i="6"/>
  <c r="F206" i="6"/>
  <c r="F185" i="6"/>
  <c r="F193" i="6"/>
  <c r="F217" i="6"/>
  <c r="F179" i="6"/>
  <c r="F194" i="6"/>
  <c r="F218" i="6"/>
  <c r="F195" i="6"/>
  <c r="F190" i="6"/>
  <c r="D35" i="7"/>
  <c r="F188" i="6"/>
  <c r="F211" i="6"/>
  <c r="F219" i="6"/>
  <c r="D34" i="7"/>
  <c r="F213" i="6"/>
  <c r="F175" i="6"/>
  <c r="F183" i="6"/>
  <c r="F176" i="6"/>
  <c r="F191" i="6"/>
  <c r="F214" i="6"/>
  <c r="F222" i="6"/>
  <c r="G220" i="6" s="1"/>
  <c r="F199" i="6"/>
  <c r="F200" i="6"/>
  <c r="F208" i="6"/>
  <c r="G208" i="6" s="1"/>
  <c r="F216" i="6"/>
  <c r="D161" i="7"/>
  <c r="D157" i="7"/>
  <c r="D36" i="7"/>
  <c r="D32" i="7"/>
  <c r="D42" i="7"/>
  <c r="D40" i="7"/>
  <c r="D37" i="7"/>
  <c r="D31" i="7"/>
  <c r="E202" i="6"/>
  <c r="F202" i="6" s="1"/>
  <c r="G202" i="6" s="1"/>
  <c r="E181" i="6"/>
  <c r="F181" i="6" s="1"/>
  <c r="E182" i="6"/>
  <c r="F182" i="6" s="1"/>
  <c r="E186" i="6"/>
  <c r="F186" i="6" s="1"/>
  <c r="E178" i="6"/>
  <c r="F178" i="6" s="1"/>
  <c r="G178" i="6" s="1"/>
  <c r="F160" i="6"/>
  <c r="E157" i="6"/>
  <c r="F157" i="6" s="1"/>
  <c r="F158" i="6"/>
  <c r="E159" i="6"/>
  <c r="F159" i="6" s="1"/>
  <c r="E161" i="6"/>
  <c r="F161" i="6" s="1"/>
  <c r="F52" i="6"/>
  <c r="E162" i="6"/>
  <c r="F162" i="6" s="1"/>
  <c r="E110" i="6"/>
  <c r="F110" i="6" s="1"/>
  <c r="F112" i="6"/>
  <c r="E113" i="6"/>
  <c r="F113" i="6" s="1"/>
  <c r="F51" i="6"/>
  <c r="E111" i="6"/>
  <c r="F111" i="6" s="1"/>
  <c r="E109" i="6"/>
  <c r="F109" i="6" s="1"/>
  <c r="E114" i="6"/>
  <c r="F114" i="6" s="1"/>
  <c r="F49" i="6"/>
  <c r="E54" i="6"/>
  <c r="F54" i="6" s="1"/>
  <c r="E50" i="6"/>
  <c r="F50" i="6" s="1"/>
  <c r="E53" i="6"/>
  <c r="F53" i="6" s="1"/>
  <c r="E43" i="6"/>
  <c r="F43" i="6" s="1"/>
  <c r="E45" i="6"/>
  <c r="F45" i="6" s="1"/>
  <c r="E47" i="6"/>
  <c r="F47" i="6" s="1"/>
  <c r="E48" i="6"/>
  <c r="F48" i="6" s="1"/>
  <c r="E44" i="6"/>
  <c r="F44" i="6" s="1"/>
  <c r="E46" i="6"/>
  <c r="F46" i="6" s="1"/>
  <c r="G205" i="6" l="1"/>
  <c r="G112" i="6"/>
  <c r="G184" i="6"/>
  <c r="G214" i="6"/>
  <c r="G190" i="6"/>
  <c r="G193" i="6"/>
  <c r="G187" i="6"/>
  <c r="G217" i="6"/>
  <c r="G175" i="6"/>
  <c r="G211" i="6"/>
  <c r="G199" i="6"/>
  <c r="G181" i="6"/>
  <c r="G157" i="6"/>
  <c r="G160" i="6"/>
  <c r="G109" i="6"/>
  <c r="M9" i="1" l="1"/>
  <c r="H9" i="1" s="1"/>
  <c r="B5" i="4" s="1"/>
  <c r="M10" i="1"/>
  <c r="H10" i="1" s="1"/>
  <c r="B6" i="4" s="1"/>
  <c r="M11" i="1"/>
  <c r="H11" i="1" s="1"/>
  <c r="M12" i="1"/>
  <c r="H12" i="1" s="1"/>
  <c r="M13" i="1"/>
  <c r="H13" i="1" s="1"/>
  <c r="M14" i="1"/>
  <c r="H14" i="1" s="1"/>
  <c r="M15" i="1"/>
  <c r="H15" i="1" s="1"/>
  <c r="M16" i="1"/>
  <c r="H16" i="1" s="1"/>
  <c r="M17" i="1"/>
  <c r="H17" i="1" s="1"/>
  <c r="M18" i="1"/>
  <c r="H18" i="1" s="1"/>
  <c r="M19" i="1"/>
  <c r="H19" i="1" s="1"/>
  <c r="M20" i="1"/>
  <c r="H20" i="1" s="1"/>
  <c r="M21" i="1"/>
  <c r="H21" i="1" s="1"/>
  <c r="M22" i="1"/>
  <c r="H22" i="1" s="1"/>
  <c r="M23" i="1"/>
  <c r="H23" i="1" s="1"/>
  <c r="B7" i="4" s="1"/>
  <c r="M24" i="1"/>
  <c r="H24" i="1" s="1"/>
  <c r="B8" i="4" s="1"/>
  <c r="M25" i="1"/>
  <c r="H25" i="1" s="1"/>
  <c r="B9" i="4" s="1"/>
  <c r="M26" i="1"/>
  <c r="H26" i="1" s="1"/>
  <c r="M27" i="1"/>
  <c r="H27" i="1" s="1"/>
  <c r="M28" i="1"/>
  <c r="H28" i="1" s="1"/>
  <c r="M29" i="1"/>
  <c r="H29" i="1" s="1"/>
  <c r="M30" i="1"/>
  <c r="H30" i="1" s="1"/>
  <c r="M31" i="1"/>
  <c r="H31" i="1" s="1"/>
  <c r="M32" i="1"/>
  <c r="H32" i="1" s="1"/>
  <c r="M33" i="1"/>
  <c r="H33" i="1" s="1"/>
  <c r="M34" i="1"/>
  <c r="H34" i="1" s="1"/>
  <c r="M35" i="1"/>
  <c r="H35" i="1" s="1"/>
  <c r="M36" i="1"/>
  <c r="H36" i="1" s="1"/>
  <c r="M37" i="1"/>
  <c r="H37" i="1" s="1"/>
  <c r="M38" i="1"/>
  <c r="H38" i="1" s="1"/>
  <c r="B10" i="4" s="1"/>
  <c r="M39" i="1"/>
  <c r="H39" i="1" s="1"/>
  <c r="B11" i="4" s="1"/>
  <c r="M40" i="1"/>
  <c r="H40" i="1" s="1"/>
  <c r="B12" i="4" s="1"/>
  <c r="M41" i="1"/>
  <c r="H41" i="1" s="1"/>
  <c r="M42" i="1"/>
  <c r="H42" i="1" s="1"/>
  <c r="M43" i="1"/>
  <c r="H43" i="1" s="1"/>
  <c r="B90" i="4"/>
  <c r="B91" i="4"/>
  <c r="B92" i="4"/>
  <c r="B93" i="4"/>
  <c r="B94" i="4"/>
  <c r="B95" i="4"/>
  <c r="B96" i="4"/>
  <c r="B97" i="4"/>
  <c r="B98" i="4"/>
  <c r="B164" i="7"/>
  <c r="C164" i="7"/>
  <c r="B165" i="7"/>
  <c r="C165" i="7"/>
  <c r="D165" i="7" s="1"/>
  <c r="B166" i="7"/>
  <c r="C166" i="7"/>
  <c r="D166" i="7" s="1"/>
  <c r="B167" i="7"/>
  <c r="C167" i="7"/>
  <c r="D167" i="7" s="1"/>
  <c r="B168" i="7"/>
  <c r="C168" i="7"/>
  <c r="B169" i="7"/>
  <c r="C169" i="7"/>
  <c r="D169" i="7" s="1"/>
  <c r="B170" i="7"/>
  <c r="C170" i="7"/>
  <c r="B171" i="7"/>
  <c r="C171" i="7"/>
  <c r="D171" i="7" s="1"/>
  <c r="B172" i="7"/>
  <c r="C172" i="7"/>
  <c r="B173" i="7"/>
  <c r="C173" i="7"/>
  <c r="D173" i="7" s="1"/>
  <c r="B174" i="7"/>
  <c r="C174" i="7"/>
  <c r="C163" i="7"/>
  <c r="B163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D50" i="7"/>
  <c r="D52" i="7"/>
  <c r="D48" i="7"/>
  <c r="D46" i="7"/>
  <c r="D174" i="6"/>
  <c r="B174" i="6"/>
  <c r="C174" i="6" s="1"/>
  <c r="D173" i="6"/>
  <c r="B173" i="6"/>
  <c r="C173" i="6" s="1"/>
  <c r="D172" i="6"/>
  <c r="B172" i="6"/>
  <c r="C172" i="6" s="1"/>
  <c r="A172" i="6"/>
  <c r="A172" i="7" s="1"/>
  <c r="D171" i="6"/>
  <c r="B171" i="6"/>
  <c r="C171" i="6" s="1"/>
  <c r="D170" i="6"/>
  <c r="B170" i="6"/>
  <c r="C170" i="6" s="1"/>
  <c r="D169" i="6"/>
  <c r="B169" i="6"/>
  <c r="C169" i="6" s="1"/>
  <c r="A169" i="6"/>
  <c r="A169" i="7" s="1"/>
  <c r="D168" i="6"/>
  <c r="B168" i="6"/>
  <c r="C168" i="6" s="1"/>
  <c r="D167" i="6"/>
  <c r="B167" i="6"/>
  <c r="C167" i="6" s="1"/>
  <c r="D166" i="6"/>
  <c r="B166" i="6"/>
  <c r="C166" i="6" s="1"/>
  <c r="A166" i="6"/>
  <c r="A166" i="7" s="1"/>
  <c r="D165" i="6"/>
  <c r="B165" i="6"/>
  <c r="C165" i="6" s="1"/>
  <c r="D164" i="6"/>
  <c r="B164" i="6"/>
  <c r="C164" i="6" s="1"/>
  <c r="D163" i="6"/>
  <c r="B163" i="6"/>
  <c r="C163" i="6" s="1"/>
  <c r="A163" i="6"/>
  <c r="A163" i="7" s="1"/>
  <c r="D156" i="6"/>
  <c r="B156" i="6"/>
  <c r="C156" i="6" s="1"/>
  <c r="D155" i="6"/>
  <c r="B155" i="6"/>
  <c r="C155" i="6" s="1"/>
  <c r="D154" i="6"/>
  <c r="B154" i="6"/>
  <c r="C154" i="6" s="1"/>
  <c r="A154" i="6"/>
  <c r="A154" i="7" s="1"/>
  <c r="D153" i="6"/>
  <c r="B153" i="6"/>
  <c r="C153" i="6" s="1"/>
  <c r="D152" i="6"/>
  <c r="B152" i="6"/>
  <c r="C152" i="6" s="1"/>
  <c r="D151" i="6"/>
  <c r="B151" i="6"/>
  <c r="C151" i="6" s="1"/>
  <c r="A151" i="6"/>
  <c r="A151" i="7" s="1"/>
  <c r="D150" i="6"/>
  <c r="B150" i="6"/>
  <c r="C150" i="6" s="1"/>
  <c r="D149" i="6"/>
  <c r="B149" i="6"/>
  <c r="C149" i="6" s="1"/>
  <c r="D148" i="6"/>
  <c r="B148" i="6"/>
  <c r="C148" i="6" s="1"/>
  <c r="A148" i="6"/>
  <c r="A148" i="7" s="1"/>
  <c r="D147" i="6"/>
  <c r="B147" i="6"/>
  <c r="C147" i="6" s="1"/>
  <c r="D146" i="6"/>
  <c r="B146" i="6"/>
  <c r="C146" i="6" s="1"/>
  <c r="D145" i="6"/>
  <c r="B145" i="6"/>
  <c r="C145" i="6" s="1"/>
  <c r="A145" i="6"/>
  <c r="A145" i="7" s="1"/>
  <c r="D144" i="6"/>
  <c r="B144" i="6"/>
  <c r="C144" i="6" s="1"/>
  <c r="D143" i="6"/>
  <c r="B143" i="6"/>
  <c r="C143" i="6" s="1"/>
  <c r="D142" i="6"/>
  <c r="B142" i="6"/>
  <c r="C142" i="6" s="1"/>
  <c r="A142" i="6"/>
  <c r="A142" i="7" s="1"/>
  <c r="D141" i="6"/>
  <c r="B141" i="6"/>
  <c r="C141" i="6" s="1"/>
  <c r="D140" i="6"/>
  <c r="B140" i="6"/>
  <c r="C140" i="6" s="1"/>
  <c r="D139" i="6"/>
  <c r="B139" i="6"/>
  <c r="C139" i="6" s="1"/>
  <c r="A139" i="6"/>
  <c r="A139" i="7" s="1"/>
  <c r="D138" i="6"/>
  <c r="B138" i="6"/>
  <c r="C138" i="6" s="1"/>
  <c r="D137" i="6"/>
  <c r="B137" i="6"/>
  <c r="C137" i="6" s="1"/>
  <c r="D136" i="6"/>
  <c r="B136" i="6"/>
  <c r="C136" i="6" s="1"/>
  <c r="A136" i="6"/>
  <c r="A136" i="7" s="1"/>
  <c r="D135" i="6"/>
  <c r="B135" i="6"/>
  <c r="C135" i="6" s="1"/>
  <c r="D134" i="6"/>
  <c r="B134" i="6"/>
  <c r="C134" i="6" s="1"/>
  <c r="D133" i="6"/>
  <c r="B133" i="6"/>
  <c r="C133" i="6" s="1"/>
  <c r="A133" i="6"/>
  <c r="A133" i="7" s="1"/>
  <c r="D132" i="6"/>
  <c r="B132" i="6"/>
  <c r="C132" i="6" s="1"/>
  <c r="D131" i="6"/>
  <c r="B131" i="6"/>
  <c r="C131" i="6" s="1"/>
  <c r="D130" i="6"/>
  <c r="B130" i="6"/>
  <c r="C130" i="6" s="1"/>
  <c r="A130" i="6"/>
  <c r="A130" i="7" s="1"/>
  <c r="D129" i="6"/>
  <c r="B129" i="6"/>
  <c r="C129" i="6" s="1"/>
  <c r="D128" i="6"/>
  <c r="B128" i="6"/>
  <c r="C128" i="6" s="1"/>
  <c r="D127" i="6"/>
  <c r="B127" i="6"/>
  <c r="C127" i="6" s="1"/>
  <c r="A127" i="6"/>
  <c r="A127" i="7" s="1"/>
  <c r="D126" i="6"/>
  <c r="B126" i="6"/>
  <c r="C126" i="6" s="1"/>
  <c r="D125" i="6"/>
  <c r="B125" i="6"/>
  <c r="C125" i="6" s="1"/>
  <c r="D124" i="6"/>
  <c r="B124" i="6"/>
  <c r="C124" i="6" s="1"/>
  <c r="A124" i="6"/>
  <c r="A124" i="7" s="1"/>
  <c r="D123" i="6"/>
  <c r="B123" i="6"/>
  <c r="C123" i="6" s="1"/>
  <c r="D122" i="6"/>
  <c r="B122" i="6"/>
  <c r="C122" i="6" s="1"/>
  <c r="D121" i="6"/>
  <c r="B121" i="6"/>
  <c r="C121" i="6" s="1"/>
  <c r="A121" i="6"/>
  <c r="A121" i="7" s="1"/>
  <c r="D120" i="6"/>
  <c r="B120" i="6"/>
  <c r="C120" i="6" s="1"/>
  <c r="D119" i="6"/>
  <c r="B119" i="6"/>
  <c r="C119" i="6" s="1"/>
  <c r="D118" i="6"/>
  <c r="B118" i="6"/>
  <c r="C118" i="6" s="1"/>
  <c r="A118" i="6"/>
  <c r="A118" i="7" s="1"/>
  <c r="D117" i="6"/>
  <c r="B117" i="6"/>
  <c r="C117" i="6" s="1"/>
  <c r="D116" i="6"/>
  <c r="B116" i="6"/>
  <c r="C116" i="6" s="1"/>
  <c r="D115" i="6"/>
  <c r="B115" i="6"/>
  <c r="C115" i="6" s="1"/>
  <c r="A115" i="6"/>
  <c r="A115" i="7" s="1"/>
  <c r="C32" i="6"/>
  <c r="C33" i="6"/>
  <c r="C34" i="6"/>
  <c r="C35" i="6"/>
  <c r="C38" i="6"/>
  <c r="C39" i="6"/>
  <c r="C40" i="6"/>
  <c r="E40" i="6" s="1"/>
  <c r="C41" i="6"/>
  <c r="C42" i="6"/>
  <c r="C31" i="6"/>
  <c r="A52" i="7"/>
  <c r="A49" i="7"/>
  <c r="A46" i="7"/>
  <c r="A43" i="7"/>
  <c r="C37" i="6"/>
  <c r="E37" i="6" s="1"/>
  <c r="C36" i="6"/>
  <c r="B136" i="4" l="1"/>
  <c r="B56" i="4"/>
  <c r="E171" i="6"/>
  <c r="F171" i="6" s="1"/>
  <c r="B137" i="4"/>
  <c r="B57" i="4"/>
  <c r="B133" i="4"/>
  <c r="B53" i="4"/>
  <c r="B132" i="4"/>
  <c r="B131" i="4"/>
  <c r="B130" i="4"/>
  <c r="B55" i="4"/>
  <c r="B135" i="4"/>
  <c r="B134" i="4"/>
  <c r="B54" i="4"/>
  <c r="B58" i="4"/>
  <c r="B138" i="4"/>
  <c r="E115" i="6"/>
  <c r="F115" i="6" s="1"/>
  <c r="D117" i="7"/>
  <c r="D119" i="7"/>
  <c r="D125" i="7"/>
  <c r="D131" i="7"/>
  <c r="D143" i="7"/>
  <c r="D149" i="7"/>
  <c r="D118" i="7"/>
  <c r="D122" i="7"/>
  <c r="D124" i="7"/>
  <c r="D128" i="7"/>
  <c r="D130" i="7"/>
  <c r="D134" i="7"/>
  <c r="D136" i="7"/>
  <c r="D138" i="7"/>
  <c r="D140" i="7"/>
  <c r="D142" i="7"/>
  <c r="D146" i="7"/>
  <c r="D148" i="7"/>
  <c r="D152" i="7"/>
  <c r="D154" i="7"/>
  <c r="D156" i="7"/>
  <c r="D174" i="7"/>
  <c r="D172" i="7"/>
  <c r="D170" i="7"/>
  <c r="D168" i="7"/>
  <c r="D164" i="7"/>
  <c r="D123" i="7"/>
  <c r="D129" i="7"/>
  <c r="D135" i="7"/>
  <c r="D141" i="7"/>
  <c r="D147" i="7"/>
  <c r="D153" i="7"/>
  <c r="D54" i="7"/>
  <c r="D44" i="7"/>
  <c r="D121" i="7"/>
  <c r="D127" i="7"/>
  <c r="D133" i="7"/>
  <c r="D139" i="7"/>
  <c r="D145" i="7"/>
  <c r="D151" i="7"/>
  <c r="E136" i="6"/>
  <c r="F136" i="6" s="1"/>
  <c r="E145" i="6"/>
  <c r="F145" i="6" s="1"/>
  <c r="E120" i="6"/>
  <c r="F120" i="6" s="1"/>
  <c r="E132" i="6"/>
  <c r="F132" i="6" s="1"/>
  <c r="E142" i="6"/>
  <c r="F142" i="6" s="1"/>
  <c r="E143" i="6"/>
  <c r="F143" i="6" s="1"/>
  <c r="E169" i="6"/>
  <c r="F169" i="6" s="1"/>
  <c r="E124" i="6"/>
  <c r="F124" i="6" s="1"/>
  <c r="E129" i="6"/>
  <c r="F129" i="6" s="1"/>
  <c r="E152" i="6"/>
  <c r="F152" i="6" s="1"/>
  <c r="E122" i="6"/>
  <c r="F122" i="6" s="1"/>
  <c r="E131" i="6"/>
  <c r="F131" i="6" s="1"/>
  <c r="E134" i="6"/>
  <c r="F134" i="6" s="1"/>
  <c r="D115" i="7"/>
  <c r="E153" i="6"/>
  <c r="F153" i="6" s="1"/>
  <c r="E170" i="6"/>
  <c r="F170" i="6" s="1"/>
  <c r="D116" i="7"/>
  <c r="D137" i="7"/>
  <c r="D155" i="7"/>
  <c r="F40" i="6"/>
  <c r="E149" i="6"/>
  <c r="F149" i="6" s="1"/>
  <c r="D53" i="7"/>
  <c r="D51" i="7"/>
  <c r="D49" i="7"/>
  <c r="D47" i="7"/>
  <c r="D45" i="7"/>
  <c r="D120" i="7"/>
  <c r="D126" i="7"/>
  <c r="D132" i="7"/>
  <c r="D144" i="7"/>
  <c r="D150" i="7"/>
  <c r="D163" i="7"/>
  <c r="D43" i="7"/>
  <c r="E125" i="6"/>
  <c r="F125" i="6" s="1"/>
  <c r="F37" i="6"/>
  <c r="E117" i="6"/>
  <c r="F117" i="6" s="1"/>
  <c r="E121" i="6"/>
  <c r="F121" i="6" s="1"/>
  <c r="E127" i="6"/>
  <c r="F127" i="6" s="1"/>
  <c r="E128" i="6"/>
  <c r="F128" i="6" s="1"/>
  <c r="E138" i="6"/>
  <c r="F138" i="6" s="1"/>
  <c r="E139" i="6"/>
  <c r="F139" i="6" s="1"/>
  <c r="E146" i="6"/>
  <c r="F146" i="6" s="1"/>
  <c r="E156" i="6"/>
  <c r="F156" i="6" s="1"/>
  <c r="E116" i="6"/>
  <c r="F116" i="6" s="1"/>
  <c r="E123" i="6"/>
  <c r="F123" i="6" s="1"/>
  <c r="E137" i="6"/>
  <c r="F137" i="6" s="1"/>
  <c r="E140" i="6"/>
  <c r="F140" i="6" s="1"/>
  <c r="E141" i="6"/>
  <c r="F141" i="6" s="1"/>
  <c r="E147" i="6"/>
  <c r="F147" i="6" s="1"/>
  <c r="E150" i="6"/>
  <c r="F150" i="6" s="1"/>
  <c r="E154" i="6"/>
  <c r="F154" i="6" s="1"/>
  <c r="E155" i="6"/>
  <c r="F155" i="6" s="1"/>
  <c r="E167" i="6"/>
  <c r="F167" i="6" s="1"/>
  <c r="E135" i="6"/>
  <c r="F135" i="6" s="1"/>
  <c r="E118" i="6"/>
  <c r="F118" i="6" s="1"/>
  <c r="E119" i="6"/>
  <c r="F119" i="6" s="1"/>
  <c r="E126" i="6"/>
  <c r="F126" i="6" s="1"/>
  <c r="E130" i="6"/>
  <c r="F130" i="6" s="1"/>
  <c r="E133" i="6"/>
  <c r="F133" i="6" s="1"/>
  <c r="E144" i="6"/>
  <c r="F144" i="6" s="1"/>
  <c r="E148" i="6"/>
  <c r="F148" i="6" s="1"/>
  <c r="E151" i="6"/>
  <c r="F151" i="6" s="1"/>
  <c r="E163" i="6"/>
  <c r="F163" i="6" s="1"/>
  <c r="E164" i="6"/>
  <c r="F164" i="6" s="1"/>
  <c r="E168" i="6"/>
  <c r="F168" i="6" s="1"/>
  <c r="E174" i="6"/>
  <c r="F174" i="6" s="1"/>
  <c r="E173" i="6"/>
  <c r="F173" i="6" s="1"/>
  <c r="E172" i="6"/>
  <c r="F172" i="6" s="1"/>
  <c r="E165" i="6"/>
  <c r="F165" i="6" s="1"/>
  <c r="E166" i="6"/>
  <c r="F166" i="6" s="1"/>
  <c r="E33" i="6"/>
  <c r="F33" i="6" s="1"/>
  <c r="E39" i="6"/>
  <c r="F39" i="6" s="1"/>
  <c r="E35" i="6"/>
  <c r="F35" i="6" s="1"/>
  <c r="E32" i="6"/>
  <c r="F32" i="6" s="1"/>
  <c r="E36" i="6"/>
  <c r="F36" i="6" s="1"/>
  <c r="E42" i="6"/>
  <c r="F42" i="6" s="1"/>
  <c r="E38" i="6"/>
  <c r="F38" i="6" s="1"/>
  <c r="E41" i="6"/>
  <c r="F41" i="6" s="1"/>
  <c r="E31" i="6"/>
  <c r="F31" i="6" s="1"/>
  <c r="E34" i="6"/>
  <c r="F34" i="6" s="1"/>
  <c r="G148" i="6" l="1"/>
  <c r="G151" i="6"/>
  <c r="G124" i="6"/>
  <c r="G163" i="6"/>
  <c r="G115" i="6"/>
  <c r="G169" i="6"/>
  <c r="G130" i="6"/>
  <c r="G154" i="6"/>
  <c r="G139" i="6"/>
  <c r="G121" i="6"/>
  <c r="G145" i="6"/>
  <c r="G127" i="6"/>
  <c r="G142" i="6"/>
  <c r="G136" i="6"/>
  <c r="G133" i="6"/>
  <c r="G118" i="6"/>
  <c r="G166" i="6"/>
  <c r="G172" i="6"/>
  <c r="D114" i="7" l="1"/>
  <c r="C108" i="7"/>
  <c r="B108" i="7"/>
  <c r="C107" i="7"/>
  <c r="B107" i="7"/>
  <c r="C106" i="7"/>
  <c r="B106" i="7"/>
  <c r="C105" i="7"/>
  <c r="B105" i="7"/>
  <c r="C104" i="7"/>
  <c r="B104" i="7"/>
  <c r="C103" i="7"/>
  <c r="B103" i="7"/>
  <c r="A112" i="7"/>
  <c r="A109" i="7"/>
  <c r="D108" i="6"/>
  <c r="B108" i="6"/>
  <c r="C108" i="6" s="1"/>
  <c r="D107" i="6"/>
  <c r="B107" i="6"/>
  <c r="C107" i="6" s="1"/>
  <c r="D106" i="6"/>
  <c r="B106" i="6"/>
  <c r="C106" i="6" s="1"/>
  <c r="A106" i="6"/>
  <c r="A106" i="7" s="1"/>
  <c r="D105" i="6"/>
  <c r="B105" i="6"/>
  <c r="C105" i="6" s="1"/>
  <c r="D104" i="6"/>
  <c r="B104" i="6"/>
  <c r="C104" i="6" s="1"/>
  <c r="D103" i="6"/>
  <c r="B103" i="6"/>
  <c r="C103" i="6" s="1"/>
  <c r="A103" i="6"/>
  <c r="A103" i="7" s="1"/>
  <c r="D107" i="7" l="1"/>
  <c r="D108" i="7"/>
  <c r="D113" i="7"/>
  <c r="D104" i="7"/>
  <c r="D110" i="7"/>
  <c r="E105" i="6"/>
  <c r="F105" i="6" s="1"/>
  <c r="E107" i="6"/>
  <c r="F107" i="6" s="1"/>
  <c r="D106" i="7"/>
  <c r="D112" i="7"/>
  <c r="E104" i="6"/>
  <c r="F104" i="6" s="1"/>
  <c r="D103" i="7"/>
  <c r="D105" i="7"/>
  <c r="D109" i="7"/>
  <c r="D111" i="7"/>
  <c r="E103" i="6"/>
  <c r="F103" i="6" s="1"/>
  <c r="E106" i="6"/>
  <c r="F106" i="6" s="1"/>
  <c r="E108" i="6"/>
  <c r="F108" i="6" s="1"/>
  <c r="G106" i="6" l="1"/>
  <c r="G103" i="6"/>
  <c r="C102" i="7" l="1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C55" i="7"/>
  <c r="B55" i="7"/>
  <c r="D102" i="6"/>
  <c r="B102" i="6"/>
  <c r="C102" i="6" s="1"/>
  <c r="D101" i="6"/>
  <c r="B101" i="6"/>
  <c r="C101" i="6" s="1"/>
  <c r="D100" i="6"/>
  <c r="B100" i="6"/>
  <c r="C100" i="6" s="1"/>
  <c r="A100" i="6"/>
  <c r="A100" i="7" s="1"/>
  <c r="D99" i="6"/>
  <c r="B99" i="6"/>
  <c r="C99" i="6" s="1"/>
  <c r="D98" i="6"/>
  <c r="B98" i="6"/>
  <c r="C98" i="6" s="1"/>
  <c r="D97" i="6"/>
  <c r="B97" i="6"/>
  <c r="C97" i="6" s="1"/>
  <c r="A97" i="6"/>
  <c r="A97" i="7" s="1"/>
  <c r="D96" i="6"/>
  <c r="B96" i="6"/>
  <c r="C96" i="6" s="1"/>
  <c r="D95" i="6"/>
  <c r="B95" i="6"/>
  <c r="C95" i="6" s="1"/>
  <c r="D94" i="6"/>
  <c r="B94" i="6"/>
  <c r="C94" i="6" s="1"/>
  <c r="A94" i="6"/>
  <c r="A94" i="7" s="1"/>
  <c r="D93" i="6"/>
  <c r="B93" i="6"/>
  <c r="C93" i="6" s="1"/>
  <c r="D92" i="6"/>
  <c r="B92" i="6"/>
  <c r="C92" i="6" s="1"/>
  <c r="D91" i="6"/>
  <c r="B91" i="6"/>
  <c r="C91" i="6" s="1"/>
  <c r="A91" i="6"/>
  <c r="A91" i="7" s="1"/>
  <c r="D90" i="6"/>
  <c r="B90" i="6"/>
  <c r="C90" i="6" s="1"/>
  <c r="D89" i="6"/>
  <c r="B89" i="6"/>
  <c r="C89" i="6" s="1"/>
  <c r="D88" i="6"/>
  <c r="B88" i="6"/>
  <c r="C88" i="6" s="1"/>
  <c r="E88" i="6" s="1"/>
  <c r="A88" i="6"/>
  <c r="D87" i="6"/>
  <c r="B87" i="6"/>
  <c r="C87" i="6" s="1"/>
  <c r="D86" i="6"/>
  <c r="B86" i="6"/>
  <c r="C86" i="6" s="1"/>
  <c r="D85" i="6"/>
  <c r="B85" i="6"/>
  <c r="C85" i="6" s="1"/>
  <c r="A85" i="6"/>
  <c r="D84" i="6"/>
  <c r="B84" i="6"/>
  <c r="C84" i="6" s="1"/>
  <c r="D83" i="6"/>
  <c r="B83" i="6"/>
  <c r="C83" i="6" s="1"/>
  <c r="E83" i="6" s="1"/>
  <c r="D82" i="6"/>
  <c r="B82" i="6"/>
  <c r="C82" i="6" s="1"/>
  <c r="A82" i="6"/>
  <c r="D81" i="6"/>
  <c r="B81" i="6"/>
  <c r="C81" i="6" s="1"/>
  <c r="D80" i="6"/>
  <c r="B80" i="6"/>
  <c r="C80" i="6" s="1"/>
  <c r="D79" i="6"/>
  <c r="B79" i="6"/>
  <c r="C79" i="6" s="1"/>
  <c r="A79" i="6"/>
  <c r="D78" i="6"/>
  <c r="B78" i="6"/>
  <c r="C78" i="6" s="1"/>
  <c r="D77" i="6"/>
  <c r="B77" i="6"/>
  <c r="C77" i="6" s="1"/>
  <c r="D76" i="6"/>
  <c r="B76" i="6"/>
  <c r="C76" i="6" s="1"/>
  <c r="E76" i="6" s="1"/>
  <c r="A76" i="6"/>
  <c r="D75" i="6"/>
  <c r="B75" i="6"/>
  <c r="C75" i="6" s="1"/>
  <c r="D74" i="6"/>
  <c r="B74" i="6"/>
  <c r="C74" i="6" s="1"/>
  <c r="D73" i="6"/>
  <c r="B73" i="6"/>
  <c r="C73" i="6" s="1"/>
  <c r="A73" i="6"/>
  <c r="D72" i="6"/>
  <c r="B72" i="6"/>
  <c r="C72" i="6" s="1"/>
  <c r="D71" i="6"/>
  <c r="B71" i="6"/>
  <c r="C71" i="6" s="1"/>
  <c r="D70" i="6"/>
  <c r="B70" i="6"/>
  <c r="C70" i="6" s="1"/>
  <c r="A70" i="6"/>
  <c r="D69" i="6"/>
  <c r="B69" i="6"/>
  <c r="C69" i="6" s="1"/>
  <c r="D68" i="6"/>
  <c r="B68" i="6"/>
  <c r="C68" i="6" s="1"/>
  <c r="D67" i="6"/>
  <c r="B67" i="6"/>
  <c r="C67" i="6" s="1"/>
  <c r="A67" i="6"/>
  <c r="D66" i="6"/>
  <c r="B66" i="6"/>
  <c r="C66" i="6" s="1"/>
  <c r="D65" i="6"/>
  <c r="B65" i="6"/>
  <c r="C65" i="6" s="1"/>
  <c r="D64" i="6"/>
  <c r="B64" i="6"/>
  <c r="C64" i="6" s="1"/>
  <c r="A64" i="6"/>
  <c r="D63" i="6"/>
  <c r="B63" i="6"/>
  <c r="C63" i="6" s="1"/>
  <c r="D62" i="6"/>
  <c r="B62" i="6"/>
  <c r="C62" i="6" s="1"/>
  <c r="D61" i="6"/>
  <c r="B61" i="6"/>
  <c r="C61" i="6" s="1"/>
  <c r="A61" i="6"/>
  <c r="D60" i="6"/>
  <c r="B60" i="6"/>
  <c r="C60" i="6" s="1"/>
  <c r="D59" i="6"/>
  <c r="B59" i="6"/>
  <c r="C59" i="6" s="1"/>
  <c r="D58" i="6"/>
  <c r="B58" i="6"/>
  <c r="C58" i="6" s="1"/>
  <c r="A58" i="6"/>
  <c r="D56" i="6"/>
  <c r="D57" i="6"/>
  <c r="D55" i="6"/>
  <c r="B56" i="6"/>
  <c r="B57" i="6"/>
  <c r="B55" i="6"/>
  <c r="A55" i="6"/>
  <c r="E75" i="6" l="1"/>
  <c r="F75" i="6" s="1"/>
  <c r="E72" i="6"/>
  <c r="F72" i="6" s="1"/>
  <c r="E67" i="6"/>
  <c r="F67" i="6" s="1"/>
  <c r="E74" i="6"/>
  <c r="F74" i="6" s="1"/>
  <c r="E86" i="6"/>
  <c r="F86" i="6" s="1"/>
  <c r="D94" i="7"/>
  <c r="D96" i="7"/>
  <c r="D100" i="7"/>
  <c r="D102" i="7"/>
  <c r="E66" i="6"/>
  <c r="F66" i="6" s="1"/>
  <c r="D95" i="7"/>
  <c r="E60" i="6"/>
  <c r="F60" i="6" s="1"/>
  <c r="E68" i="6"/>
  <c r="F68" i="6" s="1"/>
  <c r="F88" i="6"/>
  <c r="E101" i="6"/>
  <c r="F101" i="6" s="1"/>
  <c r="D101" i="7"/>
  <c r="E70" i="6"/>
  <c r="F70" i="6" s="1"/>
  <c r="E81" i="6"/>
  <c r="F81" i="6" s="1"/>
  <c r="E84" i="6"/>
  <c r="F84" i="6" s="1"/>
  <c r="E93" i="6"/>
  <c r="F93" i="6" s="1"/>
  <c r="E96" i="6"/>
  <c r="F96" i="6" s="1"/>
  <c r="E63" i="6"/>
  <c r="F63" i="6" s="1"/>
  <c r="E89" i="6"/>
  <c r="F89" i="6" s="1"/>
  <c r="E58" i="6"/>
  <c r="F58" i="6" s="1"/>
  <c r="E59" i="6"/>
  <c r="F59" i="6" s="1"/>
  <c r="E78" i="6"/>
  <c r="F78" i="6" s="1"/>
  <c r="E82" i="6"/>
  <c r="F82" i="6" s="1"/>
  <c r="E85" i="6"/>
  <c r="F85" i="6" s="1"/>
  <c r="E94" i="6"/>
  <c r="F94" i="6" s="1"/>
  <c r="E97" i="6"/>
  <c r="F97" i="6" s="1"/>
  <c r="D92" i="7"/>
  <c r="D97" i="7"/>
  <c r="D99" i="7"/>
  <c r="F76" i="6"/>
  <c r="E77" i="6"/>
  <c r="F77" i="6" s="1"/>
  <c r="F83" i="6"/>
  <c r="E87" i="6"/>
  <c r="F87" i="6" s="1"/>
  <c r="E95" i="6"/>
  <c r="F95" i="6" s="1"/>
  <c r="E98" i="6"/>
  <c r="F98" i="6" s="1"/>
  <c r="E99" i="6"/>
  <c r="F99" i="6" s="1"/>
  <c r="E102" i="6"/>
  <c r="F102" i="6" s="1"/>
  <c r="E73" i="6"/>
  <c r="F73" i="6" s="1"/>
  <c r="E79" i="6"/>
  <c r="F79" i="6" s="1"/>
  <c r="E80" i="6"/>
  <c r="F80" i="6" s="1"/>
  <c r="E90" i="6"/>
  <c r="F90" i="6" s="1"/>
  <c r="E91" i="6"/>
  <c r="F91" i="6" s="1"/>
  <c r="E92" i="6"/>
  <c r="F92" i="6" s="1"/>
  <c r="D91" i="7"/>
  <c r="D93" i="7"/>
  <c r="D98" i="7"/>
  <c r="E100" i="6"/>
  <c r="F100" i="6" s="1"/>
  <c r="E71" i="6"/>
  <c r="F71" i="6" s="1"/>
  <c r="E65" i="6"/>
  <c r="F65" i="6" s="1"/>
  <c r="E64" i="6"/>
  <c r="F64" i="6" s="1"/>
  <c r="E69" i="6"/>
  <c r="F69" i="6" s="1"/>
  <c r="E62" i="6"/>
  <c r="F62" i="6" s="1"/>
  <c r="E61" i="6"/>
  <c r="F61" i="6" s="1"/>
  <c r="G67" i="6" l="1"/>
  <c r="G73" i="6"/>
  <c r="G91" i="6"/>
  <c r="G58" i="6"/>
  <c r="G82" i="6"/>
  <c r="G94" i="6"/>
  <c r="G88" i="6"/>
  <c r="G97" i="6"/>
  <c r="G76" i="6"/>
  <c r="G70" i="6"/>
  <c r="G79" i="6"/>
  <c r="G100" i="6"/>
  <c r="G85" i="6"/>
  <c r="G61" i="6"/>
  <c r="G64" i="6"/>
  <c r="B124" i="4" l="1"/>
  <c r="B25" i="5"/>
  <c r="B29" i="5"/>
  <c r="B33" i="5"/>
  <c r="B37" i="5"/>
  <c r="B45" i="5"/>
  <c r="B48" i="5"/>
  <c r="D21" i="7"/>
  <c r="D22" i="7"/>
  <c r="D23" i="7"/>
  <c r="D24" i="7"/>
  <c r="D25" i="7"/>
  <c r="D26" i="7"/>
  <c r="D27" i="7"/>
  <c r="D29" i="7"/>
  <c r="D19" i="7"/>
  <c r="C21" i="6"/>
  <c r="E21" i="6" s="1"/>
  <c r="F21" i="6" s="1"/>
  <c r="C22" i="6"/>
  <c r="E22" i="6" s="1"/>
  <c r="F22" i="6" s="1"/>
  <c r="C23" i="6"/>
  <c r="E23" i="6" s="1"/>
  <c r="F23" i="6" s="1"/>
  <c r="C25" i="6"/>
  <c r="E25" i="6" s="1"/>
  <c r="F25" i="6" s="1"/>
  <c r="C26" i="6"/>
  <c r="E26" i="6" s="1"/>
  <c r="F26" i="6" s="1"/>
  <c r="C27" i="6"/>
  <c r="E27" i="6" s="1"/>
  <c r="F27" i="6" s="1"/>
  <c r="C29" i="6"/>
  <c r="E29" i="6" s="1"/>
  <c r="F29" i="6" s="1"/>
  <c r="C30" i="6"/>
  <c r="E30" i="6" s="1"/>
  <c r="F30" i="6" s="1"/>
  <c r="C19" i="6"/>
  <c r="A25" i="7"/>
  <c r="A19" i="7"/>
  <c r="A149" i="4"/>
  <c r="A150" i="4"/>
  <c r="A148" i="4"/>
  <c r="A109" i="4"/>
  <c r="A110" i="4"/>
  <c r="B108" i="4"/>
  <c r="A108" i="4"/>
  <c r="A69" i="4"/>
  <c r="A70" i="4"/>
  <c r="A68" i="4"/>
  <c r="B28" i="4"/>
  <c r="B86" i="4"/>
  <c r="B125" i="4"/>
  <c r="B27" i="5"/>
  <c r="B31" i="5"/>
  <c r="B32" i="5"/>
  <c r="B35" i="5"/>
  <c r="B39" i="5"/>
  <c r="B44" i="5"/>
  <c r="B47" i="5"/>
  <c r="B19" i="5"/>
  <c r="A158" i="4"/>
  <c r="B158" i="4"/>
  <c r="A159" i="4"/>
  <c r="B159" i="4"/>
  <c r="B157" i="4"/>
  <c r="A157" i="4"/>
  <c r="A155" i="4"/>
  <c r="B155" i="4"/>
  <c r="A156" i="4"/>
  <c r="B156" i="4"/>
  <c r="B154" i="4"/>
  <c r="A154" i="4"/>
  <c r="A152" i="4"/>
  <c r="B152" i="4"/>
  <c r="A153" i="4"/>
  <c r="B153" i="4"/>
  <c r="B151" i="4"/>
  <c r="A151" i="4"/>
  <c r="A118" i="4"/>
  <c r="B118" i="4"/>
  <c r="A119" i="4"/>
  <c r="B119" i="4"/>
  <c r="B117" i="4"/>
  <c r="A117" i="4"/>
  <c r="A115" i="4"/>
  <c r="B115" i="4"/>
  <c r="A116" i="4"/>
  <c r="B116" i="4"/>
  <c r="B114" i="4"/>
  <c r="A114" i="4"/>
  <c r="A112" i="4"/>
  <c r="B112" i="4"/>
  <c r="A113" i="4"/>
  <c r="B113" i="4"/>
  <c r="B111" i="4"/>
  <c r="A111" i="4"/>
  <c r="A78" i="4"/>
  <c r="B78" i="4"/>
  <c r="A79" i="4"/>
  <c r="B79" i="4"/>
  <c r="B77" i="4"/>
  <c r="A77" i="4"/>
  <c r="A75" i="4"/>
  <c r="B75" i="4"/>
  <c r="A76" i="4"/>
  <c r="B76" i="4"/>
  <c r="B74" i="4"/>
  <c r="A74" i="4"/>
  <c r="A72" i="4"/>
  <c r="B72" i="4"/>
  <c r="A73" i="4"/>
  <c r="B73" i="4"/>
  <c r="B71" i="4"/>
  <c r="A71" i="4"/>
  <c r="B38" i="4"/>
  <c r="B39" i="4"/>
  <c r="B37" i="4"/>
  <c r="B35" i="4"/>
  <c r="B36" i="4"/>
  <c r="B34" i="4"/>
  <c r="B32" i="4"/>
  <c r="B33" i="4"/>
  <c r="B31" i="4"/>
  <c r="B110" i="4"/>
  <c r="B149" i="4"/>
  <c r="D57" i="7"/>
  <c r="D59" i="7"/>
  <c r="D65" i="7"/>
  <c r="D77" i="7"/>
  <c r="D81" i="7"/>
  <c r="D87" i="7"/>
  <c r="D89" i="7"/>
  <c r="A88" i="7"/>
  <c r="C55" i="6"/>
  <c r="C56" i="6"/>
  <c r="C57" i="6"/>
  <c r="A85" i="7"/>
  <c r="A82" i="7"/>
  <c r="A79" i="7"/>
  <c r="A76" i="7"/>
  <c r="A73" i="7"/>
  <c r="A70" i="7"/>
  <c r="A67" i="7"/>
  <c r="A64" i="7"/>
  <c r="A61" i="7"/>
  <c r="A58" i="7"/>
  <c r="A55" i="7"/>
  <c r="A1" i="7"/>
  <c r="B38" i="5"/>
  <c r="B41" i="5"/>
  <c r="B42" i="5"/>
  <c r="B43" i="5"/>
  <c r="B46" i="5"/>
  <c r="B13" i="5"/>
  <c r="E13" i="5"/>
  <c r="F13" i="5" s="1"/>
  <c r="E14" i="5"/>
  <c r="F14" i="5" s="1"/>
  <c r="E15" i="5"/>
  <c r="F15" i="5" s="1"/>
  <c r="E19" i="5"/>
  <c r="E20" i="5"/>
  <c r="F20" i="5" s="1"/>
  <c r="E21" i="5"/>
  <c r="F21" i="5" s="1"/>
  <c r="H3" i="5"/>
  <c r="H4" i="5"/>
  <c r="G3" i="5"/>
  <c r="G4" i="5"/>
  <c r="O16" i="5"/>
  <c r="O19" i="5"/>
  <c r="O22" i="5"/>
  <c r="O25" i="5"/>
  <c r="O28" i="5"/>
  <c r="O31" i="5"/>
  <c r="O34" i="5"/>
  <c r="O37" i="5"/>
  <c r="O40" i="5"/>
  <c r="O43" i="5"/>
  <c r="O46" i="5"/>
  <c r="O13" i="5"/>
  <c r="E46" i="5"/>
  <c r="E47" i="5"/>
  <c r="E48" i="5"/>
  <c r="E43" i="5"/>
  <c r="E44" i="5"/>
  <c r="E45" i="5"/>
  <c r="E40" i="5"/>
  <c r="E41" i="5"/>
  <c r="E42" i="5"/>
  <c r="E37" i="5"/>
  <c r="E38" i="5"/>
  <c r="E39" i="5"/>
  <c r="E34" i="5"/>
  <c r="E35" i="5"/>
  <c r="E36" i="5"/>
  <c r="E31" i="5"/>
  <c r="E32" i="5"/>
  <c r="E33" i="5"/>
  <c r="E28" i="5"/>
  <c r="E29" i="5"/>
  <c r="E30" i="5"/>
  <c r="E25" i="5"/>
  <c r="E26" i="5"/>
  <c r="E27" i="5"/>
  <c r="G2" i="5"/>
  <c r="E16" i="5"/>
  <c r="F16" i="5" s="1"/>
  <c r="E17" i="5"/>
  <c r="F17" i="5" s="1"/>
  <c r="E18" i="5"/>
  <c r="F18" i="5" s="1"/>
  <c r="E22" i="5"/>
  <c r="F22" i="5" s="1"/>
  <c r="E23" i="5"/>
  <c r="F23" i="5" s="1"/>
  <c r="E24" i="5"/>
  <c r="F24" i="5" s="1"/>
  <c r="H2" i="5"/>
  <c r="A16" i="5"/>
  <c r="A19" i="5"/>
  <c r="A22" i="5"/>
  <c r="A25" i="5"/>
  <c r="A28" i="5"/>
  <c r="A31" i="5"/>
  <c r="A34" i="5"/>
  <c r="A37" i="5"/>
  <c r="A40" i="5"/>
  <c r="A43" i="5"/>
  <c r="A46" i="5"/>
  <c r="A13" i="5"/>
  <c r="C8" i="7"/>
  <c r="B8" i="7"/>
  <c r="C9" i="7"/>
  <c r="B9" i="7"/>
  <c r="C10" i="7"/>
  <c r="B10" i="7"/>
  <c r="C11" i="7"/>
  <c r="B11" i="7"/>
  <c r="C12" i="7"/>
  <c r="B12" i="7"/>
  <c r="C13" i="7"/>
  <c r="B13" i="7"/>
  <c r="C14" i="7"/>
  <c r="B14" i="7"/>
  <c r="C15" i="7"/>
  <c r="B15" i="7"/>
  <c r="C16" i="7"/>
  <c r="B16" i="7"/>
  <c r="C17" i="7"/>
  <c r="B17" i="7"/>
  <c r="C18" i="7"/>
  <c r="B18" i="7"/>
  <c r="D28" i="7"/>
  <c r="D30" i="7"/>
  <c r="C7" i="7"/>
  <c r="B7" i="7"/>
  <c r="A10" i="6"/>
  <c r="A10" i="7" s="1"/>
  <c r="A13" i="6"/>
  <c r="A13" i="7" s="1"/>
  <c r="A16" i="6"/>
  <c r="A16" i="7" s="1"/>
  <c r="A22" i="7"/>
  <c r="A28" i="7"/>
  <c r="A7" i="6"/>
  <c r="A7" i="7" s="1"/>
  <c r="D8" i="6"/>
  <c r="B8" i="6"/>
  <c r="C8" i="6" s="1"/>
  <c r="D9" i="6"/>
  <c r="B9" i="6"/>
  <c r="C9" i="6" s="1"/>
  <c r="D10" i="6"/>
  <c r="B10" i="6"/>
  <c r="C10" i="6" s="1"/>
  <c r="D11" i="6"/>
  <c r="B11" i="6"/>
  <c r="C11" i="6" s="1"/>
  <c r="D12" i="6"/>
  <c r="B12" i="6"/>
  <c r="C12" i="6" s="1"/>
  <c r="D13" i="6"/>
  <c r="B13" i="6"/>
  <c r="C13" i="6" s="1"/>
  <c r="D14" i="6"/>
  <c r="B14" i="6"/>
  <c r="C14" i="6" s="1"/>
  <c r="D15" i="6"/>
  <c r="B15" i="6"/>
  <c r="C15" i="6" s="1"/>
  <c r="D16" i="6"/>
  <c r="B16" i="6"/>
  <c r="C16" i="6" s="1"/>
  <c r="D17" i="6"/>
  <c r="B17" i="6"/>
  <c r="C17" i="6" s="1"/>
  <c r="D18" i="6"/>
  <c r="B18" i="6"/>
  <c r="C18" i="6" s="1"/>
  <c r="C20" i="6"/>
  <c r="E20" i="6" s="1"/>
  <c r="F20" i="6" s="1"/>
  <c r="C24" i="6"/>
  <c r="E24" i="6" s="1"/>
  <c r="F24" i="6" s="1"/>
  <c r="C28" i="6"/>
  <c r="E28" i="6" s="1"/>
  <c r="F28" i="6" s="1"/>
  <c r="D7" i="6"/>
  <c r="B7" i="6"/>
  <c r="C7" i="6" s="1"/>
  <c r="A128" i="4"/>
  <c r="A129" i="4"/>
  <c r="A127" i="4"/>
  <c r="A125" i="4"/>
  <c r="A126" i="4"/>
  <c r="A124" i="4"/>
  <c r="A88" i="4"/>
  <c r="A89" i="4"/>
  <c r="A87" i="4"/>
  <c r="A85" i="4"/>
  <c r="A86" i="4"/>
  <c r="A84" i="4"/>
  <c r="B150" i="4"/>
  <c r="B70" i="4"/>
  <c r="B109" i="4"/>
  <c r="B29" i="4"/>
  <c r="B68" i="4"/>
  <c r="B148" i="4"/>
  <c r="B30" i="4"/>
  <c r="B69" i="4"/>
  <c r="A2" i="7"/>
  <c r="D74" i="7"/>
  <c r="B127" i="4"/>
  <c r="B30" i="5"/>
  <c r="B126" i="4"/>
  <c r="B26" i="5"/>
  <c r="B34" i="5"/>
  <c r="B36" i="5"/>
  <c r="B89" i="4"/>
  <c r="D72" i="7"/>
  <c r="E205" i="7" l="1"/>
  <c r="E176" i="7"/>
  <c r="E214" i="7"/>
  <c r="E184" i="7"/>
  <c r="E188" i="7"/>
  <c r="E192" i="7"/>
  <c r="E200" i="7"/>
  <c r="E194" i="7"/>
  <c r="E208" i="7"/>
  <c r="E217" i="7"/>
  <c r="E202" i="7"/>
  <c r="E196" i="7"/>
  <c r="E209" i="7"/>
  <c r="E220" i="7"/>
  <c r="E213" i="7"/>
  <c r="E178" i="7"/>
  <c r="E218" i="7"/>
  <c r="E203" i="7"/>
  <c r="E179" i="7"/>
  <c r="E221" i="7"/>
  <c r="E204" i="7"/>
  <c r="E195" i="7"/>
  <c r="E187" i="7"/>
  <c r="E185" i="7"/>
  <c r="E222" i="7"/>
  <c r="E211" i="7"/>
  <c r="E181" i="7"/>
  <c r="E197" i="7"/>
  <c r="E177" i="7"/>
  <c r="E193" i="7"/>
  <c r="E189" i="7"/>
  <c r="E182" i="7"/>
  <c r="E190" i="7"/>
  <c r="E206" i="7"/>
  <c r="E198" i="7"/>
  <c r="E215" i="7"/>
  <c r="E216" i="7"/>
  <c r="E186" i="7"/>
  <c r="E199" i="7"/>
  <c r="E201" i="7"/>
  <c r="E210" i="7"/>
  <c r="E219" i="7"/>
  <c r="E180" i="7"/>
  <c r="E175" i="7"/>
  <c r="E212" i="7"/>
  <c r="E183" i="7"/>
  <c r="E191" i="7"/>
  <c r="E207" i="7"/>
  <c r="E158" i="7"/>
  <c r="E160" i="7"/>
  <c r="E159" i="7"/>
  <c r="E162" i="7"/>
  <c r="E161" i="7"/>
  <c r="E157" i="7"/>
  <c r="E36" i="7"/>
  <c r="E33" i="7"/>
  <c r="E38" i="7"/>
  <c r="E40" i="7"/>
  <c r="E34" i="7"/>
  <c r="E32" i="7"/>
  <c r="E41" i="7"/>
  <c r="E39" i="7"/>
  <c r="E42" i="7"/>
  <c r="E35" i="7"/>
  <c r="E37" i="7"/>
  <c r="E31" i="7"/>
  <c r="E123" i="7"/>
  <c r="E147" i="7"/>
  <c r="E122" i="7"/>
  <c r="E146" i="7"/>
  <c r="E46" i="7"/>
  <c r="E130" i="7"/>
  <c r="E148" i="7"/>
  <c r="E170" i="7"/>
  <c r="E165" i="7"/>
  <c r="E119" i="7"/>
  <c r="E149" i="7"/>
  <c r="E145" i="7"/>
  <c r="E174" i="7"/>
  <c r="E167" i="7"/>
  <c r="E143" i="7"/>
  <c r="E129" i="7"/>
  <c r="E153" i="7"/>
  <c r="E128" i="7"/>
  <c r="E152" i="7"/>
  <c r="E168" i="7"/>
  <c r="E117" i="7"/>
  <c r="E136" i="7"/>
  <c r="E154" i="7"/>
  <c r="E173" i="7"/>
  <c r="E48" i="7"/>
  <c r="E125" i="7"/>
  <c r="E121" i="7"/>
  <c r="E133" i="7"/>
  <c r="E166" i="7"/>
  <c r="E127" i="7"/>
  <c r="E135" i="7"/>
  <c r="E54" i="7"/>
  <c r="E134" i="7"/>
  <c r="E172" i="7"/>
  <c r="E164" i="7"/>
  <c r="E118" i="7"/>
  <c r="E138" i="7"/>
  <c r="E156" i="7"/>
  <c r="E171" i="7"/>
  <c r="E52" i="7"/>
  <c r="E131" i="7"/>
  <c r="E50" i="7"/>
  <c r="E139" i="7"/>
  <c r="E151" i="7"/>
  <c r="F151" i="7" s="1"/>
  <c r="E141" i="7"/>
  <c r="E44" i="7"/>
  <c r="E140" i="7"/>
  <c r="E124" i="7"/>
  <c r="E142" i="7"/>
  <c r="E169" i="7"/>
  <c r="E45" i="7"/>
  <c r="E144" i="7"/>
  <c r="E150" i="7"/>
  <c r="E43" i="7"/>
  <c r="E155" i="7"/>
  <c r="E132" i="7"/>
  <c r="E163" i="7"/>
  <c r="E137" i="7"/>
  <c r="E126" i="7"/>
  <c r="E49" i="7"/>
  <c r="E120" i="7"/>
  <c r="E116" i="7"/>
  <c r="E115" i="7"/>
  <c r="E47" i="7"/>
  <c r="E53" i="7"/>
  <c r="E51" i="7"/>
  <c r="E112" i="7"/>
  <c r="E113" i="7"/>
  <c r="E108" i="7"/>
  <c r="E106" i="7"/>
  <c r="E104" i="7"/>
  <c r="E114" i="7"/>
  <c r="E107" i="7"/>
  <c r="E110" i="7"/>
  <c r="E109" i="7"/>
  <c r="E105" i="7"/>
  <c r="E111" i="7"/>
  <c r="E103" i="7"/>
  <c r="D17" i="7"/>
  <c r="E17" i="7" s="1"/>
  <c r="D15" i="7"/>
  <c r="E15" i="7" s="1"/>
  <c r="D13" i="7"/>
  <c r="E13" i="7" s="1"/>
  <c r="E102" i="7"/>
  <c r="E96" i="7"/>
  <c r="E100" i="7"/>
  <c r="E101" i="7"/>
  <c r="E94" i="7"/>
  <c r="E95" i="7"/>
  <c r="E92" i="7"/>
  <c r="E99" i="7"/>
  <c r="E97" i="7"/>
  <c r="E93" i="7"/>
  <c r="E91" i="7"/>
  <c r="E98" i="7"/>
  <c r="E16" i="6"/>
  <c r="F16" i="6" s="1"/>
  <c r="D84" i="7"/>
  <c r="E84" i="7" s="1"/>
  <c r="E89" i="7"/>
  <c r="E72" i="7"/>
  <c r="E74" i="7"/>
  <c r="E55" i="6"/>
  <c r="F55" i="6" s="1"/>
  <c r="E56" i="6"/>
  <c r="F56" i="6" s="1"/>
  <c r="D86" i="7"/>
  <c r="E86" i="7" s="1"/>
  <c r="D78" i="7"/>
  <c r="E78" i="7" s="1"/>
  <c r="D76" i="7"/>
  <c r="E76" i="7" s="1"/>
  <c r="E13" i="6"/>
  <c r="F13" i="6" s="1"/>
  <c r="D75" i="7"/>
  <c r="E75" i="7" s="1"/>
  <c r="D73" i="7"/>
  <c r="E73" i="7" s="1"/>
  <c r="D71" i="7"/>
  <c r="E71" i="7" s="1"/>
  <c r="D69" i="7"/>
  <c r="E69" i="7" s="1"/>
  <c r="H39" i="5"/>
  <c r="E28" i="7"/>
  <c r="E10" i="6"/>
  <c r="F10" i="6" s="1"/>
  <c r="E87" i="7"/>
  <c r="E81" i="7"/>
  <c r="E77" i="7"/>
  <c r="D62" i="7"/>
  <c r="E62" i="7" s="1"/>
  <c r="D60" i="7"/>
  <c r="E60" i="7" s="1"/>
  <c r="D56" i="7"/>
  <c r="E56" i="7" s="1"/>
  <c r="E21" i="7"/>
  <c r="E14" i="6"/>
  <c r="F14" i="6" s="1"/>
  <c r="D9" i="7"/>
  <c r="E9" i="7" s="1"/>
  <c r="B17" i="5"/>
  <c r="H17" i="5" s="1"/>
  <c r="B22" i="5"/>
  <c r="H22" i="5" s="1"/>
  <c r="H31" i="5"/>
  <c r="E11" i="6"/>
  <c r="F11" i="6" s="1"/>
  <c r="E9" i="6"/>
  <c r="F9" i="6" s="1"/>
  <c r="E30" i="7"/>
  <c r="E57" i="6"/>
  <c r="F57" i="6" s="1"/>
  <c r="D90" i="7"/>
  <c r="E90" i="7" s="1"/>
  <c r="D88" i="7"/>
  <c r="E88" i="7" s="1"/>
  <c r="D80" i="7"/>
  <c r="E80" i="7" s="1"/>
  <c r="D61" i="7"/>
  <c r="E61" i="7" s="1"/>
  <c r="D55" i="7"/>
  <c r="E55" i="7" s="1"/>
  <c r="E57" i="7"/>
  <c r="H30" i="5"/>
  <c r="E7" i="6"/>
  <c r="F7" i="6" s="1"/>
  <c r="E8" i="6"/>
  <c r="F8" i="6" s="1"/>
  <c r="D18" i="7"/>
  <c r="E18" i="7" s="1"/>
  <c r="D8" i="7"/>
  <c r="E8" i="7" s="1"/>
  <c r="D70" i="7"/>
  <c r="E70" i="7" s="1"/>
  <c r="D58" i="7"/>
  <c r="E58" i="7" s="1"/>
  <c r="E19" i="6"/>
  <c r="F19" i="6" s="1"/>
  <c r="E59" i="7"/>
  <c r="E29" i="7"/>
  <c r="E27" i="7"/>
  <c r="E26" i="7"/>
  <c r="E24" i="7"/>
  <c r="E22" i="7"/>
  <c r="E65" i="7"/>
  <c r="E19" i="7"/>
  <c r="E25" i="7"/>
  <c r="E23" i="7"/>
  <c r="H36" i="5"/>
  <c r="H35" i="5"/>
  <c r="H43" i="5"/>
  <c r="H29" i="5"/>
  <c r="H25" i="5"/>
  <c r="H27" i="5"/>
  <c r="H13" i="5"/>
  <c r="H41" i="5"/>
  <c r="H46" i="5"/>
  <c r="H32" i="5"/>
  <c r="G39" i="5"/>
  <c r="B20" i="5"/>
  <c r="H20" i="5" s="1"/>
  <c r="B88" i="4"/>
  <c r="H26" i="5"/>
  <c r="B40" i="5"/>
  <c r="H40" i="5" s="1"/>
  <c r="B28" i="5"/>
  <c r="G28" i="5" s="1"/>
  <c r="B45" i="4"/>
  <c r="H37" i="5"/>
  <c r="H42" i="5"/>
  <c r="B21" i="5"/>
  <c r="H21" i="5" s="1"/>
  <c r="B87" i="4"/>
  <c r="B128" i="4"/>
  <c r="B46" i="4"/>
  <c r="B84" i="4"/>
  <c r="H33" i="5"/>
  <c r="H48" i="5"/>
  <c r="G48" i="5"/>
  <c r="B16" i="5"/>
  <c r="B18" i="5"/>
  <c r="H18" i="5" s="1"/>
  <c r="H45" i="5"/>
  <c r="H34" i="5"/>
  <c r="H38" i="5"/>
  <c r="B44" i="4"/>
  <c r="B15" i="5"/>
  <c r="H15" i="5" s="1"/>
  <c r="B23" i="5"/>
  <c r="H23" i="5" s="1"/>
  <c r="D20" i="7"/>
  <c r="E20" i="7" s="1"/>
  <c r="D7" i="7"/>
  <c r="E7" i="7" s="1"/>
  <c r="D67" i="7"/>
  <c r="E67" i="7" s="1"/>
  <c r="E18" i="6"/>
  <c r="F18" i="6" s="1"/>
  <c r="E15" i="6"/>
  <c r="F15" i="6" s="1"/>
  <c r="D16" i="7"/>
  <c r="E16" i="7" s="1"/>
  <c r="D14" i="7"/>
  <c r="E14" i="7" s="1"/>
  <c r="D10" i="7"/>
  <c r="E10" i="7" s="1"/>
  <c r="D82" i="7"/>
  <c r="E82" i="7" s="1"/>
  <c r="D68" i="7"/>
  <c r="E68" i="7" s="1"/>
  <c r="D66" i="7"/>
  <c r="E66" i="7" s="1"/>
  <c r="D63" i="7"/>
  <c r="E63" i="7" s="1"/>
  <c r="E12" i="6"/>
  <c r="F12" i="6" s="1"/>
  <c r="D11" i="7"/>
  <c r="E11" i="7" s="1"/>
  <c r="D85" i="7"/>
  <c r="E85" i="7" s="1"/>
  <c r="D83" i="7"/>
  <c r="E83" i="7" s="1"/>
  <c r="D79" i="7"/>
  <c r="E79" i="7" s="1"/>
  <c r="D64" i="7"/>
  <c r="E64" i="7" s="1"/>
  <c r="B14" i="5"/>
  <c r="H14" i="5" s="1"/>
  <c r="B85" i="4"/>
  <c r="F19" i="5"/>
  <c r="C7" i="5" s="1"/>
  <c r="H19" i="5"/>
  <c r="G44" i="5"/>
  <c r="G25" i="5"/>
  <c r="G45" i="5"/>
  <c r="H44" i="5"/>
  <c r="G46" i="5"/>
  <c r="G36" i="5"/>
  <c r="G30" i="5"/>
  <c r="G47" i="5"/>
  <c r="G26" i="5"/>
  <c r="G19" i="5"/>
  <c r="G32" i="5"/>
  <c r="G42" i="5"/>
  <c r="G38" i="5"/>
  <c r="G34" i="5"/>
  <c r="G33" i="5"/>
  <c r="G41" i="5"/>
  <c r="G13" i="5"/>
  <c r="G43" i="5"/>
  <c r="G29" i="5"/>
  <c r="G35" i="5"/>
  <c r="E17" i="6"/>
  <c r="F17" i="6" s="1"/>
  <c r="D12" i="7"/>
  <c r="E12" i="7" s="1"/>
  <c r="G31" i="5"/>
  <c r="G37" i="5"/>
  <c r="G27" i="5"/>
  <c r="H47" i="5"/>
  <c r="F181" i="7" l="1"/>
  <c r="F175" i="7"/>
  <c r="F196" i="7"/>
  <c r="F202" i="7"/>
  <c r="F208" i="7"/>
  <c r="F199" i="7"/>
  <c r="F220" i="7"/>
  <c r="F190" i="7"/>
  <c r="F217" i="7"/>
  <c r="F193" i="7"/>
  <c r="F178" i="7"/>
  <c r="F211" i="7"/>
  <c r="F184" i="7"/>
  <c r="F214" i="7"/>
  <c r="F187" i="7"/>
  <c r="F205" i="7"/>
  <c r="F157" i="7"/>
  <c r="F166" i="7"/>
  <c r="F160" i="7"/>
  <c r="F148" i="7"/>
  <c r="F121" i="7"/>
  <c r="F163" i="7"/>
  <c r="F169" i="7"/>
  <c r="F172" i="7"/>
  <c r="F136" i="7"/>
  <c r="F139" i="7"/>
  <c r="F118" i="7"/>
  <c r="F133" i="7"/>
  <c r="F130" i="7"/>
  <c r="F142" i="7"/>
  <c r="F145" i="7"/>
  <c r="F115" i="7"/>
  <c r="F124" i="7"/>
  <c r="F127" i="7"/>
  <c r="F154" i="7"/>
  <c r="F103" i="7"/>
  <c r="F112" i="7"/>
  <c r="F109" i="7"/>
  <c r="F106" i="7"/>
  <c r="F94" i="7"/>
  <c r="F91" i="7"/>
  <c r="F100" i="7"/>
  <c r="F97" i="7"/>
  <c r="G22" i="5"/>
  <c r="G17" i="5"/>
  <c r="G55" i="6"/>
  <c r="G40" i="5"/>
  <c r="G20" i="5"/>
  <c r="F73" i="7"/>
  <c r="B24" i="5"/>
  <c r="H24" i="5" s="1"/>
  <c r="F70" i="7"/>
  <c r="F85" i="7"/>
  <c r="F76" i="7"/>
  <c r="F55" i="7"/>
  <c r="F79" i="7"/>
  <c r="B129" i="4"/>
  <c r="G14" i="5"/>
  <c r="H28" i="5"/>
  <c r="F58" i="7"/>
  <c r="F88" i="7"/>
  <c r="F64" i="7"/>
  <c r="F61" i="7"/>
  <c r="F67" i="7"/>
  <c r="G15" i="5"/>
  <c r="G18" i="5"/>
  <c r="G21" i="5"/>
  <c r="G23" i="5"/>
  <c r="H16" i="5"/>
  <c r="G16" i="5"/>
  <c r="F82" i="7"/>
  <c r="B9" i="5"/>
  <c r="J19" i="5"/>
  <c r="L19" i="5" s="1"/>
  <c r="I22" i="5" l="1"/>
  <c r="K22" i="5" s="1"/>
  <c r="G24" i="5"/>
  <c r="I24" i="5" s="1"/>
  <c r="K24" i="5" s="1"/>
  <c r="I33" i="5"/>
  <c r="K33" i="5" s="1"/>
  <c r="I19" i="5"/>
  <c r="K19" i="5" s="1"/>
  <c r="I40" i="5"/>
  <c r="K40" i="5" s="1"/>
  <c r="J44" i="5"/>
  <c r="L44" i="5" s="1"/>
  <c r="J14" i="5"/>
  <c r="L14" i="5" s="1"/>
  <c r="I32" i="5"/>
  <c r="K32" i="5" s="1"/>
  <c r="I45" i="5"/>
  <c r="K45" i="5" s="1"/>
  <c r="I47" i="5"/>
  <c r="K47" i="5" s="1"/>
  <c r="I38" i="5"/>
  <c r="K38" i="5" s="1"/>
  <c r="I27" i="5"/>
  <c r="K27" i="5" s="1"/>
  <c r="I36" i="5"/>
  <c r="K36" i="5" s="1"/>
  <c r="I37" i="5"/>
  <c r="K37" i="5" s="1"/>
  <c r="I41" i="5"/>
  <c r="K41" i="5" s="1"/>
  <c r="I25" i="5"/>
  <c r="K25" i="5" s="1"/>
  <c r="I28" i="5"/>
  <c r="K28" i="5" s="1"/>
  <c r="I35" i="5"/>
  <c r="K35" i="5" s="1"/>
  <c r="I42" i="5"/>
  <c r="K42" i="5" s="1"/>
  <c r="I18" i="5"/>
  <c r="K18" i="5" s="1"/>
  <c r="I21" i="5"/>
  <c r="K21" i="5" s="1"/>
  <c r="I15" i="5"/>
  <c r="K15" i="5" s="1"/>
  <c r="I13" i="5"/>
  <c r="K13" i="5" s="1"/>
  <c r="I29" i="5"/>
  <c r="K29" i="5" s="1"/>
  <c r="I46" i="5"/>
  <c r="K46" i="5" s="1"/>
  <c r="I20" i="5"/>
  <c r="K20" i="5" s="1"/>
  <c r="I34" i="5"/>
  <c r="K34" i="5" s="1"/>
  <c r="I43" i="5"/>
  <c r="K43" i="5" s="1"/>
  <c r="I30" i="5"/>
  <c r="K30" i="5" s="1"/>
  <c r="I16" i="5"/>
  <c r="K16" i="5" s="1"/>
  <c r="I23" i="5"/>
  <c r="K23" i="5" s="1"/>
  <c r="I48" i="5"/>
  <c r="K48" i="5" s="1"/>
  <c r="I44" i="5"/>
  <c r="K44" i="5" s="1"/>
  <c r="I26" i="5"/>
  <c r="K26" i="5" s="1"/>
  <c r="I14" i="5"/>
  <c r="K14" i="5" s="1"/>
  <c r="I17" i="5"/>
  <c r="K17" i="5" s="1"/>
  <c r="I39" i="5"/>
  <c r="K39" i="5" s="1"/>
  <c r="I31" i="5"/>
  <c r="K31" i="5" s="1"/>
  <c r="J35" i="5"/>
  <c r="L35" i="5" s="1"/>
  <c r="J28" i="5"/>
  <c r="L28" i="5" s="1"/>
  <c r="J27" i="5"/>
  <c r="L27" i="5" s="1"/>
  <c r="J45" i="5"/>
  <c r="L45" i="5" s="1"/>
  <c r="J17" i="5"/>
  <c r="L17" i="5" s="1"/>
  <c r="J48" i="5"/>
  <c r="L48" i="5" s="1"/>
  <c r="J41" i="5"/>
  <c r="L41" i="5" s="1"/>
  <c r="J42" i="5"/>
  <c r="L42" i="5" s="1"/>
  <c r="J46" i="5"/>
  <c r="L46" i="5" s="1"/>
  <c r="J20" i="5"/>
  <c r="L20" i="5" s="1"/>
  <c r="J39" i="5"/>
  <c r="L39" i="5" s="1"/>
  <c r="J33" i="5"/>
  <c r="L33" i="5" s="1"/>
  <c r="J24" i="5"/>
  <c r="L24" i="5" s="1"/>
  <c r="J31" i="5"/>
  <c r="L31" i="5" s="1"/>
  <c r="J37" i="5"/>
  <c r="L37" i="5" s="1"/>
  <c r="J22" i="5"/>
  <c r="L22" i="5" s="1"/>
  <c r="J26" i="5"/>
  <c r="L26" i="5" s="1"/>
  <c r="J34" i="5"/>
  <c r="L34" i="5" s="1"/>
  <c r="J21" i="5"/>
  <c r="L21" i="5" s="1"/>
  <c r="J15" i="5"/>
  <c r="L15" i="5" s="1"/>
  <c r="J29" i="5"/>
  <c r="L29" i="5" s="1"/>
  <c r="J40" i="5"/>
  <c r="L40" i="5" s="1"/>
  <c r="J43" i="5"/>
  <c r="L43" i="5" s="1"/>
  <c r="J32" i="5"/>
  <c r="L32" i="5" s="1"/>
  <c r="J13" i="5"/>
  <c r="L13" i="5" s="1"/>
  <c r="J30" i="5"/>
  <c r="L30" i="5" s="1"/>
  <c r="J38" i="5"/>
  <c r="L38" i="5" s="1"/>
  <c r="J25" i="5"/>
  <c r="L25" i="5" s="1"/>
  <c r="J18" i="5"/>
  <c r="L18" i="5" s="1"/>
  <c r="J23" i="5"/>
  <c r="L23" i="5" s="1"/>
  <c r="J36" i="5"/>
  <c r="L36" i="5" s="1"/>
  <c r="J16" i="5"/>
  <c r="L16" i="5" s="1"/>
  <c r="J47" i="5"/>
  <c r="L47" i="5" s="1"/>
  <c r="M28" i="5" l="1"/>
  <c r="N25" i="5"/>
  <c r="M40" i="5"/>
  <c r="M43" i="5"/>
  <c r="M31" i="5"/>
  <c r="M25" i="5"/>
  <c r="M34" i="5"/>
  <c r="M46" i="5"/>
  <c r="M37" i="5"/>
  <c r="N40" i="5"/>
  <c r="N43" i="5"/>
  <c r="N37" i="5"/>
  <c r="N46" i="5"/>
  <c r="N34" i="5"/>
  <c r="N31" i="5"/>
  <c r="N28" i="5"/>
</calcChain>
</file>

<file path=xl/sharedStrings.xml><?xml version="1.0" encoding="utf-8"?>
<sst xmlns="http://schemas.openxmlformats.org/spreadsheetml/2006/main" count="268" uniqueCount="100">
  <si>
    <t>Sample</t>
  </si>
  <si>
    <t>Time</t>
  </si>
  <si>
    <t>N28</t>
  </si>
  <si>
    <t>N29</t>
  </si>
  <si>
    <t>N30</t>
  </si>
  <si>
    <t>Ar</t>
  </si>
  <si>
    <t>O2</t>
  </si>
  <si>
    <t>N2/Ar</t>
  </si>
  <si>
    <t>time(min)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</si>
  <si>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</si>
  <si>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</si>
  <si>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</si>
  <si>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</si>
  <si>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</si>
  <si>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</si>
  <si>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</si>
  <si>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</si>
  <si>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</si>
  <si>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</si>
  <si>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</si>
  <si>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</si>
  <si>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</si>
  <si>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</si>
  <si>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</si>
  <si>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</si>
  <si>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</si>
  <si>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</si>
  <si>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</si>
  <si>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</si>
  <si>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</si>
  <si>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</si>
  <si>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</si>
  <si>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</si>
  <si>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</si>
  <si>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O2/Ar</t>
  </si>
  <si>
    <t>Time(min)</t>
  </si>
  <si>
    <t>Actual</t>
  </si>
  <si>
    <r>
      <t>N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</si>
  <si>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</si>
  <si>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</si>
  <si>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</si>
  <si>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r</t>
    </r>
    <r>
      <rPr>
        <vertAlign val="superscript"/>
        <sz val="10"/>
        <rFont val="Arial"/>
        <family val="2"/>
      </rPr>
      <t>2</t>
    </r>
  </si>
  <si>
    <t>intercept</t>
  </si>
  <si>
    <t>slope</t>
  </si>
  <si>
    <r>
      <t>D</t>
    </r>
    <r>
      <rPr>
        <sz val="10"/>
        <rFont val="Arial"/>
        <family val="2"/>
      </rPr>
      <t>=</t>
    </r>
  </si>
  <si>
    <t>Avg CF=</t>
  </si>
  <si>
    <r>
      <t xml:space="preserve">Adj.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=</t>
    </r>
  </si>
  <si>
    <t>Factor=</t>
  </si>
  <si>
    <t>Measured</t>
  </si>
  <si>
    <t>Sample ID</t>
  </si>
  <si>
    <t>time (min)</t>
  </si>
  <si>
    <t>CF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</si>
  <si>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</si>
  <si>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</si>
  <si>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t>x</t>
  </si>
  <si>
    <t>y</t>
  </si>
  <si>
    <t>N30 based</t>
  </si>
  <si>
    <t>N2*O2</t>
  </si>
  <si>
    <t>SQRT</t>
  </si>
  <si>
    <t>Excess</t>
  </si>
  <si>
    <t>on N2</t>
  </si>
  <si>
    <t>N29 based</t>
  </si>
  <si>
    <t>Avg N2</t>
  </si>
  <si>
    <t>Avg O2</t>
  </si>
  <si>
    <t>20/0</t>
  </si>
  <si>
    <t>30/0</t>
  </si>
  <si>
    <t>20/0 N2</t>
  </si>
  <si>
    <t>30/0 N2</t>
  </si>
  <si>
    <t>20/0 O2</t>
  </si>
  <si>
    <t>30/0 O2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</si>
  <si>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</si>
  <si>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</si>
  <si>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t>=actual N2 at 20/0</t>
  </si>
  <si>
    <t>=average measured N2 at 20/0</t>
  </si>
  <si>
    <t>052121-Lake Superior-Cores+Respirations-May2021</t>
  </si>
  <si>
    <t>Openwater_IN_T1_1</t>
  </si>
  <si>
    <t>Openwater_IN_T1_2</t>
  </si>
  <si>
    <t>Openwater_IN_T1_3</t>
  </si>
  <si>
    <t>Openwater_1_T1_1</t>
  </si>
  <si>
    <t>Openwater_1_T1_2</t>
  </si>
  <si>
    <t>Openwater_1_T1_3</t>
  </si>
  <si>
    <t>Openwater_2_T1_1</t>
  </si>
  <si>
    <t>Openwater_2_T1_2</t>
  </si>
  <si>
    <t>Openwater_2_T1_3</t>
  </si>
  <si>
    <t>Openwater_3_T1_1</t>
  </si>
  <si>
    <t>Openwater_3_T1_2</t>
  </si>
  <si>
    <t>Openwater_3_T1_3</t>
  </si>
  <si>
    <t>Openwater_4_T1_1</t>
  </si>
  <si>
    <t>Openwater_4_T1_2</t>
  </si>
  <si>
    <t>Openwater_4_T1_3</t>
  </si>
  <si>
    <t>SAVa_IN_T1_1</t>
  </si>
  <si>
    <t>SAVa_IN_T1_2</t>
  </si>
  <si>
    <t>SAVa_IN_T1_3</t>
  </si>
  <si>
    <t>N2</t>
  </si>
  <si>
    <t>N2_Ar</t>
  </si>
  <si>
    <t>O2_Ar</t>
  </si>
  <si>
    <t>N2_ws</t>
  </si>
  <si>
    <t>N2_mimsy</t>
  </si>
  <si>
    <t>sample_id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</si>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</sst>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E+00"/>
    <numFmt numFmtId="166" formatCode="[$-409]h&quot;:&quot;mm&quot;:&quot;ss&quot; &quot;AM/PM"/>
    <numFmt numFmtId="167" formatCode="[$-409]0.00E+00"/>
  </numFmts>
  <fonts count="7" x14ac:knownFonts="1">
    <font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5" fontId="0" fillId="0" borderId="0" xfId="0" applyNumberFormat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quotePrefix="1" applyFont="1"/>
    <xf numFmtId="22" fontId="2" fillId="0" borderId="0" xfId="0" applyNumberFormat="1" applyFont="1"/>
    <xf numFmtId="11" fontId="2" fillId="0" borderId="0" xfId="0" applyNumberFormat="1" applyFont="1"/>
    <xf numFmtId="164" fontId="6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166" fontId="0" fillId="0" borderId="0" xfId="0" applyNumberFormat="1"/>
    <xf numFmtId="16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Regs!$B$4:$B$12</c:f>
              <c:numCache>
                <c:formatCode>0.0000</c:formatCode>
                <c:ptCount val="9"/>
                <c:pt idx="0">
                  <c:v>0</c:v>
                </c:pt>
                <c:pt idx="1">
                  <c:v>0.13333333333332575</c:v>
                </c:pt>
                <c:pt idx="2">
                  <c:v>0.29999999999995453</c:v>
                </c:pt>
                <c:pt idx="3">
                  <c:v>28.716666666666583</c:v>
                </c:pt>
                <c:pt idx="4">
                  <c:v>28.799999999999955</c:v>
                </c:pt>
                <c:pt idx="5">
                  <c:v>29.016666666666652</c:v>
                </c:pt>
                <c:pt idx="6">
                  <c:v>52.066666666666606</c:v>
                </c:pt>
                <c:pt idx="7">
                  <c:v>52.149999999999977</c:v>
                </c:pt>
                <c:pt idx="8">
                  <c:v>52.199999999999932</c:v>
                </c:pt>
              </c:numCache>
            </c:numRef>
          </c:xVal>
          <c:yVal>
            <c:numRef>
              <c:f>Regs!$A$4:$A$12</c:f>
              <c:numCache>
                <c:formatCode>0.0000</c:formatCode>
                <c:ptCount val="9"/>
                <c:pt idx="0">
                  <c:v>26.611070000000002</c:v>
                </c:pt>
                <c:pt idx="1">
                  <c:v>26.609100000000002</c:v>
                </c:pt>
                <c:pt idx="2">
                  <c:v>26.612770000000001</c:v>
                </c:pt>
                <c:pt idx="3">
                  <c:v>26.689409999999999</c:v>
                </c:pt>
                <c:pt idx="4">
                  <c:v>26.69397</c:v>
                </c:pt>
                <c:pt idx="5">
                  <c:v>26.685410000000001</c:v>
                </c:pt>
                <c:pt idx="6">
                  <c:v>26.697870000000002</c:v>
                </c:pt>
                <c:pt idx="7">
                  <c:v>26.694320000000001</c:v>
                </c:pt>
                <c:pt idx="8">
                  <c:v>26.6935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27-434C-829B-500B9985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4911"/>
        <c:axId val="1447015391"/>
      </c:scatterChart>
      <c:valAx>
        <c:axId val="144701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5391"/>
        <c:crosses val="autoZero"/>
        <c:crossBetween val="midCat"/>
      </c:valAx>
      <c:valAx>
        <c:axId val="14470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18</xdr:row>
      <xdr:rowOff>64770</xdr:rowOff>
    </xdr:from>
    <xdr:to>
      <xdr:col>12</xdr:col>
      <xdr:colOff>403860</xdr:colOff>
      <xdr:row>34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AB9B-F740-8D44-7910-060E139C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"/>
  <sheetViews>
    <sheetView topLeftCell="A22" zoomScaleNormal="100" workbookViewId="0">
      <selection activeCell="C48" sqref="C48"/>
    </sheetView>
  </sheetViews>
  <sheetFormatPr defaultColWidth="8.77734375" defaultRowHeight="13.2" x14ac:dyDescent="0.25"/>
  <cols>
    <col min="1" max="1" width="10.109375" bestFit="1" customWidth="1"/>
    <col min="2" max="2" width="14" customWidth="1"/>
    <col min="3" max="3" width="10.33203125" customWidth="1"/>
    <col min="4" max="4" width="11.109375" customWidth="1"/>
    <col min="5" max="5" width="10.44140625" customWidth="1"/>
    <col min="6" max="7" width="10.109375" customWidth="1"/>
    <col min="8" max="8" width="9.109375" customWidth="1"/>
    <col min="9" max="9" width="13.44140625" customWidth="1"/>
    <col min="10" max="10" width="3.44140625" customWidth="1"/>
    <col min="11" max="12" width="5.33203125" customWidth="1"/>
  </cols>
  <sheetData>
    <row r="1" spans="1:13" x14ac:dyDescent="0.25">
      <c r="A1" t="s">
        <v>74</v>
      </c>
      <c r="B1" s="15"/>
    </row>
    <row r="3" spans="1:13" x14ac:dyDescent="0.25">
      <c r="A3" s="12"/>
    </row>
    <row r="6" spans="1:13" x14ac:dyDescent="0.25">
      <c r="A6" t="s">
        <v>0</v>
      </c>
      <c r="B6" t="s">
        <v>1</v>
      </c>
      <c r="C6" t="s">
        <v>93</v>
      </c>
      <c r="D6" t="s">
        <v>6</v>
      </c>
      <c r="E6" t="s">
        <v>5</v>
      </c>
      <c r="F6" t="s">
        <v>94</v>
      </c>
      <c r="G6" t="s">
        <v>95</v>
      </c>
      <c r="H6" t="s">
        <v>1</v>
      </c>
    </row>
    <row r="8" spans="1:13" x14ac:dyDescent="0.25">
      <c r="A8">
        <v>20</v>
      </c>
      <c r="B8" s="22">
        <v>0.46233796296296292</v>
      </c>
      <c r="C8" s="23">
        <v>1.799815E-10</v>
      </c>
      <c r="D8" s="23">
        <v>8.6242489999999994E-11</v>
      </c>
      <c r="E8" s="23">
        <v>6.763407E-12</v>
      </c>
      <c r="F8">
        <v>26.611070000000002</v>
      </c>
      <c r="G8">
        <v>12.751340000000001</v>
      </c>
      <c r="H8" s="3">
        <f>M8-M$8</f>
        <v>0</v>
      </c>
      <c r="I8" s="22">
        <v>0.46233796296296292</v>
      </c>
      <c r="J8">
        <v>10</v>
      </c>
      <c r="K8">
        <v>16</v>
      </c>
      <c r="L8">
        <v>43</v>
      </c>
      <c r="M8">
        <f>J8*60+K8+L8/60</f>
        <v>616.7166666666667</v>
      </c>
    </row>
    <row r="9" spans="1:13" x14ac:dyDescent="0.25">
      <c r="A9">
        <v>20</v>
      </c>
      <c r="B9" s="22">
        <v>0.46243055555555551</v>
      </c>
      <c r="C9" s="23">
        <v>1.7994929999999999E-10</v>
      </c>
      <c r="D9" s="23">
        <v>8.6220270000000001E-11</v>
      </c>
      <c r="E9" s="23">
        <v>6.7626990000000001E-12</v>
      </c>
      <c r="F9">
        <v>26.609100000000002</v>
      </c>
      <c r="G9">
        <v>12.74939</v>
      </c>
      <c r="H9" s="3">
        <f t="shared" ref="H9:H43" si="0">M9-M$8</f>
        <v>0.13333333333332575</v>
      </c>
      <c r="I9" s="22">
        <v>0.46243055555555551</v>
      </c>
      <c r="J9">
        <v>10</v>
      </c>
      <c r="K9">
        <v>16</v>
      </c>
      <c r="L9">
        <v>51</v>
      </c>
      <c r="M9">
        <f t="shared" ref="M9:M43" si="1">J9*60+K9+L9/60</f>
        <v>616.85</v>
      </c>
    </row>
    <row r="10" spans="1:13" x14ac:dyDescent="0.25">
      <c r="A10">
        <v>20</v>
      </c>
      <c r="B10" s="22">
        <v>0.46253472222222219</v>
      </c>
      <c r="C10" s="23">
        <v>1.7990719999999999E-10</v>
      </c>
      <c r="D10" s="23">
        <v>8.6191930000000004E-11</v>
      </c>
      <c r="E10" s="23">
        <v>6.7601839999999999E-12</v>
      </c>
      <c r="F10">
        <v>26.612770000000001</v>
      </c>
      <c r="G10">
        <v>12.74994</v>
      </c>
      <c r="H10" s="3">
        <f t="shared" si="0"/>
        <v>0.29999999999995453</v>
      </c>
      <c r="I10" s="22">
        <v>0.46253472222222219</v>
      </c>
      <c r="J10">
        <v>10</v>
      </c>
      <c r="K10">
        <v>17</v>
      </c>
      <c r="L10">
        <v>1</v>
      </c>
      <c r="M10">
        <f t="shared" si="1"/>
        <v>617.01666666666665</v>
      </c>
    </row>
    <row r="11" spans="1:13" x14ac:dyDescent="0.25">
      <c r="A11">
        <v>30</v>
      </c>
      <c r="B11" s="22">
        <v>0.4665393518518518</v>
      </c>
      <c r="C11" s="23">
        <v>1.55852E-10</v>
      </c>
      <c r="D11" s="23">
        <v>7.2999359999999999E-11</v>
      </c>
      <c r="E11" s="23">
        <v>5.7073340000000004E-12</v>
      </c>
      <c r="F11">
        <v>27.30733</v>
      </c>
      <c r="G11">
        <v>12.79045</v>
      </c>
      <c r="H11" s="3">
        <f t="shared" si="0"/>
        <v>5.0833333333332575</v>
      </c>
      <c r="I11" s="22">
        <v>0.4665393518518518</v>
      </c>
      <c r="J11">
        <v>10</v>
      </c>
      <c r="K11">
        <v>21</v>
      </c>
      <c r="L11">
        <v>48</v>
      </c>
      <c r="M11">
        <f t="shared" si="1"/>
        <v>621.79999999999995</v>
      </c>
    </row>
    <row r="12" spans="1:13" x14ac:dyDescent="0.25">
      <c r="A12">
        <v>30</v>
      </c>
      <c r="B12" s="22">
        <v>0.46664351851851849</v>
      </c>
      <c r="C12" s="23">
        <v>1.5583540000000001E-10</v>
      </c>
      <c r="D12" s="23">
        <v>7.2987329999999995E-11</v>
      </c>
      <c r="E12" s="23">
        <v>5.7056180000000001E-12</v>
      </c>
      <c r="F12">
        <v>27.312619999999999</v>
      </c>
      <c r="G12">
        <v>12.79219</v>
      </c>
      <c r="H12" s="3">
        <f t="shared" si="0"/>
        <v>5.2166666666665833</v>
      </c>
      <c r="I12" s="22">
        <v>0.46664351851851849</v>
      </c>
      <c r="J12">
        <v>10</v>
      </c>
      <c r="K12">
        <v>21</v>
      </c>
      <c r="L12">
        <v>56</v>
      </c>
      <c r="M12">
        <f t="shared" si="1"/>
        <v>621.93333333333328</v>
      </c>
    </row>
    <row r="13" spans="1:13" x14ac:dyDescent="0.25">
      <c r="A13">
        <v>30</v>
      </c>
      <c r="B13" s="22">
        <v>0.46677083333333336</v>
      </c>
      <c r="C13" s="23">
        <v>1.557933E-10</v>
      </c>
      <c r="D13" s="23">
        <v>7.2956430000000006E-11</v>
      </c>
      <c r="E13" s="23">
        <v>5.7023499999999998E-12</v>
      </c>
      <c r="F13">
        <v>27.320889999999999</v>
      </c>
      <c r="G13">
        <v>12.7941</v>
      </c>
      <c r="H13" s="3">
        <f t="shared" si="0"/>
        <v>5.3500000000000227</v>
      </c>
      <c r="I13" s="22">
        <v>0.46677083333333336</v>
      </c>
      <c r="J13">
        <v>10</v>
      </c>
      <c r="K13">
        <v>22</v>
      </c>
      <c r="L13">
        <v>4</v>
      </c>
      <c r="M13">
        <f t="shared" si="1"/>
        <v>622.06666666666672</v>
      </c>
    </row>
    <row r="14" spans="1:13" x14ac:dyDescent="0.25">
      <c r="A14" t="s">
        <v>75</v>
      </c>
      <c r="B14" s="22">
        <v>0.46967592592592594</v>
      </c>
      <c r="C14" s="23">
        <v>1.7725860000000001E-10</v>
      </c>
      <c r="D14" s="23">
        <v>7.6452429999999999E-11</v>
      </c>
      <c r="E14" s="23">
        <v>6.6107839999999997E-12</v>
      </c>
      <c r="F14">
        <v>26.813549999999999</v>
      </c>
      <c r="G14">
        <v>11.56481</v>
      </c>
      <c r="H14" s="3">
        <f t="shared" si="0"/>
        <v>9.6833333333332803</v>
      </c>
      <c r="I14" s="22">
        <v>0.46967592592592594</v>
      </c>
      <c r="J14">
        <v>10</v>
      </c>
      <c r="K14">
        <v>26</v>
      </c>
      <c r="L14">
        <v>24</v>
      </c>
      <c r="M14">
        <f t="shared" si="1"/>
        <v>626.4</v>
      </c>
    </row>
    <row r="15" spans="1:13" x14ac:dyDescent="0.25">
      <c r="A15" t="s">
        <v>76</v>
      </c>
      <c r="B15" s="22">
        <v>0.46969907407407407</v>
      </c>
      <c r="C15" s="23">
        <v>1.7728099999999999E-10</v>
      </c>
      <c r="D15" s="23">
        <v>7.6454839999999994E-11</v>
      </c>
      <c r="E15" s="23">
        <v>6.6115100000000004E-12</v>
      </c>
      <c r="F15">
        <v>26.814</v>
      </c>
      <c r="G15">
        <v>11.5639</v>
      </c>
      <c r="H15" s="3">
        <f t="shared" si="0"/>
        <v>9.816666666666606</v>
      </c>
      <c r="I15" s="22">
        <v>0.46969907407407407</v>
      </c>
      <c r="J15">
        <v>10</v>
      </c>
      <c r="K15">
        <v>26</v>
      </c>
      <c r="L15">
        <v>32</v>
      </c>
      <c r="M15">
        <f t="shared" si="1"/>
        <v>626.5333333333333</v>
      </c>
    </row>
    <row r="16" spans="1:13" x14ac:dyDescent="0.25">
      <c r="A16" t="s">
        <v>77</v>
      </c>
      <c r="B16" s="22">
        <v>0.46976851851851853</v>
      </c>
      <c r="C16" s="23">
        <v>1.7734E-10</v>
      </c>
      <c r="D16" s="23">
        <v>7.6454770000000005E-11</v>
      </c>
      <c r="E16" s="23">
        <v>6.6139649999999999E-12</v>
      </c>
      <c r="F16">
        <v>26.81296</v>
      </c>
      <c r="G16">
        <v>11.5596</v>
      </c>
      <c r="H16" s="3">
        <f t="shared" si="0"/>
        <v>10.033333333333303</v>
      </c>
      <c r="I16" s="22">
        <v>0.46976851851851853</v>
      </c>
      <c r="J16">
        <v>10</v>
      </c>
      <c r="K16">
        <v>26</v>
      </c>
      <c r="L16">
        <v>45</v>
      </c>
      <c r="M16">
        <f t="shared" si="1"/>
        <v>626.75</v>
      </c>
    </row>
    <row r="17" spans="1:13" x14ac:dyDescent="0.25">
      <c r="A17" t="s">
        <v>78</v>
      </c>
      <c r="B17" s="22">
        <v>0.47162037037037036</v>
      </c>
      <c r="C17" s="23">
        <v>1.7813349999999999E-10</v>
      </c>
      <c r="D17" s="23">
        <v>7.0374350000000002E-11</v>
      </c>
      <c r="E17" s="23">
        <v>6.6385919999999998E-12</v>
      </c>
      <c r="F17">
        <v>26.833030000000001</v>
      </c>
      <c r="G17">
        <v>10.6008</v>
      </c>
      <c r="H17" s="3">
        <f t="shared" si="0"/>
        <v>16.416666666666629</v>
      </c>
      <c r="I17" s="22">
        <v>0.47162037037037036</v>
      </c>
      <c r="J17">
        <v>10</v>
      </c>
      <c r="K17">
        <v>33</v>
      </c>
      <c r="L17">
        <v>8</v>
      </c>
      <c r="M17">
        <f t="shared" si="1"/>
        <v>633.13333333333333</v>
      </c>
    </row>
    <row r="18" spans="1:13" x14ac:dyDescent="0.25">
      <c r="A18" t="s">
        <v>79</v>
      </c>
      <c r="B18" s="22">
        <v>0.47168981481481481</v>
      </c>
      <c r="C18" s="23">
        <v>1.7816139999999999E-10</v>
      </c>
      <c r="D18" s="23">
        <v>7.0355289999999998E-11</v>
      </c>
      <c r="E18" s="23">
        <v>6.6381569999999999E-12</v>
      </c>
      <c r="F18">
        <v>26.838989999999999</v>
      </c>
      <c r="G18">
        <v>10.59862</v>
      </c>
      <c r="H18" s="3">
        <f t="shared" si="0"/>
        <v>16.549999999999955</v>
      </c>
      <c r="I18" s="22">
        <v>0.47168981481481481</v>
      </c>
      <c r="J18">
        <v>10</v>
      </c>
      <c r="K18">
        <v>33</v>
      </c>
      <c r="L18">
        <v>16</v>
      </c>
      <c r="M18">
        <f t="shared" si="1"/>
        <v>633.26666666666665</v>
      </c>
    </row>
    <row r="19" spans="1:13" x14ac:dyDescent="0.25">
      <c r="A19" t="s">
        <v>80</v>
      </c>
      <c r="B19" s="22">
        <v>0.47184027777777776</v>
      </c>
      <c r="C19" s="23">
        <v>1.781898E-10</v>
      </c>
      <c r="D19" s="23">
        <v>7.0280459999999996E-11</v>
      </c>
      <c r="E19" s="23">
        <v>6.640424E-12</v>
      </c>
      <c r="F19">
        <v>26.834099999999999</v>
      </c>
      <c r="G19">
        <v>10.583729999999999</v>
      </c>
      <c r="H19" s="3">
        <f t="shared" si="0"/>
        <v>16.68333333333328</v>
      </c>
      <c r="I19" s="22">
        <v>0.47184027777777776</v>
      </c>
      <c r="J19">
        <v>10</v>
      </c>
      <c r="K19">
        <v>33</v>
      </c>
      <c r="L19">
        <v>24</v>
      </c>
      <c r="M19">
        <f t="shared" si="1"/>
        <v>633.4</v>
      </c>
    </row>
    <row r="20" spans="1:13" x14ac:dyDescent="0.25">
      <c r="A20" t="s">
        <v>81</v>
      </c>
      <c r="B20" s="22">
        <v>0.47496527777777775</v>
      </c>
      <c r="C20" s="23">
        <v>1.7892779999999999E-10</v>
      </c>
      <c r="D20" s="23">
        <v>7.0417650000000001E-11</v>
      </c>
      <c r="E20" s="23">
        <v>6.651651E-12</v>
      </c>
      <c r="F20">
        <v>26.899760000000001</v>
      </c>
      <c r="G20">
        <v>10.58649</v>
      </c>
      <c r="H20" s="3">
        <f t="shared" si="0"/>
        <v>22.199999999999932</v>
      </c>
      <c r="I20" s="22">
        <v>0.47496527777777775</v>
      </c>
      <c r="J20">
        <v>10</v>
      </c>
      <c r="K20">
        <v>38</v>
      </c>
      <c r="L20">
        <v>55</v>
      </c>
      <c r="M20">
        <f t="shared" si="1"/>
        <v>638.91666666666663</v>
      </c>
    </row>
    <row r="21" spans="1:13" x14ac:dyDescent="0.25">
      <c r="A21" t="s">
        <v>82</v>
      </c>
      <c r="B21" s="22">
        <v>0.47513888888888889</v>
      </c>
      <c r="C21" s="23">
        <v>1.7888699999999999E-10</v>
      </c>
      <c r="D21" s="23">
        <v>7.0416519999999995E-11</v>
      </c>
      <c r="E21" s="23">
        <v>6.6494630000000003E-12</v>
      </c>
      <c r="F21">
        <v>26.902480000000001</v>
      </c>
      <c r="G21">
        <v>10.58981</v>
      </c>
      <c r="H21" s="3">
        <f t="shared" si="0"/>
        <v>22.333333333333258</v>
      </c>
      <c r="I21" s="22">
        <v>0.47513888888888889</v>
      </c>
      <c r="J21">
        <v>10</v>
      </c>
      <c r="K21">
        <v>39</v>
      </c>
      <c r="L21">
        <v>3</v>
      </c>
      <c r="M21">
        <f t="shared" si="1"/>
        <v>639.04999999999995</v>
      </c>
    </row>
    <row r="22" spans="1:13" x14ac:dyDescent="0.25">
      <c r="A22" t="s">
        <v>83</v>
      </c>
      <c r="B22" s="22">
        <v>0.4753356481481481</v>
      </c>
      <c r="C22" s="23">
        <v>1.7881E-10</v>
      </c>
      <c r="D22" s="23">
        <v>7.0392009999999999E-11</v>
      </c>
      <c r="E22" s="23">
        <v>6.6488120000000002E-12</v>
      </c>
      <c r="F22">
        <v>26.893519999999999</v>
      </c>
      <c r="G22">
        <v>10.587160000000001</v>
      </c>
      <c r="H22" s="3">
        <f t="shared" si="0"/>
        <v>22.466666666666583</v>
      </c>
      <c r="I22" s="22">
        <v>0.4753356481481481</v>
      </c>
      <c r="J22">
        <v>10</v>
      </c>
      <c r="K22">
        <v>39</v>
      </c>
      <c r="L22">
        <v>11</v>
      </c>
      <c r="M22">
        <f t="shared" si="1"/>
        <v>639.18333333333328</v>
      </c>
    </row>
    <row r="23" spans="1:13" x14ac:dyDescent="0.25">
      <c r="A23">
        <v>20</v>
      </c>
      <c r="B23" s="22">
        <v>0.4776273148148148</v>
      </c>
      <c r="C23" s="23">
        <v>1.774373E-10</v>
      </c>
      <c r="D23" s="23">
        <v>8.3961300000000001E-11</v>
      </c>
      <c r="E23" s="23">
        <v>6.6482300000000002E-12</v>
      </c>
      <c r="F23">
        <v>26.689409999999999</v>
      </c>
      <c r="G23">
        <v>12.62912</v>
      </c>
      <c r="H23" s="3">
        <f t="shared" si="0"/>
        <v>28.716666666666583</v>
      </c>
      <c r="I23" s="22">
        <v>0.4776273148148148</v>
      </c>
      <c r="J23">
        <v>10</v>
      </c>
      <c r="K23">
        <v>45</v>
      </c>
      <c r="L23">
        <v>26</v>
      </c>
      <c r="M23">
        <f t="shared" si="1"/>
        <v>645.43333333333328</v>
      </c>
    </row>
    <row r="24" spans="1:13" x14ac:dyDescent="0.25">
      <c r="A24">
        <v>20</v>
      </c>
      <c r="B24" s="22">
        <v>0.47770833333333329</v>
      </c>
      <c r="C24" s="23">
        <v>1.773901E-10</v>
      </c>
      <c r="D24" s="23">
        <v>8.3989259999999998E-11</v>
      </c>
      <c r="E24" s="23">
        <v>6.6453239999999997E-12</v>
      </c>
      <c r="F24">
        <v>26.69397</v>
      </c>
      <c r="G24">
        <v>12.63885</v>
      </c>
      <c r="H24" s="3">
        <f t="shared" si="0"/>
        <v>28.799999999999955</v>
      </c>
      <c r="I24" s="22">
        <v>0.47770833333333329</v>
      </c>
      <c r="J24">
        <v>10</v>
      </c>
      <c r="K24">
        <v>45</v>
      </c>
      <c r="L24">
        <v>31</v>
      </c>
      <c r="M24">
        <f t="shared" si="1"/>
        <v>645.51666666666665</v>
      </c>
    </row>
    <row r="25" spans="1:13" x14ac:dyDescent="0.25">
      <c r="A25">
        <v>20</v>
      </c>
      <c r="B25" s="22">
        <v>0.47782407407407407</v>
      </c>
      <c r="C25" s="23">
        <v>1.7731440000000001E-10</v>
      </c>
      <c r="D25" s="23">
        <v>8.400151E-11</v>
      </c>
      <c r="E25" s="23">
        <v>6.6446189999999998E-12</v>
      </c>
      <c r="F25">
        <v>26.685410000000001</v>
      </c>
      <c r="G25">
        <v>12.64204</v>
      </c>
      <c r="H25" s="3">
        <f t="shared" si="0"/>
        <v>29.016666666666652</v>
      </c>
      <c r="I25" s="22">
        <v>0.47782407407407407</v>
      </c>
      <c r="J25">
        <v>10</v>
      </c>
      <c r="K25">
        <v>45</v>
      </c>
      <c r="L25">
        <v>44</v>
      </c>
      <c r="M25">
        <f t="shared" si="1"/>
        <v>645.73333333333335</v>
      </c>
    </row>
    <row r="26" spans="1:13" x14ac:dyDescent="0.25">
      <c r="A26">
        <v>30</v>
      </c>
      <c r="B26" s="22">
        <v>0.48113425925925923</v>
      </c>
      <c r="C26" s="23">
        <v>1.545517E-10</v>
      </c>
      <c r="D26" s="23">
        <v>7.2203449999999995E-11</v>
      </c>
      <c r="E26" s="23">
        <v>5.6547919999999999E-12</v>
      </c>
      <c r="F26">
        <v>27.331109999999999</v>
      </c>
      <c r="G26">
        <v>12.76854</v>
      </c>
      <c r="H26" s="3">
        <f t="shared" si="0"/>
        <v>35.483333333333348</v>
      </c>
      <c r="I26" s="22">
        <v>0.48113425925925923</v>
      </c>
      <c r="J26">
        <v>10</v>
      </c>
      <c r="K26">
        <v>52</v>
      </c>
      <c r="L26">
        <v>12</v>
      </c>
      <c r="M26">
        <f t="shared" si="1"/>
        <v>652.20000000000005</v>
      </c>
    </row>
    <row r="27" spans="1:13" x14ac:dyDescent="0.25">
      <c r="A27">
        <v>30</v>
      </c>
      <c r="B27" s="22">
        <v>0.48121527777777773</v>
      </c>
      <c r="C27" s="23">
        <v>1.545312E-10</v>
      </c>
      <c r="D27" s="23">
        <v>7.2194269999999995E-11</v>
      </c>
      <c r="E27" s="23">
        <v>5.6551039999999999E-12</v>
      </c>
      <c r="F27">
        <v>27.325970000000002</v>
      </c>
      <c r="G27">
        <v>12.766209999999999</v>
      </c>
      <c r="H27" s="3">
        <f t="shared" si="0"/>
        <v>35.616666666666674</v>
      </c>
      <c r="I27" s="22">
        <v>0.48121527777777773</v>
      </c>
      <c r="J27">
        <v>10</v>
      </c>
      <c r="K27">
        <v>52</v>
      </c>
      <c r="L27">
        <v>20</v>
      </c>
      <c r="M27">
        <f t="shared" si="1"/>
        <v>652.33333333333337</v>
      </c>
    </row>
    <row r="28" spans="1:13" x14ac:dyDescent="0.25">
      <c r="A28">
        <v>30</v>
      </c>
      <c r="B28" s="22">
        <v>0.48129629629629628</v>
      </c>
      <c r="C28" s="23">
        <v>1.545475E-10</v>
      </c>
      <c r="D28" s="23">
        <v>7.2196739999999999E-11</v>
      </c>
      <c r="E28" s="23">
        <v>5.6554719999999999E-12</v>
      </c>
      <c r="F28">
        <v>27.327069999999999</v>
      </c>
      <c r="G28">
        <v>12.76582</v>
      </c>
      <c r="H28" s="3">
        <f t="shared" si="0"/>
        <v>35.699999999999932</v>
      </c>
      <c r="I28" s="22">
        <v>0.48129629629629628</v>
      </c>
      <c r="J28">
        <v>10</v>
      </c>
      <c r="K28">
        <v>52</v>
      </c>
      <c r="L28">
        <v>25</v>
      </c>
      <c r="M28">
        <f t="shared" si="1"/>
        <v>652.41666666666663</v>
      </c>
    </row>
    <row r="29" spans="1:13" x14ac:dyDescent="0.25">
      <c r="A29" t="s">
        <v>84</v>
      </c>
      <c r="B29" s="22">
        <v>0.48649305555555555</v>
      </c>
      <c r="C29" s="23">
        <v>1.7470790000000001E-10</v>
      </c>
      <c r="D29" s="23">
        <v>6.95979E-11</v>
      </c>
      <c r="E29" s="23">
        <v>6.5301019999999998E-12</v>
      </c>
      <c r="F29">
        <v>26.754239999999999</v>
      </c>
      <c r="G29">
        <v>10.658010000000001</v>
      </c>
      <c r="H29" s="3">
        <f t="shared" si="0"/>
        <v>41.18333333333328</v>
      </c>
      <c r="I29" s="22">
        <v>0.48649305555555555</v>
      </c>
      <c r="J29">
        <v>10</v>
      </c>
      <c r="K29">
        <v>57</v>
      </c>
      <c r="L29">
        <v>54</v>
      </c>
      <c r="M29">
        <f t="shared" si="1"/>
        <v>657.9</v>
      </c>
    </row>
    <row r="30" spans="1:13" x14ac:dyDescent="0.25">
      <c r="A30" t="s">
        <v>85</v>
      </c>
      <c r="B30" s="22">
        <v>0.48656250000000001</v>
      </c>
      <c r="C30" s="23">
        <v>1.746871E-10</v>
      </c>
      <c r="D30" s="23">
        <v>6.9583269999999995E-11</v>
      </c>
      <c r="E30" s="23">
        <v>6.5303840000000002E-12</v>
      </c>
      <c r="F30">
        <v>26.7499</v>
      </c>
      <c r="G30">
        <v>10.65531</v>
      </c>
      <c r="H30" s="3">
        <f t="shared" si="0"/>
        <v>41.316666666666606</v>
      </c>
      <c r="I30" s="22">
        <v>0.48656250000000001</v>
      </c>
      <c r="J30">
        <v>10</v>
      </c>
      <c r="K30">
        <v>58</v>
      </c>
      <c r="L30">
        <v>2</v>
      </c>
      <c r="M30">
        <f t="shared" si="1"/>
        <v>658.0333333333333</v>
      </c>
    </row>
    <row r="31" spans="1:13" x14ac:dyDescent="0.25">
      <c r="A31" t="s">
        <v>86</v>
      </c>
      <c r="B31" s="22">
        <v>0.48658564814814814</v>
      </c>
      <c r="C31" s="23">
        <v>1.7468120000000001E-10</v>
      </c>
      <c r="D31" s="23">
        <v>6.957972E-11</v>
      </c>
      <c r="E31" s="23">
        <v>6.5309270000000002E-12</v>
      </c>
      <c r="F31">
        <v>26.746770000000001</v>
      </c>
      <c r="G31">
        <v>10.653879999999999</v>
      </c>
      <c r="H31" s="3">
        <f t="shared" si="0"/>
        <v>41.533333333333303</v>
      </c>
      <c r="I31" s="22">
        <v>0.48658564814814814</v>
      </c>
      <c r="J31">
        <v>10</v>
      </c>
      <c r="K31">
        <v>58</v>
      </c>
      <c r="L31">
        <v>15</v>
      </c>
      <c r="M31">
        <f t="shared" si="1"/>
        <v>658.25</v>
      </c>
    </row>
    <row r="32" spans="1:13" x14ac:dyDescent="0.25">
      <c r="A32" t="s">
        <v>87</v>
      </c>
      <c r="B32" s="22">
        <v>0.4891550925925926</v>
      </c>
      <c r="C32" s="23">
        <v>1.7654030000000001E-10</v>
      </c>
      <c r="D32" s="23">
        <v>6.1036939999999995E-11</v>
      </c>
      <c r="E32" s="23">
        <v>6.6061309999999996E-12</v>
      </c>
      <c r="F32">
        <v>26.723700000000001</v>
      </c>
      <c r="G32">
        <v>9.2394379999999998</v>
      </c>
      <c r="H32" s="3">
        <f t="shared" si="0"/>
        <v>43.966666666666583</v>
      </c>
      <c r="I32" s="22">
        <v>0.4891550925925926</v>
      </c>
      <c r="J32">
        <v>11</v>
      </c>
      <c r="K32">
        <v>0</v>
      </c>
      <c r="L32">
        <v>41</v>
      </c>
      <c r="M32">
        <f t="shared" si="1"/>
        <v>660.68333333333328</v>
      </c>
    </row>
    <row r="33" spans="1:13" x14ac:dyDescent="0.25">
      <c r="A33" t="s">
        <v>88</v>
      </c>
      <c r="B33" s="22">
        <v>0.48940972222222223</v>
      </c>
      <c r="C33" s="23">
        <v>1.7657370000000001E-10</v>
      </c>
      <c r="D33" s="23">
        <v>6.1032720000000001E-11</v>
      </c>
      <c r="E33" s="23">
        <v>6.6090699999999998E-12</v>
      </c>
      <c r="F33">
        <v>26.71687</v>
      </c>
      <c r="G33">
        <v>9.2346909999999998</v>
      </c>
      <c r="H33" s="3">
        <f t="shared" si="0"/>
        <v>44.049999999999955</v>
      </c>
      <c r="I33" s="22">
        <v>0.48940972222222223</v>
      </c>
      <c r="J33">
        <v>11</v>
      </c>
      <c r="K33">
        <v>0</v>
      </c>
      <c r="L33">
        <v>46</v>
      </c>
      <c r="M33">
        <f t="shared" si="1"/>
        <v>660.76666666666665</v>
      </c>
    </row>
    <row r="34" spans="1:13" x14ac:dyDescent="0.25">
      <c r="A34" t="s">
        <v>89</v>
      </c>
      <c r="B34" s="22">
        <v>0.48947916666666663</v>
      </c>
      <c r="C34" s="23">
        <v>1.7655799999999999E-10</v>
      </c>
      <c r="D34" s="23">
        <v>6.1004049999999995E-11</v>
      </c>
      <c r="E34" s="23">
        <v>6.6063030000000004E-12</v>
      </c>
      <c r="F34">
        <v>26.72569</v>
      </c>
      <c r="G34">
        <v>9.2342189999999995</v>
      </c>
      <c r="H34" s="3">
        <f t="shared" si="0"/>
        <v>44.18333333333328</v>
      </c>
      <c r="I34" s="22">
        <v>0.48947916666666663</v>
      </c>
      <c r="J34">
        <v>11</v>
      </c>
      <c r="K34">
        <v>0</v>
      </c>
      <c r="L34">
        <v>54</v>
      </c>
      <c r="M34">
        <f t="shared" si="1"/>
        <v>660.9</v>
      </c>
    </row>
    <row r="35" spans="1:13" x14ac:dyDescent="0.25">
      <c r="A35" t="s">
        <v>90</v>
      </c>
      <c r="B35" s="22">
        <v>0.49214120370370368</v>
      </c>
      <c r="C35" s="23">
        <v>1.906481E-10</v>
      </c>
      <c r="D35" s="23">
        <v>6.1671050000000004E-11</v>
      </c>
      <c r="E35" s="23">
        <v>6.8534370000000002E-12</v>
      </c>
      <c r="F35">
        <v>27.817889999999998</v>
      </c>
      <c r="G35">
        <v>8.9985579999999992</v>
      </c>
      <c r="H35" s="3">
        <f t="shared" si="0"/>
        <v>47.133333333333326</v>
      </c>
      <c r="I35" s="22">
        <v>0.49214120370370368</v>
      </c>
      <c r="J35">
        <v>11</v>
      </c>
      <c r="K35">
        <v>3</v>
      </c>
      <c r="L35">
        <v>51</v>
      </c>
      <c r="M35">
        <f t="shared" si="1"/>
        <v>663.85</v>
      </c>
    </row>
    <row r="36" spans="1:13" x14ac:dyDescent="0.25">
      <c r="A36" t="s">
        <v>91</v>
      </c>
      <c r="B36" s="22">
        <v>0.49230324074074072</v>
      </c>
      <c r="C36" s="23">
        <v>1.9072070000000001E-10</v>
      </c>
      <c r="D36" s="23">
        <v>6.1715510000000001E-11</v>
      </c>
      <c r="E36" s="23">
        <v>6.857506E-12</v>
      </c>
      <c r="F36">
        <v>27.811959999999999</v>
      </c>
      <c r="G36">
        <v>8.999701</v>
      </c>
      <c r="H36" s="3">
        <f t="shared" si="0"/>
        <v>47.266666666666652</v>
      </c>
      <c r="I36" s="22">
        <v>0.49230324074074072</v>
      </c>
      <c r="J36">
        <v>11</v>
      </c>
      <c r="K36">
        <v>3</v>
      </c>
      <c r="L36">
        <v>59</v>
      </c>
      <c r="M36">
        <f t="shared" si="1"/>
        <v>663.98333333333335</v>
      </c>
    </row>
    <row r="37" spans="1:13" x14ac:dyDescent="0.25">
      <c r="A37" t="s">
        <v>92</v>
      </c>
      <c r="B37" s="22">
        <v>0.4924768518518518</v>
      </c>
      <c r="C37" s="23">
        <v>1.9042060000000001E-10</v>
      </c>
      <c r="D37" s="23">
        <v>6.1602819999999999E-11</v>
      </c>
      <c r="E37" s="23">
        <v>6.8480779999999997E-12</v>
      </c>
      <c r="F37">
        <v>27.806429999999999</v>
      </c>
      <c r="G37">
        <v>8.9956370000000003</v>
      </c>
      <c r="H37" s="3">
        <f t="shared" si="0"/>
        <v>47.350000000000023</v>
      </c>
      <c r="I37" s="22">
        <v>0.4924768518518518</v>
      </c>
      <c r="J37">
        <v>11</v>
      </c>
      <c r="K37">
        <v>4</v>
      </c>
      <c r="L37">
        <v>4</v>
      </c>
      <c r="M37">
        <f t="shared" si="1"/>
        <v>664.06666666666672</v>
      </c>
    </row>
    <row r="38" spans="1:13" x14ac:dyDescent="0.25">
      <c r="A38">
        <v>20</v>
      </c>
      <c r="B38" s="22">
        <v>0.49517361111111108</v>
      </c>
      <c r="C38" s="23">
        <v>1.751026E-10</v>
      </c>
      <c r="D38" s="23">
        <v>8.2292559999999999E-11</v>
      </c>
      <c r="E38" s="23">
        <v>6.5586749999999996E-12</v>
      </c>
      <c r="F38">
        <v>26.697870000000002</v>
      </c>
      <c r="G38">
        <v>12.547129999999999</v>
      </c>
      <c r="H38" s="3">
        <f t="shared" si="0"/>
        <v>52.066666666666606</v>
      </c>
      <c r="I38" s="22">
        <v>0.49517361111111108</v>
      </c>
      <c r="J38">
        <v>11</v>
      </c>
      <c r="K38">
        <v>8</v>
      </c>
      <c r="L38">
        <v>47</v>
      </c>
      <c r="M38">
        <f t="shared" si="1"/>
        <v>668.7833333333333</v>
      </c>
    </row>
    <row r="39" spans="1:13" x14ac:dyDescent="0.25">
      <c r="A39">
        <v>20</v>
      </c>
      <c r="B39" s="22">
        <v>0.49523148148148144</v>
      </c>
      <c r="C39" s="23">
        <v>1.7505180000000001E-10</v>
      </c>
      <c r="D39" s="23">
        <v>8.2318419999999999E-11</v>
      </c>
      <c r="E39" s="23">
        <v>6.5576420000000003E-12</v>
      </c>
      <c r="F39">
        <v>26.694320000000001</v>
      </c>
      <c r="G39">
        <v>12.553050000000001</v>
      </c>
      <c r="H39" s="3">
        <f t="shared" si="0"/>
        <v>52.149999999999977</v>
      </c>
      <c r="I39" s="22">
        <v>0.49523148148148144</v>
      </c>
      <c r="J39">
        <v>11</v>
      </c>
      <c r="K39">
        <v>8</v>
      </c>
      <c r="L39">
        <v>52</v>
      </c>
      <c r="M39">
        <f t="shared" si="1"/>
        <v>668.86666666666667</v>
      </c>
    </row>
    <row r="40" spans="1:13" x14ac:dyDescent="0.25">
      <c r="A40">
        <v>20</v>
      </c>
      <c r="B40" s="22">
        <v>0.49527777777777776</v>
      </c>
      <c r="C40" s="23">
        <v>1.75007E-10</v>
      </c>
      <c r="D40" s="23">
        <v>8.2337620000000006E-11</v>
      </c>
      <c r="E40" s="23">
        <v>6.5561640000000001E-12</v>
      </c>
      <c r="F40">
        <v>26.6935</v>
      </c>
      <c r="G40">
        <v>12.558809999999999</v>
      </c>
      <c r="H40" s="3">
        <f t="shared" si="0"/>
        <v>52.199999999999932</v>
      </c>
      <c r="I40" s="22">
        <v>0.49527777777777776</v>
      </c>
      <c r="J40">
        <v>11</v>
      </c>
      <c r="K40">
        <v>8</v>
      </c>
      <c r="L40">
        <v>55</v>
      </c>
      <c r="M40">
        <f t="shared" si="1"/>
        <v>668.91666666666663</v>
      </c>
    </row>
    <row r="41" spans="1:13" x14ac:dyDescent="0.25">
      <c r="A41">
        <v>30</v>
      </c>
      <c r="B41" s="22">
        <v>0.49792824074074077</v>
      </c>
      <c r="C41" s="23">
        <v>1.5260469999999999E-10</v>
      </c>
      <c r="D41" s="23">
        <v>7.0961760000000001E-11</v>
      </c>
      <c r="E41" s="23">
        <v>5.5820229999999998E-12</v>
      </c>
      <c r="F41">
        <v>27.3386</v>
      </c>
      <c r="G41">
        <v>12.71255</v>
      </c>
      <c r="H41" s="3">
        <f t="shared" si="0"/>
        <v>56.399999999999977</v>
      </c>
      <c r="I41" s="22">
        <v>0.49792824074074077</v>
      </c>
      <c r="J41">
        <v>11</v>
      </c>
      <c r="K41">
        <v>13</v>
      </c>
      <c r="L41">
        <v>7</v>
      </c>
      <c r="M41">
        <f t="shared" si="1"/>
        <v>673.11666666666667</v>
      </c>
    </row>
    <row r="42" spans="1:13" x14ac:dyDescent="0.25">
      <c r="A42">
        <v>30</v>
      </c>
      <c r="B42" s="22">
        <v>0.49804398148148149</v>
      </c>
      <c r="C42" s="23">
        <v>1.524989E-10</v>
      </c>
      <c r="D42" s="23">
        <v>7.0928650000000004E-11</v>
      </c>
      <c r="E42" s="23">
        <v>5.5778970000000002E-12</v>
      </c>
      <c r="F42">
        <v>27.339860000000002</v>
      </c>
      <c r="G42">
        <v>12.71602</v>
      </c>
      <c r="H42" s="3">
        <f t="shared" si="0"/>
        <v>56.483333333333348</v>
      </c>
      <c r="I42" s="22">
        <v>0.49804398148148149</v>
      </c>
      <c r="J42">
        <v>11</v>
      </c>
      <c r="K42">
        <v>13</v>
      </c>
      <c r="L42">
        <v>12</v>
      </c>
      <c r="M42">
        <f t="shared" si="1"/>
        <v>673.2</v>
      </c>
    </row>
    <row r="43" spans="1:13" x14ac:dyDescent="0.25">
      <c r="A43">
        <v>30</v>
      </c>
      <c r="B43" s="22">
        <v>0.49815972222222221</v>
      </c>
      <c r="C43" s="23">
        <v>1.523994E-10</v>
      </c>
      <c r="D43" s="23">
        <v>7.0887720000000002E-11</v>
      </c>
      <c r="E43" s="23">
        <v>5.5759840000000001E-12</v>
      </c>
      <c r="F43">
        <v>27.331389999999999</v>
      </c>
      <c r="G43">
        <v>12.713039999999999</v>
      </c>
      <c r="H43" s="3">
        <f t="shared" si="0"/>
        <v>56.566666666666606</v>
      </c>
      <c r="I43" s="22">
        <v>0.49815972222222221</v>
      </c>
      <c r="J43">
        <v>11</v>
      </c>
      <c r="K43">
        <v>13</v>
      </c>
      <c r="L43">
        <v>17</v>
      </c>
      <c r="M43">
        <f t="shared" si="1"/>
        <v>673.2833333333333</v>
      </c>
    </row>
    <row r="44" spans="1:13" x14ac:dyDescent="0.25">
      <c r="B44" s="1"/>
      <c r="C44" s="2"/>
      <c r="D44" s="2"/>
      <c r="E44" s="2"/>
      <c r="F44" s="2"/>
      <c r="G44" s="2"/>
      <c r="H44" s="3"/>
      <c r="I44" s="1"/>
    </row>
    <row r="45" spans="1:13" x14ac:dyDescent="0.25">
      <c r="B45" s="1"/>
      <c r="C45" s="2"/>
      <c r="D45" s="2"/>
      <c r="E45" s="2"/>
      <c r="F45" s="2"/>
      <c r="G45" s="2"/>
      <c r="H45" s="3"/>
      <c r="I45" s="1"/>
    </row>
    <row r="46" spans="1:13" x14ac:dyDescent="0.25">
      <c r="B46" s="1"/>
      <c r="C46" s="2"/>
      <c r="D46" s="2"/>
      <c r="E46" s="2"/>
      <c r="F46" s="2"/>
      <c r="G46" s="2"/>
      <c r="H46" s="3"/>
      <c r="I46" s="1"/>
    </row>
    <row r="47" spans="1:13" x14ac:dyDescent="0.25">
      <c r="B47" s="1"/>
      <c r="C47" s="2"/>
      <c r="D47" s="2"/>
      <c r="E47" s="2"/>
      <c r="F47" s="2"/>
      <c r="G47" s="2"/>
      <c r="H47" s="3"/>
      <c r="I47" s="1"/>
    </row>
    <row r="48" spans="1:13" x14ac:dyDescent="0.25">
      <c r="B48" s="1"/>
      <c r="C48" s="2"/>
      <c r="D48" s="2"/>
      <c r="E48" s="2"/>
      <c r="F48" s="2"/>
      <c r="G48" s="2"/>
      <c r="H48" s="3"/>
      <c r="I48" s="1"/>
    </row>
    <row r="49" spans="2:9" x14ac:dyDescent="0.25">
      <c r="B49" s="1"/>
      <c r="C49" s="2"/>
      <c r="D49" s="2"/>
      <c r="E49" s="2"/>
      <c r="F49" s="2"/>
      <c r="G49" s="2"/>
      <c r="H49" s="3"/>
      <c r="I49" s="1"/>
    </row>
    <row r="50" spans="2:9" x14ac:dyDescent="0.25">
      <c r="B50" s="1"/>
      <c r="C50" s="2"/>
      <c r="D50" s="2"/>
      <c r="E50" s="2"/>
      <c r="F50" s="2"/>
      <c r="G50" s="2"/>
      <c r="H50" s="3"/>
      <c r="I50" s="1"/>
    </row>
    <row r="51" spans="2:9" x14ac:dyDescent="0.25">
      <c r="B51" s="1"/>
      <c r="C51" s="2"/>
      <c r="D51" s="2"/>
      <c r="E51" s="2"/>
      <c r="F51" s="2"/>
      <c r="G51" s="2"/>
      <c r="H51" s="3"/>
      <c r="I51" s="1"/>
    </row>
    <row r="52" spans="2:9" x14ac:dyDescent="0.25">
      <c r="B52" s="1"/>
      <c r="C52" s="2"/>
      <c r="D52" s="2"/>
      <c r="E52" s="2"/>
      <c r="F52" s="2"/>
      <c r="G52" s="2"/>
      <c r="H52" s="3"/>
      <c r="I52" s="1"/>
    </row>
    <row r="53" spans="2:9" x14ac:dyDescent="0.25">
      <c r="B53" s="1"/>
      <c r="C53" s="2"/>
      <c r="D53" s="2"/>
      <c r="E53" s="2"/>
      <c r="F53" s="2"/>
      <c r="G53" s="2"/>
      <c r="H53" s="3"/>
      <c r="I53" s="1"/>
    </row>
    <row r="54" spans="2:9" x14ac:dyDescent="0.25">
      <c r="B54" s="1"/>
      <c r="C54" s="2"/>
      <c r="D54" s="2"/>
      <c r="E54" s="2"/>
      <c r="F54" s="2"/>
      <c r="G54" s="2"/>
      <c r="H54" s="3"/>
      <c r="I54" s="1"/>
    </row>
    <row r="55" spans="2:9" x14ac:dyDescent="0.25">
      <c r="B55" s="1"/>
      <c r="C55" s="2"/>
      <c r="D55" s="2"/>
      <c r="E55" s="2"/>
      <c r="F55" s="2"/>
      <c r="G55" s="2"/>
      <c r="H55" s="3"/>
      <c r="I55" s="1"/>
    </row>
    <row r="56" spans="2:9" x14ac:dyDescent="0.25">
      <c r="B56" s="1"/>
      <c r="C56" s="2"/>
      <c r="D56" s="2"/>
      <c r="E56" s="2"/>
      <c r="F56" s="2"/>
      <c r="G56" s="2"/>
      <c r="H56" s="3"/>
      <c r="I56" s="1"/>
    </row>
    <row r="57" spans="2:9" x14ac:dyDescent="0.25">
      <c r="B57" s="1"/>
      <c r="C57" s="2"/>
      <c r="D57" s="2"/>
      <c r="E57" s="2"/>
      <c r="F57" s="2"/>
      <c r="G57" s="2"/>
      <c r="H57" s="3"/>
      <c r="I57" s="1"/>
    </row>
    <row r="58" spans="2:9" x14ac:dyDescent="0.25">
      <c r="B58" s="1"/>
      <c r="C58" s="2"/>
      <c r="D58" s="2"/>
      <c r="E58" s="2"/>
      <c r="F58" s="2"/>
      <c r="G58" s="2"/>
      <c r="H58" s="3"/>
      <c r="I58" s="1"/>
    </row>
    <row r="59" spans="2:9" x14ac:dyDescent="0.25">
      <c r="B59" s="1"/>
      <c r="C59" s="2"/>
      <c r="D59" s="2"/>
      <c r="E59" s="2"/>
      <c r="F59" s="2"/>
      <c r="G59" s="2"/>
      <c r="H59" s="3"/>
      <c r="I59" s="1"/>
    </row>
    <row r="60" spans="2:9" x14ac:dyDescent="0.25">
      <c r="B60" s="1"/>
      <c r="C60" s="2"/>
      <c r="D60" s="2"/>
      <c r="E60" s="2"/>
      <c r="F60" s="2"/>
      <c r="G60" s="2"/>
      <c r="H60" s="3"/>
      <c r="I60" s="1"/>
    </row>
    <row r="61" spans="2:9" x14ac:dyDescent="0.25">
      <c r="B61" s="1"/>
      <c r="C61" s="2"/>
      <c r="D61" s="2"/>
      <c r="E61" s="2"/>
      <c r="F61" s="2"/>
      <c r="G61" s="2"/>
      <c r="H61" s="3"/>
      <c r="I61" s="1"/>
    </row>
    <row r="62" spans="2:9" x14ac:dyDescent="0.25">
      <c r="B62" s="1"/>
      <c r="C62" s="2"/>
      <c r="D62" s="2"/>
      <c r="E62" s="2"/>
      <c r="F62" s="2"/>
      <c r="G62" s="2"/>
      <c r="H62" s="3"/>
      <c r="I62" s="1"/>
    </row>
    <row r="63" spans="2:9" x14ac:dyDescent="0.25">
      <c r="B63" s="1"/>
      <c r="C63" s="2"/>
      <c r="D63" s="2"/>
      <c r="E63" s="2"/>
      <c r="F63" s="2"/>
      <c r="G63" s="2"/>
      <c r="H63" s="3"/>
      <c r="I63" s="1"/>
    </row>
    <row r="64" spans="2:9" x14ac:dyDescent="0.25">
      <c r="B64" s="1"/>
      <c r="C64" s="2"/>
      <c r="D64" s="2"/>
      <c r="E64" s="2"/>
      <c r="F64" s="2"/>
      <c r="G64" s="2"/>
      <c r="H64" s="3"/>
      <c r="I64" s="1"/>
    </row>
    <row r="65" spans="2:9" x14ac:dyDescent="0.25">
      <c r="B65" s="1"/>
      <c r="C65" s="2"/>
      <c r="D65" s="2"/>
      <c r="E65" s="2"/>
      <c r="F65" s="2"/>
      <c r="G65" s="2"/>
      <c r="H65" s="3"/>
      <c r="I65" s="1"/>
    </row>
    <row r="66" spans="2:9" x14ac:dyDescent="0.25">
      <c r="B66" s="1"/>
      <c r="C66" s="2"/>
      <c r="D66" s="2"/>
      <c r="E66" s="2"/>
      <c r="F66" s="2"/>
      <c r="G66" s="2"/>
      <c r="H66" s="3"/>
      <c r="I66" s="1"/>
    </row>
    <row r="67" spans="2:9" x14ac:dyDescent="0.25">
      <c r="B67" s="1"/>
      <c r="C67" s="2"/>
      <c r="D67" s="2"/>
      <c r="E67" s="2"/>
      <c r="F67" s="2"/>
      <c r="G67" s="2"/>
      <c r="H67" s="3"/>
      <c r="I67" s="1"/>
    </row>
    <row r="68" spans="2:9" x14ac:dyDescent="0.25">
      <c r="B68" s="1"/>
      <c r="C68" s="2"/>
      <c r="D68" s="2"/>
      <c r="E68" s="2"/>
      <c r="F68" s="2"/>
      <c r="G68" s="2"/>
      <c r="H68" s="3"/>
      <c r="I68" s="1"/>
    </row>
    <row r="69" spans="2:9" x14ac:dyDescent="0.25">
      <c r="B69" s="1"/>
      <c r="C69" s="2"/>
      <c r="D69" s="2"/>
      <c r="E69" s="2"/>
      <c r="F69" s="2"/>
      <c r="G69" s="2"/>
      <c r="H69" s="3"/>
      <c r="I69" s="1"/>
    </row>
    <row r="70" spans="2:9" x14ac:dyDescent="0.25">
      <c r="B70" s="1"/>
      <c r="C70" s="2"/>
      <c r="D70" s="2"/>
      <c r="E70" s="2"/>
      <c r="F70" s="2"/>
      <c r="G70" s="2"/>
      <c r="H70" s="3"/>
      <c r="I70" s="1"/>
    </row>
    <row r="71" spans="2:9" x14ac:dyDescent="0.25">
      <c r="B71" s="1"/>
      <c r="C71" s="2"/>
      <c r="D71" s="2"/>
      <c r="E71" s="2"/>
      <c r="F71" s="2"/>
      <c r="G71" s="2"/>
      <c r="H71" s="3"/>
      <c r="I71" s="1"/>
    </row>
    <row r="72" spans="2:9" x14ac:dyDescent="0.25">
      <c r="B72" s="1"/>
      <c r="C72" s="2"/>
      <c r="D72" s="2"/>
      <c r="E72" s="2"/>
      <c r="F72" s="2"/>
      <c r="G72" s="2"/>
      <c r="H72" s="3"/>
      <c r="I72" s="1"/>
    </row>
    <row r="73" spans="2:9" x14ac:dyDescent="0.25">
      <c r="B73" s="1"/>
      <c r="C73" s="2"/>
      <c r="D73" s="2"/>
      <c r="E73" s="2"/>
      <c r="F73" s="2"/>
      <c r="G73" s="2"/>
      <c r="H73" s="3"/>
      <c r="I73" s="1"/>
    </row>
    <row r="74" spans="2:9" x14ac:dyDescent="0.25">
      <c r="B74" s="1"/>
      <c r="C74" s="2"/>
      <c r="D74" s="2"/>
      <c r="E74" s="2"/>
      <c r="F74" s="2"/>
      <c r="G74" s="2"/>
      <c r="H74" s="3"/>
      <c r="I74" s="1"/>
    </row>
    <row r="75" spans="2:9" x14ac:dyDescent="0.25">
      <c r="B75" s="1"/>
      <c r="C75" s="2"/>
      <c r="D75" s="2"/>
      <c r="E75" s="2"/>
      <c r="F75" s="2"/>
      <c r="G75" s="2"/>
      <c r="H75" s="3"/>
      <c r="I75" s="1"/>
    </row>
    <row r="76" spans="2:9" x14ac:dyDescent="0.25">
      <c r="B76" s="1"/>
      <c r="C76" s="2"/>
      <c r="D76" s="2"/>
      <c r="E76" s="2"/>
      <c r="F76" s="2"/>
      <c r="G76" s="2"/>
      <c r="H76" s="3"/>
      <c r="I76" s="1"/>
    </row>
    <row r="77" spans="2:9" x14ac:dyDescent="0.25">
      <c r="B77" s="1"/>
      <c r="C77" s="2"/>
      <c r="D77" s="2"/>
      <c r="E77" s="2"/>
      <c r="F77" s="2"/>
      <c r="G77" s="2"/>
      <c r="H77" s="3"/>
      <c r="I77" s="1"/>
    </row>
    <row r="78" spans="2:9" x14ac:dyDescent="0.25">
      <c r="B78" s="1"/>
      <c r="C78" s="2"/>
      <c r="D78" s="2"/>
      <c r="E78" s="2"/>
      <c r="F78" s="2"/>
      <c r="G78" s="2"/>
      <c r="H78" s="3"/>
      <c r="I78" s="1"/>
    </row>
    <row r="79" spans="2:9" x14ac:dyDescent="0.25">
      <c r="B79" s="1"/>
      <c r="C79" s="2"/>
      <c r="D79" s="2"/>
      <c r="E79" s="2"/>
      <c r="F79" s="2"/>
      <c r="G79" s="2"/>
      <c r="H79" s="3"/>
      <c r="I79" s="1"/>
    </row>
    <row r="80" spans="2:9" x14ac:dyDescent="0.25">
      <c r="B80" s="1"/>
      <c r="C80" s="2"/>
      <c r="D80" s="2"/>
      <c r="E80" s="2"/>
      <c r="F80" s="2"/>
      <c r="G80" s="2"/>
      <c r="H80" s="3"/>
      <c r="I80" s="1"/>
    </row>
    <row r="81" spans="2:9" x14ac:dyDescent="0.25">
      <c r="B81" s="1"/>
      <c r="C81" s="2"/>
      <c r="D81" s="2"/>
      <c r="E81" s="2"/>
      <c r="F81" s="2"/>
      <c r="G81" s="2"/>
      <c r="H81" s="3"/>
      <c r="I81" s="1"/>
    </row>
    <row r="82" spans="2:9" x14ac:dyDescent="0.25">
      <c r="B82" s="1"/>
      <c r="C82" s="2"/>
      <c r="D82" s="2"/>
      <c r="E82" s="2"/>
      <c r="F82" s="2"/>
      <c r="G82" s="2"/>
      <c r="H82" s="3"/>
      <c r="I82" s="1"/>
    </row>
    <row r="83" spans="2:9" x14ac:dyDescent="0.25">
      <c r="B83" s="1"/>
      <c r="C83" s="2"/>
      <c r="D83" s="2"/>
      <c r="E83" s="2"/>
      <c r="F83" s="2"/>
      <c r="G83" s="2"/>
      <c r="H83" s="3"/>
      <c r="I83" s="1"/>
    </row>
    <row r="84" spans="2:9" x14ac:dyDescent="0.25">
      <c r="B84" s="1"/>
      <c r="C84" s="2"/>
      <c r="D84" s="2"/>
      <c r="E84" s="2"/>
      <c r="F84" s="2"/>
      <c r="G84" s="2"/>
      <c r="H84" s="3"/>
      <c r="I84" s="1"/>
    </row>
    <row r="85" spans="2:9" x14ac:dyDescent="0.25">
      <c r="B85" s="1"/>
      <c r="C85" s="2"/>
      <c r="D85" s="2"/>
      <c r="E85" s="2"/>
      <c r="F85" s="2"/>
      <c r="G85" s="2"/>
      <c r="H85" s="3"/>
      <c r="I85" s="1"/>
    </row>
    <row r="86" spans="2:9" x14ac:dyDescent="0.25">
      <c r="B86" s="1"/>
      <c r="C86" s="2"/>
      <c r="D86" s="2"/>
      <c r="E86" s="2"/>
      <c r="F86" s="2"/>
      <c r="G86" s="2"/>
      <c r="H86" s="3"/>
      <c r="I86" s="1"/>
    </row>
    <row r="87" spans="2:9" x14ac:dyDescent="0.25">
      <c r="B87" s="1"/>
      <c r="C87" s="2"/>
      <c r="D87" s="2"/>
      <c r="E87" s="2"/>
      <c r="F87" s="2"/>
      <c r="G87" s="2"/>
      <c r="H87" s="3"/>
      <c r="I87" s="1"/>
    </row>
    <row r="88" spans="2:9" x14ac:dyDescent="0.25">
      <c r="B88" s="1"/>
      <c r="C88" s="2"/>
      <c r="D88" s="2"/>
      <c r="E88" s="2"/>
      <c r="F88" s="2"/>
      <c r="G88" s="2"/>
      <c r="H88" s="3"/>
      <c r="I88" s="1"/>
    </row>
    <row r="89" spans="2:9" x14ac:dyDescent="0.25">
      <c r="B89" s="1"/>
      <c r="C89" s="2"/>
      <c r="D89" s="2"/>
      <c r="E89" s="2"/>
      <c r="F89" s="2"/>
      <c r="G89" s="2"/>
      <c r="H89" s="3"/>
      <c r="I89" s="1"/>
    </row>
    <row r="90" spans="2:9" x14ac:dyDescent="0.25">
      <c r="B90" s="1"/>
      <c r="C90" s="2"/>
      <c r="D90" s="2"/>
      <c r="E90" s="2"/>
      <c r="F90" s="2"/>
      <c r="G90" s="2"/>
      <c r="H90" s="3"/>
      <c r="I90" s="1"/>
    </row>
    <row r="91" spans="2:9" x14ac:dyDescent="0.25">
      <c r="B91" s="1"/>
      <c r="C91" s="2"/>
      <c r="D91" s="2"/>
      <c r="E91" s="2"/>
      <c r="F91" s="2"/>
      <c r="G91" s="2"/>
      <c r="H91" s="3"/>
      <c r="I91" s="1"/>
    </row>
    <row r="92" spans="2:9" x14ac:dyDescent="0.25">
      <c r="B92" s="1"/>
      <c r="C92" s="2"/>
      <c r="D92" s="2"/>
      <c r="E92" s="2"/>
      <c r="F92" s="2"/>
      <c r="G92" s="2"/>
      <c r="H92" s="3"/>
      <c r="I92" s="1"/>
    </row>
    <row r="93" spans="2:9" x14ac:dyDescent="0.25">
      <c r="B93" s="1"/>
      <c r="C93" s="2"/>
      <c r="D93" s="2"/>
      <c r="E93" s="2"/>
      <c r="F93" s="2"/>
      <c r="G93" s="2"/>
      <c r="H93" s="3"/>
      <c r="I93" s="1"/>
    </row>
    <row r="94" spans="2:9" x14ac:dyDescent="0.25">
      <c r="B94" s="1"/>
      <c r="C94" s="2"/>
      <c r="D94" s="2"/>
      <c r="E94" s="2"/>
      <c r="F94" s="2"/>
      <c r="G94" s="2"/>
      <c r="H94" s="3"/>
      <c r="I94" s="1"/>
    </row>
    <row r="95" spans="2:9" x14ac:dyDescent="0.25">
      <c r="B95" s="1"/>
      <c r="C95" s="2"/>
      <c r="D95" s="2"/>
      <c r="E95" s="2"/>
      <c r="F95" s="2"/>
      <c r="G95" s="2"/>
      <c r="H95" s="3"/>
      <c r="I95" s="1"/>
    </row>
    <row r="96" spans="2:9" x14ac:dyDescent="0.25">
      <c r="B96" s="1"/>
      <c r="C96" s="2"/>
      <c r="D96" s="2"/>
      <c r="E96" s="2"/>
      <c r="F96" s="2"/>
      <c r="G96" s="2"/>
      <c r="H96" s="3"/>
      <c r="I96" s="1"/>
    </row>
    <row r="97" spans="2:9" x14ac:dyDescent="0.25">
      <c r="B97" s="1"/>
      <c r="C97" s="2"/>
      <c r="D97" s="2"/>
      <c r="E97" s="2"/>
      <c r="F97" s="2"/>
      <c r="G97" s="2"/>
      <c r="H97" s="3"/>
      <c r="I97" s="1"/>
    </row>
    <row r="98" spans="2:9" x14ac:dyDescent="0.25">
      <c r="B98" s="1"/>
      <c r="C98" s="2"/>
      <c r="D98" s="2"/>
      <c r="E98" s="2"/>
      <c r="F98" s="2"/>
      <c r="G98" s="2"/>
      <c r="H98" s="3"/>
      <c r="I98" s="1"/>
    </row>
    <row r="99" spans="2:9" x14ac:dyDescent="0.25">
      <c r="B99" s="1"/>
      <c r="C99" s="2"/>
      <c r="D99" s="2"/>
      <c r="E99" s="2"/>
      <c r="F99" s="2"/>
      <c r="G99" s="2"/>
      <c r="H99" s="3"/>
      <c r="I99" s="1"/>
    </row>
    <row r="100" spans="2:9" x14ac:dyDescent="0.25">
      <c r="B100" s="1"/>
      <c r="C100" s="2"/>
      <c r="D100" s="2"/>
      <c r="E100" s="2"/>
      <c r="F100" s="2"/>
      <c r="G100" s="2"/>
      <c r="H100" s="3"/>
      <c r="I100" s="1"/>
    </row>
    <row r="101" spans="2:9" x14ac:dyDescent="0.25">
      <c r="B101" s="1"/>
      <c r="C101" s="2"/>
      <c r="D101" s="2"/>
      <c r="E101" s="2"/>
      <c r="F101" s="2"/>
      <c r="G101" s="2"/>
      <c r="H101" s="3"/>
      <c r="I101" s="1"/>
    </row>
    <row r="102" spans="2:9" x14ac:dyDescent="0.25">
      <c r="B102" s="1"/>
      <c r="C102" s="2"/>
      <c r="D102" s="2"/>
      <c r="E102" s="2"/>
      <c r="F102" s="2"/>
      <c r="G102" s="2"/>
      <c r="H102" s="3"/>
      <c r="I102" s="1"/>
    </row>
    <row r="103" spans="2:9" x14ac:dyDescent="0.25">
      <c r="B103" s="1"/>
      <c r="C103" s="2"/>
      <c r="D103" s="2"/>
      <c r="E103" s="2"/>
      <c r="F103" s="2"/>
      <c r="G103" s="2"/>
      <c r="H103" s="3"/>
      <c r="I103" s="1"/>
    </row>
    <row r="104" spans="2:9" x14ac:dyDescent="0.25">
      <c r="B104" s="1"/>
      <c r="C104" s="2"/>
      <c r="D104" s="2"/>
      <c r="E104" s="2"/>
      <c r="F104" s="2"/>
      <c r="G104" s="2"/>
      <c r="H104" s="3"/>
      <c r="I104" s="1"/>
    </row>
    <row r="105" spans="2:9" x14ac:dyDescent="0.25">
      <c r="B105" s="1"/>
      <c r="C105" s="2"/>
      <c r="D105" s="2"/>
      <c r="E105" s="2"/>
      <c r="F105" s="2"/>
      <c r="G105" s="2"/>
      <c r="H105" s="3"/>
      <c r="I105" s="1"/>
    </row>
    <row r="106" spans="2:9" x14ac:dyDescent="0.25">
      <c r="B106" s="1"/>
      <c r="C106" s="2"/>
      <c r="D106" s="2"/>
      <c r="E106" s="2"/>
      <c r="F106" s="2"/>
      <c r="G106" s="2"/>
      <c r="H106" s="3"/>
      <c r="I106" s="1"/>
    </row>
    <row r="107" spans="2:9" x14ac:dyDescent="0.25">
      <c r="B107" s="1"/>
      <c r="C107" s="2"/>
      <c r="D107" s="2"/>
      <c r="E107" s="2"/>
      <c r="F107" s="2"/>
      <c r="G107" s="2"/>
      <c r="H107" s="3"/>
      <c r="I107" s="1"/>
    </row>
    <row r="108" spans="2:9" x14ac:dyDescent="0.25">
      <c r="B108" s="1"/>
      <c r="C108" s="2"/>
      <c r="D108" s="2"/>
      <c r="E108" s="2"/>
      <c r="F108" s="2"/>
      <c r="G108" s="2"/>
      <c r="H108" s="3"/>
      <c r="I108" s="1"/>
    </row>
    <row r="109" spans="2:9" x14ac:dyDescent="0.25">
      <c r="B109" s="1"/>
      <c r="C109" s="2"/>
      <c r="D109" s="2"/>
      <c r="E109" s="2"/>
      <c r="F109" s="2"/>
      <c r="G109" s="2"/>
      <c r="H109" s="3"/>
      <c r="I109" s="1"/>
    </row>
    <row r="110" spans="2:9" x14ac:dyDescent="0.25">
      <c r="B110" s="1"/>
      <c r="C110" s="2"/>
      <c r="D110" s="2"/>
      <c r="E110" s="2"/>
      <c r="F110" s="2"/>
      <c r="G110" s="2"/>
      <c r="H110" s="3"/>
      <c r="I110" s="1"/>
    </row>
    <row r="111" spans="2:9" x14ac:dyDescent="0.25">
      <c r="B111" s="1"/>
      <c r="C111" s="2"/>
      <c r="D111" s="2"/>
      <c r="E111" s="2"/>
      <c r="F111" s="2"/>
      <c r="G111" s="2"/>
      <c r="H111" s="3"/>
      <c r="I111" s="1"/>
    </row>
    <row r="112" spans="2:9" x14ac:dyDescent="0.25">
      <c r="B112" s="1"/>
      <c r="C112" s="2"/>
      <c r="D112" s="2"/>
      <c r="E112" s="2"/>
      <c r="F112" s="2"/>
      <c r="G112" s="2"/>
      <c r="H112" s="3"/>
      <c r="I112" s="1"/>
    </row>
    <row r="113" spans="2:9" x14ac:dyDescent="0.25">
      <c r="B113" s="1"/>
      <c r="C113" s="2"/>
      <c r="D113" s="2"/>
      <c r="E113" s="2"/>
      <c r="F113" s="2"/>
      <c r="G113" s="2"/>
      <c r="H113" s="3"/>
      <c r="I113" s="1"/>
    </row>
    <row r="114" spans="2:9" x14ac:dyDescent="0.25">
      <c r="B114" s="1"/>
      <c r="C114" s="2"/>
      <c r="D114" s="2"/>
      <c r="E114" s="2"/>
      <c r="F114" s="2"/>
      <c r="G114" s="2"/>
      <c r="H114" s="3"/>
      <c r="I114" s="1"/>
    </row>
    <row r="115" spans="2:9" x14ac:dyDescent="0.25">
      <c r="B115" s="1"/>
      <c r="C115" s="2"/>
      <c r="D115" s="2"/>
      <c r="E115" s="2"/>
      <c r="F115" s="2"/>
      <c r="G115" s="2"/>
      <c r="H115" s="3"/>
      <c r="I115" s="1"/>
    </row>
    <row r="116" spans="2:9" x14ac:dyDescent="0.25">
      <c r="B116" s="1"/>
      <c r="C116" s="2"/>
      <c r="D116" s="2"/>
      <c r="E116" s="2"/>
      <c r="F116" s="2"/>
      <c r="G116" s="2"/>
      <c r="H116" s="3"/>
      <c r="I116" s="1"/>
    </row>
    <row r="117" spans="2:9" x14ac:dyDescent="0.25">
      <c r="B117" s="1"/>
      <c r="C117" s="2"/>
      <c r="D117" s="2"/>
      <c r="E117" s="2"/>
      <c r="F117" s="2"/>
      <c r="G117" s="2"/>
      <c r="H117" s="3"/>
      <c r="I117" s="1"/>
    </row>
    <row r="118" spans="2:9" x14ac:dyDescent="0.25">
      <c r="B118" s="1"/>
      <c r="C118" s="2"/>
      <c r="D118" s="2"/>
      <c r="E118" s="2"/>
      <c r="F118" s="2"/>
      <c r="G118" s="2"/>
      <c r="H118" s="3"/>
      <c r="I118" s="1"/>
    </row>
    <row r="119" spans="2:9" x14ac:dyDescent="0.25">
      <c r="B119" s="1"/>
      <c r="C119" s="2"/>
      <c r="D119" s="2"/>
      <c r="E119" s="2"/>
      <c r="F119" s="2"/>
      <c r="G119" s="2"/>
      <c r="H119" s="3"/>
      <c r="I119" s="1"/>
    </row>
    <row r="120" spans="2:9" x14ac:dyDescent="0.25">
      <c r="B120" s="1"/>
      <c r="C120" s="2"/>
      <c r="D120" s="2"/>
      <c r="E120" s="2"/>
      <c r="F120" s="2"/>
      <c r="G120" s="2"/>
      <c r="H120" s="3"/>
      <c r="I120" s="1"/>
    </row>
    <row r="121" spans="2:9" x14ac:dyDescent="0.25">
      <c r="B121" s="1"/>
      <c r="C121" s="2"/>
      <c r="D121" s="2"/>
      <c r="E121" s="2"/>
      <c r="F121" s="2"/>
      <c r="G121" s="2"/>
      <c r="H121" s="3"/>
      <c r="I121" s="1"/>
    </row>
    <row r="122" spans="2:9" x14ac:dyDescent="0.25">
      <c r="B122" s="1"/>
      <c r="C122" s="2"/>
      <c r="D122" s="2"/>
      <c r="E122" s="2"/>
      <c r="F122" s="2"/>
      <c r="G122" s="2"/>
      <c r="H122" s="3"/>
      <c r="I122" s="1"/>
    </row>
    <row r="123" spans="2:9" x14ac:dyDescent="0.25">
      <c r="B123" s="1"/>
      <c r="C123" s="2"/>
      <c r="D123" s="2"/>
      <c r="E123" s="2"/>
      <c r="F123" s="2"/>
      <c r="G123" s="2"/>
      <c r="H123" s="3"/>
      <c r="I123" s="1"/>
    </row>
    <row r="124" spans="2:9" x14ac:dyDescent="0.25">
      <c r="B124" s="1"/>
      <c r="C124" s="2"/>
      <c r="D124" s="2"/>
      <c r="E124" s="2"/>
      <c r="F124" s="2"/>
      <c r="G124" s="2"/>
      <c r="H124" s="3"/>
      <c r="I124" s="1"/>
    </row>
    <row r="125" spans="2:9" x14ac:dyDescent="0.25">
      <c r="B125" s="1"/>
      <c r="C125" s="2"/>
      <c r="D125" s="2"/>
      <c r="E125" s="2"/>
      <c r="F125" s="2"/>
      <c r="G125" s="2"/>
      <c r="H125" s="3"/>
      <c r="I125" s="1"/>
    </row>
    <row r="126" spans="2:9" x14ac:dyDescent="0.25">
      <c r="B126" s="1"/>
      <c r="C126" s="2"/>
      <c r="D126" s="2"/>
      <c r="E126" s="2"/>
      <c r="F126" s="2"/>
      <c r="G126" s="2"/>
      <c r="H126" s="3"/>
      <c r="I126" s="1"/>
    </row>
    <row r="127" spans="2:9" x14ac:dyDescent="0.25">
      <c r="B127" s="1"/>
      <c r="C127" s="2"/>
      <c r="D127" s="2"/>
      <c r="E127" s="2"/>
      <c r="F127" s="2"/>
      <c r="G127" s="2"/>
      <c r="H127" s="3"/>
      <c r="I127" s="1"/>
    </row>
    <row r="128" spans="2:9" x14ac:dyDescent="0.25">
      <c r="B128" s="1"/>
      <c r="C128" s="2"/>
      <c r="D128" s="2"/>
      <c r="E128" s="2"/>
      <c r="F128" s="2"/>
      <c r="G128" s="2"/>
      <c r="H128" s="3"/>
      <c r="I128" s="1"/>
    </row>
    <row r="129" spans="2:9" x14ac:dyDescent="0.25">
      <c r="B129" s="1"/>
      <c r="C129" s="2"/>
      <c r="D129" s="2"/>
      <c r="E129" s="2"/>
      <c r="F129" s="2"/>
      <c r="G129" s="2"/>
      <c r="H129" s="3"/>
      <c r="I129" s="1"/>
    </row>
    <row r="130" spans="2:9" x14ac:dyDescent="0.25">
      <c r="B130" s="1"/>
      <c r="C130" s="2"/>
      <c r="D130" s="2"/>
      <c r="E130" s="2"/>
      <c r="F130" s="2"/>
      <c r="G130" s="2"/>
      <c r="H130" s="3"/>
      <c r="I130" s="1"/>
    </row>
    <row r="131" spans="2:9" x14ac:dyDescent="0.25">
      <c r="B131" s="1"/>
      <c r="C131" s="2"/>
      <c r="D131" s="2"/>
      <c r="E131" s="2"/>
      <c r="F131" s="2"/>
      <c r="G131" s="2"/>
      <c r="H131" s="3"/>
      <c r="I131" s="1"/>
    </row>
    <row r="132" spans="2:9" x14ac:dyDescent="0.25">
      <c r="B132" s="1"/>
      <c r="C132" s="2"/>
      <c r="D132" s="2"/>
      <c r="E132" s="2"/>
      <c r="F132" s="2"/>
      <c r="G132" s="2"/>
      <c r="H132" s="3"/>
      <c r="I132" s="1"/>
    </row>
    <row r="133" spans="2:9" x14ac:dyDescent="0.25">
      <c r="B133" s="1"/>
      <c r="C133" s="2"/>
      <c r="D133" s="2"/>
      <c r="E133" s="2"/>
      <c r="F133" s="2"/>
      <c r="G133" s="2"/>
      <c r="H133" s="3"/>
      <c r="I133" s="1"/>
    </row>
    <row r="134" spans="2:9" x14ac:dyDescent="0.25">
      <c r="B134" s="1"/>
      <c r="C134" s="2"/>
      <c r="D134" s="2"/>
      <c r="E134" s="2"/>
      <c r="F134" s="2"/>
      <c r="G134" s="2"/>
      <c r="H134" s="3"/>
      <c r="I134" s="1"/>
    </row>
    <row r="135" spans="2:9" x14ac:dyDescent="0.25">
      <c r="B135" s="1"/>
      <c r="C135" s="2"/>
      <c r="D135" s="2"/>
      <c r="E135" s="2"/>
      <c r="F135" s="2"/>
      <c r="G135" s="2"/>
      <c r="H135" s="3"/>
      <c r="I135" s="1"/>
    </row>
    <row r="136" spans="2:9" x14ac:dyDescent="0.25">
      <c r="B136" s="1"/>
      <c r="C136" s="2"/>
      <c r="D136" s="2"/>
      <c r="E136" s="2"/>
      <c r="F136" s="2"/>
      <c r="G136" s="2"/>
      <c r="H136" s="3"/>
      <c r="I136" s="1"/>
    </row>
    <row r="137" spans="2:9" x14ac:dyDescent="0.25">
      <c r="B137" s="1"/>
      <c r="C137" s="2"/>
      <c r="D137" s="2"/>
      <c r="E137" s="2"/>
      <c r="F137" s="2"/>
      <c r="G137" s="2"/>
      <c r="H137" s="3"/>
      <c r="I137" s="1"/>
    </row>
    <row r="138" spans="2:9" x14ac:dyDescent="0.25">
      <c r="B138" s="1"/>
      <c r="C138" s="2"/>
      <c r="D138" s="2"/>
      <c r="E138" s="2"/>
      <c r="F138" s="2"/>
      <c r="G138" s="2"/>
      <c r="H138" s="3"/>
      <c r="I138" s="1"/>
    </row>
    <row r="139" spans="2:9" x14ac:dyDescent="0.25">
      <c r="B139" s="1"/>
      <c r="C139" s="2"/>
      <c r="D139" s="2"/>
      <c r="E139" s="2"/>
      <c r="F139" s="2"/>
      <c r="G139" s="2"/>
      <c r="H139" s="3"/>
      <c r="I139" s="1"/>
    </row>
    <row r="140" spans="2:9" x14ac:dyDescent="0.25">
      <c r="B140" s="1"/>
      <c r="C140" s="2"/>
      <c r="D140" s="2"/>
      <c r="E140" s="2"/>
      <c r="F140" s="2"/>
      <c r="G140" s="2"/>
      <c r="H140" s="3"/>
      <c r="I140" s="1"/>
    </row>
    <row r="141" spans="2:9" x14ac:dyDescent="0.25">
      <c r="B141" s="1"/>
      <c r="C141" s="2"/>
      <c r="D141" s="2"/>
      <c r="E141" s="2"/>
      <c r="F141" s="2"/>
      <c r="G141" s="2"/>
      <c r="H141" s="3"/>
      <c r="I141" s="1"/>
    </row>
    <row r="142" spans="2:9" x14ac:dyDescent="0.25">
      <c r="B142" s="1"/>
      <c r="C142" s="2"/>
      <c r="D142" s="2"/>
      <c r="E142" s="2"/>
      <c r="F142" s="2"/>
      <c r="G142" s="2"/>
      <c r="H142" s="3"/>
      <c r="I142" s="1"/>
    </row>
    <row r="143" spans="2:9" x14ac:dyDescent="0.25">
      <c r="B143" s="1"/>
      <c r="C143" s="2"/>
      <c r="D143" s="2"/>
      <c r="E143" s="2"/>
      <c r="F143" s="2"/>
      <c r="G143" s="2"/>
      <c r="H143" s="3"/>
      <c r="I143" s="1"/>
    </row>
    <row r="144" spans="2:9" x14ac:dyDescent="0.25">
      <c r="B144" s="1"/>
      <c r="C144" s="2"/>
      <c r="D144" s="2"/>
      <c r="E144" s="2"/>
      <c r="F144" s="2"/>
      <c r="G144" s="2"/>
      <c r="H144" s="3"/>
      <c r="I144" s="1"/>
    </row>
    <row r="145" spans="2:9" x14ac:dyDescent="0.25">
      <c r="B145" s="1"/>
      <c r="C145" s="2"/>
      <c r="D145" s="2"/>
      <c r="E145" s="2"/>
      <c r="F145" s="2"/>
      <c r="G145" s="2"/>
      <c r="H145" s="3"/>
      <c r="I145" s="1"/>
    </row>
    <row r="146" spans="2:9" x14ac:dyDescent="0.25">
      <c r="B146" s="1"/>
      <c r="C146" s="2"/>
      <c r="D146" s="2"/>
      <c r="E146" s="2"/>
      <c r="F146" s="2"/>
      <c r="G146" s="2"/>
      <c r="H146" s="3"/>
      <c r="I146" s="1"/>
    </row>
    <row r="147" spans="2:9" x14ac:dyDescent="0.25">
      <c r="B147" s="1"/>
      <c r="C147" s="2"/>
      <c r="D147" s="2"/>
      <c r="E147" s="2"/>
      <c r="F147" s="2"/>
      <c r="G147" s="2"/>
      <c r="H147" s="3"/>
      <c r="I147" s="1"/>
    </row>
    <row r="148" spans="2:9" x14ac:dyDescent="0.25">
      <c r="B148" s="1"/>
      <c r="C148" s="2"/>
      <c r="D148" s="2"/>
      <c r="E148" s="2"/>
      <c r="F148" s="2"/>
      <c r="G148" s="2"/>
      <c r="H148" s="3"/>
      <c r="I148" s="1"/>
    </row>
    <row r="149" spans="2:9" x14ac:dyDescent="0.25">
      <c r="B149" s="1"/>
      <c r="C149" s="2"/>
      <c r="D149" s="2"/>
      <c r="E149" s="2"/>
      <c r="F149" s="2"/>
      <c r="G149" s="2"/>
      <c r="H149" s="3"/>
      <c r="I149" s="1"/>
    </row>
    <row r="150" spans="2:9" x14ac:dyDescent="0.25">
      <c r="B150" s="1"/>
      <c r="C150" s="2"/>
      <c r="D150" s="2"/>
      <c r="E150" s="2"/>
      <c r="F150" s="2"/>
      <c r="G150" s="2"/>
      <c r="H150" s="3"/>
      <c r="I150" s="1"/>
    </row>
    <row r="151" spans="2:9" x14ac:dyDescent="0.25">
      <c r="B151" s="1"/>
      <c r="C151" s="2"/>
      <c r="D151" s="2"/>
      <c r="E151" s="2"/>
      <c r="F151" s="2"/>
      <c r="G151" s="2"/>
      <c r="H151" s="3"/>
      <c r="I151" s="1"/>
    </row>
    <row r="152" spans="2:9" x14ac:dyDescent="0.25">
      <c r="B152" s="1"/>
      <c r="C152" s="2"/>
      <c r="D152" s="2"/>
      <c r="E152" s="2"/>
      <c r="F152" s="2"/>
      <c r="G152" s="2"/>
      <c r="H152" s="3"/>
      <c r="I152" s="1"/>
    </row>
    <row r="153" spans="2:9" x14ac:dyDescent="0.25">
      <c r="B153" s="1"/>
      <c r="C153" s="2"/>
      <c r="D153" s="2"/>
      <c r="E153" s="2"/>
      <c r="F153" s="2"/>
      <c r="G153" s="2"/>
      <c r="H153" s="3"/>
      <c r="I153" s="1"/>
    </row>
    <row r="154" spans="2:9" x14ac:dyDescent="0.25">
      <c r="B154" s="1"/>
      <c r="C154" s="2"/>
      <c r="D154" s="2"/>
      <c r="E154" s="2"/>
      <c r="F154" s="2"/>
      <c r="G154" s="2"/>
      <c r="H154" s="3"/>
      <c r="I154" s="1"/>
    </row>
    <row r="155" spans="2:9" x14ac:dyDescent="0.25">
      <c r="B155" s="1"/>
      <c r="C155" s="2"/>
      <c r="D155" s="2"/>
      <c r="E155" s="2"/>
      <c r="F155" s="2"/>
      <c r="G155" s="2"/>
      <c r="H155" s="3"/>
      <c r="I155" s="1"/>
    </row>
    <row r="156" spans="2:9" x14ac:dyDescent="0.25">
      <c r="B156" s="1"/>
      <c r="C156" s="2"/>
      <c r="D156" s="2"/>
      <c r="E156" s="2"/>
      <c r="F156" s="2"/>
      <c r="G156" s="2"/>
      <c r="H156" s="3"/>
      <c r="I156" s="1"/>
    </row>
    <row r="157" spans="2:9" x14ac:dyDescent="0.25">
      <c r="B157" s="1"/>
      <c r="C157" s="2"/>
      <c r="D157" s="2"/>
      <c r="E157" s="2"/>
      <c r="F157" s="2"/>
      <c r="G157" s="2"/>
      <c r="H157" s="3"/>
      <c r="I157" s="1"/>
    </row>
    <row r="158" spans="2:9" x14ac:dyDescent="0.25">
      <c r="B158" s="1"/>
      <c r="C158" s="2"/>
      <c r="D158" s="2"/>
      <c r="E158" s="2"/>
      <c r="F158" s="2"/>
      <c r="G158" s="2"/>
      <c r="H158" s="3"/>
      <c r="I158" s="1"/>
    </row>
    <row r="159" spans="2:9" x14ac:dyDescent="0.25">
      <c r="B159" s="1"/>
      <c r="C159" s="2"/>
      <c r="D159" s="2"/>
      <c r="E159" s="2"/>
      <c r="F159" s="2"/>
      <c r="G159" s="2"/>
      <c r="H159" s="3"/>
      <c r="I159" s="1"/>
    </row>
    <row r="160" spans="2:9" x14ac:dyDescent="0.25">
      <c r="B160" s="1"/>
      <c r="C160" s="2"/>
      <c r="D160" s="2"/>
      <c r="E160" s="2"/>
      <c r="F160" s="2"/>
      <c r="G160" s="2"/>
      <c r="H160" s="3"/>
      <c r="I160" s="1"/>
    </row>
    <row r="161" spans="2:9" x14ac:dyDescent="0.25">
      <c r="B161" s="1"/>
      <c r="C161" s="2"/>
      <c r="D161" s="2"/>
      <c r="E161" s="2"/>
      <c r="F161" s="2"/>
      <c r="G161" s="2"/>
      <c r="H161" s="3"/>
      <c r="I161" s="1"/>
    </row>
    <row r="162" spans="2:9" x14ac:dyDescent="0.25">
      <c r="B162" s="1"/>
      <c r="C162" s="2"/>
      <c r="D162" s="2"/>
      <c r="E162" s="2"/>
      <c r="F162" s="2"/>
      <c r="G162" s="2"/>
      <c r="H162" s="3"/>
      <c r="I162" s="1"/>
    </row>
    <row r="163" spans="2:9" x14ac:dyDescent="0.25">
      <c r="B163" s="1"/>
      <c r="C163" s="2"/>
      <c r="D163" s="2"/>
      <c r="E163" s="2"/>
      <c r="F163" s="2"/>
      <c r="G163" s="2"/>
      <c r="H163" s="3"/>
      <c r="I163" s="1"/>
    </row>
    <row r="164" spans="2:9" x14ac:dyDescent="0.25">
      <c r="B164" s="1"/>
      <c r="C164" s="2"/>
      <c r="D164" s="2"/>
      <c r="E164" s="2"/>
      <c r="F164" s="2"/>
      <c r="G164" s="2"/>
      <c r="H164" s="3"/>
      <c r="I164" s="1"/>
    </row>
    <row r="165" spans="2:9" x14ac:dyDescent="0.25">
      <c r="B165" s="1"/>
      <c r="C165" s="2"/>
      <c r="D165" s="2"/>
      <c r="E165" s="2"/>
      <c r="F165" s="2"/>
      <c r="G165" s="2"/>
      <c r="H165" s="3"/>
      <c r="I165" s="1"/>
    </row>
    <row r="166" spans="2:9" x14ac:dyDescent="0.25">
      <c r="B166" s="1"/>
      <c r="C166" s="2"/>
      <c r="D166" s="2"/>
      <c r="E166" s="2"/>
      <c r="F166" s="2"/>
      <c r="G166" s="2"/>
      <c r="H166" s="3"/>
      <c r="I166" s="1"/>
    </row>
    <row r="167" spans="2:9" x14ac:dyDescent="0.25">
      <c r="B167" s="1"/>
      <c r="C167" s="2"/>
      <c r="D167" s="2"/>
      <c r="E167" s="2"/>
      <c r="F167" s="2"/>
      <c r="G167" s="2"/>
      <c r="H167" s="3"/>
      <c r="I167" s="1"/>
    </row>
    <row r="168" spans="2:9" x14ac:dyDescent="0.25">
      <c r="B168" s="1"/>
      <c r="C168" s="2"/>
      <c r="D168" s="2"/>
      <c r="E168" s="2"/>
      <c r="F168" s="2"/>
      <c r="G168" s="2"/>
      <c r="H168" s="3"/>
      <c r="I168" s="1"/>
    </row>
    <row r="169" spans="2:9" x14ac:dyDescent="0.25">
      <c r="B169" s="1"/>
      <c r="C169" s="2"/>
      <c r="D169" s="2"/>
      <c r="E169" s="2"/>
      <c r="F169" s="2"/>
      <c r="G169" s="2"/>
      <c r="H169" s="3"/>
      <c r="I169" s="1"/>
    </row>
    <row r="170" spans="2:9" x14ac:dyDescent="0.25">
      <c r="B170" s="1"/>
      <c r="C170" s="2"/>
      <c r="D170" s="2"/>
      <c r="E170" s="2"/>
      <c r="F170" s="2"/>
      <c r="G170" s="2"/>
      <c r="H170" s="3"/>
      <c r="I170" s="1"/>
    </row>
    <row r="171" spans="2:9" x14ac:dyDescent="0.25">
      <c r="B171" s="1"/>
      <c r="C171" s="2"/>
      <c r="D171" s="2"/>
      <c r="E171" s="2"/>
      <c r="F171" s="2"/>
      <c r="G171" s="2"/>
      <c r="H171" s="3"/>
      <c r="I171" s="1"/>
    </row>
    <row r="172" spans="2:9" x14ac:dyDescent="0.25">
      <c r="B172" s="1"/>
      <c r="C172" s="2"/>
      <c r="D172" s="2"/>
      <c r="E172" s="2"/>
      <c r="F172" s="2"/>
      <c r="G172" s="2"/>
      <c r="H172" s="3"/>
      <c r="I172" s="1"/>
    </row>
    <row r="173" spans="2:9" x14ac:dyDescent="0.25">
      <c r="B173" s="1"/>
      <c r="C173" s="2"/>
      <c r="D173" s="2"/>
      <c r="E173" s="2"/>
      <c r="F173" s="2"/>
      <c r="G173" s="2"/>
      <c r="H173" s="3"/>
      <c r="I173" s="1"/>
    </row>
    <row r="174" spans="2:9" x14ac:dyDescent="0.25">
      <c r="B174" s="1"/>
      <c r="C174" s="2"/>
      <c r="D174" s="2"/>
      <c r="E174" s="2"/>
      <c r="F174" s="2"/>
      <c r="G174" s="2"/>
      <c r="H174" s="3"/>
      <c r="I174" s="1"/>
    </row>
    <row r="175" spans="2:9" x14ac:dyDescent="0.25">
      <c r="B175" s="1"/>
      <c r="C175" s="2"/>
      <c r="D175" s="2"/>
      <c r="E175" s="2"/>
      <c r="F175" s="2"/>
      <c r="G175" s="2"/>
      <c r="H175" s="3"/>
      <c r="I175" s="1"/>
    </row>
    <row r="176" spans="2:9" x14ac:dyDescent="0.25">
      <c r="B176" s="1"/>
      <c r="C176" s="2"/>
      <c r="D176" s="2"/>
      <c r="E176" s="2"/>
      <c r="F176" s="2"/>
      <c r="G176" s="2"/>
      <c r="H176" s="3"/>
      <c r="I176" s="1"/>
    </row>
    <row r="177" spans="1:9" x14ac:dyDescent="0.25">
      <c r="B177" s="1"/>
      <c r="C177" s="2"/>
      <c r="D177" s="2"/>
      <c r="E177" s="2"/>
      <c r="F177" s="2"/>
      <c r="G177" s="2"/>
      <c r="H177" s="3"/>
      <c r="I177" s="1"/>
    </row>
    <row r="178" spans="1:9" x14ac:dyDescent="0.25">
      <c r="B178" s="1"/>
      <c r="C178" s="2"/>
      <c r="D178" s="2"/>
      <c r="E178" s="2"/>
      <c r="F178" s="2"/>
      <c r="G178" s="2"/>
      <c r="H178" s="3"/>
      <c r="I178" s="1"/>
    </row>
    <row r="179" spans="1:9" x14ac:dyDescent="0.25">
      <c r="B179" s="1"/>
      <c r="C179" s="2"/>
      <c r="D179" s="2"/>
      <c r="E179" s="2"/>
      <c r="F179" s="2"/>
      <c r="G179" s="2"/>
      <c r="H179" s="3"/>
      <c r="I179" s="1"/>
    </row>
    <row r="180" spans="1:9" x14ac:dyDescent="0.25">
      <c r="B180" s="1"/>
      <c r="C180" s="2"/>
      <c r="D180" s="2"/>
      <c r="E180" s="2"/>
      <c r="F180" s="2"/>
      <c r="G180" s="2"/>
      <c r="H180" s="3"/>
      <c r="I180" s="1"/>
    </row>
    <row r="181" spans="1:9" x14ac:dyDescent="0.25">
      <c r="B181" s="1"/>
      <c r="C181" s="2"/>
      <c r="D181" s="2"/>
      <c r="E181" s="2"/>
      <c r="F181" s="2"/>
      <c r="G181" s="2"/>
      <c r="H181" s="3"/>
      <c r="I181" s="1"/>
    </row>
    <row r="182" spans="1:9" x14ac:dyDescent="0.25">
      <c r="B182" s="1"/>
      <c r="C182" s="2"/>
      <c r="D182" s="2"/>
      <c r="E182" s="2"/>
      <c r="F182" s="2"/>
      <c r="G182" s="2"/>
      <c r="H182" s="3"/>
      <c r="I182" s="1"/>
    </row>
    <row r="183" spans="1:9" x14ac:dyDescent="0.25">
      <c r="B183" s="1"/>
      <c r="C183" s="2"/>
      <c r="D183" s="2"/>
      <c r="E183" s="2"/>
      <c r="F183" s="2"/>
      <c r="G183" s="2"/>
      <c r="H183" s="3"/>
      <c r="I183" s="1"/>
    </row>
    <row r="184" spans="1:9" x14ac:dyDescent="0.25">
      <c r="B184" s="1"/>
      <c r="C184" s="2"/>
      <c r="D184" s="2"/>
      <c r="E184" s="2"/>
      <c r="F184" s="2"/>
      <c r="G184" s="2"/>
      <c r="H184" s="3"/>
      <c r="I184" s="1"/>
    </row>
    <row r="185" spans="1:9" x14ac:dyDescent="0.25">
      <c r="B185" s="1"/>
      <c r="C185" s="2"/>
      <c r="D185" s="2"/>
      <c r="E185" s="2"/>
      <c r="F185" s="2"/>
      <c r="G185" s="2"/>
      <c r="H185" s="3"/>
      <c r="I185" s="1"/>
    </row>
    <row r="186" spans="1:9" x14ac:dyDescent="0.25">
      <c r="B186" s="1"/>
      <c r="C186" s="2"/>
      <c r="D186" s="2"/>
      <c r="E186" s="2"/>
      <c r="F186" s="2"/>
      <c r="G186" s="2"/>
      <c r="H186" s="3"/>
      <c r="I186" s="1"/>
    </row>
    <row r="187" spans="1:9" x14ac:dyDescent="0.25">
      <c r="B187" s="1"/>
      <c r="C187" s="2"/>
      <c r="D187" s="2"/>
      <c r="E187" s="2"/>
      <c r="F187" s="2"/>
      <c r="G187" s="2"/>
      <c r="H187" s="3"/>
      <c r="I187" s="1"/>
    </row>
    <row r="188" spans="1:9" x14ac:dyDescent="0.25">
      <c r="B188" s="1"/>
      <c r="C188" s="2"/>
      <c r="D188" s="2"/>
      <c r="E188" s="2"/>
      <c r="F188" s="2"/>
      <c r="G188" s="2"/>
      <c r="H188" s="3"/>
      <c r="I188" s="1"/>
    </row>
    <row r="189" spans="1:9" x14ac:dyDescent="0.25">
      <c r="B189" s="1"/>
      <c r="C189" s="2"/>
      <c r="D189" s="2"/>
      <c r="E189" s="2"/>
      <c r="F189" s="2"/>
      <c r="G189" s="2"/>
      <c r="H189" s="3"/>
      <c r="I189" s="1"/>
    </row>
    <row r="190" spans="1:9" x14ac:dyDescent="0.25">
      <c r="A190" s="12"/>
      <c r="B190" s="17"/>
      <c r="C190" s="18"/>
      <c r="D190" s="18"/>
      <c r="E190" s="18"/>
      <c r="F190" s="18"/>
      <c r="G190" s="18"/>
      <c r="H190" s="3"/>
      <c r="I190" s="17"/>
    </row>
    <row r="191" spans="1:9" x14ac:dyDescent="0.25">
      <c r="B191" s="1"/>
      <c r="C191" s="2"/>
      <c r="D191" s="2"/>
      <c r="E191" s="2"/>
      <c r="F191" s="2"/>
      <c r="G191" s="2"/>
      <c r="H191" s="3"/>
      <c r="I191" s="1"/>
    </row>
    <row r="192" spans="1:9" x14ac:dyDescent="0.25">
      <c r="B192" s="1"/>
      <c r="C192" s="2"/>
      <c r="D192" s="2"/>
      <c r="E192" s="2"/>
      <c r="F192" s="2"/>
      <c r="G192" s="2"/>
      <c r="H192" s="3"/>
      <c r="I192" s="1"/>
    </row>
    <row r="193" spans="2:9" x14ac:dyDescent="0.25">
      <c r="B193" s="1"/>
      <c r="C193" s="2"/>
      <c r="D193" s="2"/>
      <c r="E193" s="2"/>
      <c r="F193" s="2"/>
      <c r="G193" s="2"/>
      <c r="H193" s="3"/>
      <c r="I193" s="1"/>
    </row>
    <row r="194" spans="2:9" x14ac:dyDescent="0.25">
      <c r="B194" s="1"/>
      <c r="C194" s="2"/>
      <c r="D194" s="2"/>
      <c r="E194" s="2"/>
      <c r="F194" s="2"/>
      <c r="G194" s="2"/>
      <c r="H194" s="3"/>
      <c r="I194" s="1"/>
    </row>
    <row r="195" spans="2:9" x14ac:dyDescent="0.25">
      <c r="B195" s="1"/>
      <c r="C195" s="2"/>
      <c r="D195" s="2"/>
      <c r="E195" s="2"/>
      <c r="F195" s="2"/>
      <c r="G195" s="2"/>
      <c r="H195" s="3"/>
      <c r="I195" s="1"/>
    </row>
    <row r="196" spans="2:9" x14ac:dyDescent="0.25">
      <c r="B196" s="1"/>
      <c r="C196" s="2"/>
      <c r="D196" s="2"/>
      <c r="E196" s="2"/>
      <c r="F196" s="2"/>
      <c r="G196" s="2"/>
      <c r="H196" s="3"/>
      <c r="I196" s="1"/>
    </row>
    <row r="197" spans="2:9" x14ac:dyDescent="0.25">
      <c r="B197" s="1"/>
      <c r="C197" s="2"/>
      <c r="D197" s="2"/>
      <c r="E197" s="2"/>
      <c r="F197" s="2"/>
      <c r="G197" s="2"/>
      <c r="H197" s="3"/>
      <c r="I197" s="1"/>
    </row>
    <row r="198" spans="2:9" x14ac:dyDescent="0.25">
      <c r="B198" s="1"/>
      <c r="C198" s="2"/>
      <c r="D198" s="2"/>
      <c r="E198" s="2"/>
      <c r="F198" s="2"/>
      <c r="G198" s="2"/>
      <c r="H198" s="3"/>
      <c r="I198" s="1"/>
    </row>
    <row r="199" spans="2:9" x14ac:dyDescent="0.25">
      <c r="B199" s="1"/>
      <c r="C199" s="2"/>
      <c r="D199" s="2"/>
      <c r="E199" s="2"/>
      <c r="F199" s="2"/>
      <c r="G199" s="2"/>
      <c r="H199" s="3"/>
      <c r="I199" s="1"/>
    </row>
    <row r="200" spans="2:9" x14ac:dyDescent="0.25">
      <c r="B200" s="1"/>
      <c r="C200" s="2"/>
      <c r="D200" s="2"/>
      <c r="E200" s="2"/>
      <c r="F200" s="2"/>
      <c r="G200" s="2"/>
      <c r="H200" s="3"/>
      <c r="I200" s="1"/>
    </row>
    <row r="201" spans="2:9" x14ac:dyDescent="0.25">
      <c r="B201" s="1"/>
      <c r="C201" s="2"/>
      <c r="D201" s="2"/>
      <c r="E201" s="2"/>
      <c r="F201" s="2"/>
      <c r="G201" s="2"/>
      <c r="H201" s="3"/>
      <c r="I201" s="1"/>
    </row>
    <row r="202" spans="2:9" x14ac:dyDescent="0.25">
      <c r="B202" s="1"/>
      <c r="C202" s="2"/>
      <c r="D202" s="2"/>
      <c r="E202" s="2"/>
      <c r="F202" s="2"/>
      <c r="G202" s="2"/>
      <c r="H202" s="3"/>
      <c r="I202" s="1"/>
    </row>
    <row r="203" spans="2:9" x14ac:dyDescent="0.25">
      <c r="B203" s="1"/>
      <c r="C203" s="2"/>
      <c r="D203" s="2"/>
      <c r="E203" s="2"/>
      <c r="F203" s="2"/>
      <c r="G203" s="2"/>
      <c r="H203" s="3"/>
      <c r="I203" s="1"/>
    </row>
    <row r="204" spans="2:9" x14ac:dyDescent="0.25">
      <c r="B204" s="1"/>
      <c r="C204" s="2"/>
      <c r="D204" s="2"/>
      <c r="E204" s="2"/>
      <c r="F204" s="2"/>
      <c r="G204" s="2"/>
      <c r="H204" s="3"/>
      <c r="I204" s="1"/>
    </row>
    <row r="205" spans="2:9" x14ac:dyDescent="0.25">
      <c r="B205" s="1"/>
      <c r="C205" s="2"/>
      <c r="D205" s="2"/>
      <c r="E205" s="2"/>
      <c r="F205" s="2"/>
      <c r="G205" s="2"/>
      <c r="H205" s="3"/>
      <c r="I205" s="1"/>
    </row>
    <row r="206" spans="2:9" x14ac:dyDescent="0.25">
      <c r="B206" s="1"/>
      <c r="C206" s="2"/>
      <c r="D206" s="2"/>
      <c r="E206" s="2"/>
      <c r="F206" s="2"/>
      <c r="G206" s="2"/>
      <c r="H206" s="3"/>
      <c r="I206" s="1"/>
    </row>
    <row r="207" spans="2:9" x14ac:dyDescent="0.25">
      <c r="B207" s="1"/>
      <c r="C207" s="2"/>
      <c r="D207" s="2"/>
      <c r="E207" s="2"/>
      <c r="F207" s="2"/>
      <c r="G207" s="2"/>
      <c r="H207" s="3"/>
      <c r="I207" s="1"/>
    </row>
    <row r="208" spans="2:9" x14ac:dyDescent="0.25">
      <c r="B208" s="1"/>
      <c r="C208" s="2"/>
      <c r="D208" s="2"/>
      <c r="E208" s="2"/>
      <c r="F208" s="2"/>
      <c r="G208" s="2"/>
      <c r="H208" s="3"/>
      <c r="I208" s="1"/>
    </row>
    <row r="209" spans="2:9" x14ac:dyDescent="0.25">
      <c r="B209" s="1"/>
      <c r="C209" s="2"/>
      <c r="D209" s="2"/>
      <c r="E209" s="2"/>
      <c r="F209" s="2"/>
      <c r="G209" s="2"/>
      <c r="H209" s="3"/>
      <c r="I209" s="1"/>
    </row>
    <row r="210" spans="2:9" x14ac:dyDescent="0.25">
      <c r="B210" s="1"/>
      <c r="C210" s="2"/>
      <c r="D210" s="2"/>
      <c r="E210" s="2"/>
      <c r="F210" s="2"/>
      <c r="G210" s="2"/>
      <c r="H210" s="3"/>
      <c r="I210" s="1"/>
    </row>
    <row r="211" spans="2:9" x14ac:dyDescent="0.25">
      <c r="B211" s="1"/>
      <c r="C211" s="2"/>
      <c r="D211" s="2"/>
      <c r="E211" s="2"/>
      <c r="F211" s="2"/>
      <c r="G211" s="2"/>
      <c r="H211" s="3"/>
      <c r="I211" s="1"/>
    </row>
    <row r="212" spans="2:9" x14ac:dyDescent="0.25">
      <c r="B212" s="1"/>
      <c r="C212" s="2"/>
      <c r="D212" s="2"/>
      <c r="E212" s="2"/>
      <c r="F212" s="2"/>
      <c r="G212" s="2"/>
      <c r="H212" s="3"/>
      <c r="I212" s="1"/>
    </row>
    <row r="213" spans="2:9" x14ac:dyDescent="0.25">
      <c r="B213" s="1"/>
      <c r="C213" s="2"/>
      <c r="D213" s="2"/>
      <c r="E213" s="2"/>
      <c r="F213" s="2"/>
      <c r="G213" s="2"/>
      <c r="H213" s="3"/>
      <c r="I213" s="1"/>
    </row>
    <row r="214" spans="2:9" x14ac:dyDescent="0.25">
      <c r="B214" s="1"/>
      <c r="C214" s="2"/>
      <c r="D214" s="2"/>
      <c r="E214" s="2"/>
      <c r="F214" s="2"/>
      <c r="G214" s="2"/>
      <c r="H214" s="3"/>
      <c r="I214" s="1"/>
    </row>
    <row r="215" spans="2:9" x14ac:dyDescent="0.25">
      <c r="B215" s="1"/>
      <c r="C215" s="2"/>
      <c r="D215" s="2"/>
      <c r="E215" s="2"/>
      <c r="F215" s="2"/>
      <c r="G215" s="2"/>
      <c r="H215" s="3"/>
      <c r="I215" s="1"/>
    </row>
    <row r="216" spans="2:9" x14ac:dyDescent="0.25">
      <c r="B216" s="1"/>
      <c r="C216" s="2"/>
      <c r="D216" s="2"/>
      <c r="E216" s="2"/>
      <c r="F216" s="2"/>
      <c r="G216" s="2"/>
      <c r="H216" s="3"/>
      <c r="I216" s="1"/>
    </row>
    <row r="217" spans="2:9" x14ac:dyDescent="0.25">
      <c r="B217" s="1"/>
      <c r="C217" s="2"/>
      <c r="D217" s="2"/>
      <c r="E217" s="2"/>
      <c r="F217" s="2"/>
      <c r="G217" s="2"/>
      <c r="H217" s="3"/>
      <c r="I217" s="1"/>
    </row>
    <row r="218" spans="2:9" x14ac:dyDescent="0.25">
      <c r="B218" s="1"/>
      <c r="C218" s="2"/>
      <c r="D218" s="2"/>
      <c r="E218" s="2"/>
      <c r="F218" s="2"/>
      <c r="G218" s="2"/>
      <c r="H218" s="3"/>
      <c r="I218" s="1"/>
    </row>
    <row r="219" spans="2:9" x14ac:dyDescent="0.25">
      <c r="B219" s="1"/>
      <c r="C219" s="2"/>
      <c r="D219" s="2"/>
      <c r="E219" s="2"/>
      <c r="F219" s="2"/>
      <c r="G219" s="2"/>
      <c r="H219" s="3"/>
      <c r="I219" s="1"/>
    </row>
    <row r="220" spans="2:9" x14ac:dyDescent="0.25">
      <c r="B220" s="1"/>
      <c r="C220" s="2"/>
      <c r="D220" s="2"/>
      <c r="E220" s="2"/>
      <c r="F220" s="2"/>
      <c r="G220" s="2"/>
      <c r="H220" s="3"/>
      <c r="I220" s="1"/>
    </row>
    <row r="221" spans="2:9" x14ac:dyDescent="0.25">
      <c r="B221" s="1"/>
      <c r="C221" s="2"/>
      <c r="D221" s="2"/>
      <c r="E221" s="2"/>
      <c r="F221" s="2"/>
      <c r="G221" s="2"/>
      <c r="H221" s="3"/>
      <c r="I221" s="1"/>
    </row>
    <row r="222" spans="2:9" x14ac:dyDescent="0.25">
      <c r="B222" s="1"/>
      <c r="C222" s="2"/>
      <c r="D222" s="2"/>
      <c r="E222" s="2"/>
      <c r="F222" s="2"/>
      <c r="G222" s="2"/>
      <c r="H222" s="3"/>
      <c r="I222" s="1"/>
    </row>
    <row r="223" spans="2:9" x14ac:dyDescent="0.25">
      <c r="B223" s="1"/>
      <c r="C223" s="2"/>
      <c r="D223" s="2"/>
      <c r="E223" s="2"/>
      <c r="F223" s="2"/>
      <c r="G223" s="2"/>
      <c r="H223" s="3"/>
      <c r="I223" s="1"/>
    </row>
    <row r="224" spans="2:9" x14ac:dyDescent="0.25">
      <c r="B224" s="1"/>
      <c r="C224" s="2"/>
      <c r="D224" s="2"/>
      <c r="E224" s="2"/>
      <c r="F224" s="2"/>
      <c r="G224" s="2"/>
      <c r="H224" s="3"/>
      <c r="I224" s="1"/>
    </row>
    <row r="225" spans="2:9" x14ac:dyDescent="0.25">
      <c r="B225" s="1"/>
      <c r="C225" s="2"/>
      <c r="D225" s="2"/>
      <c r="E225" s="2"/>
      <c r="F225" s="2"/>
      <c r="G225" s="2"/>
      <c r="H225" s="3"/>
      <c r="I225" s="1"/>
    </row>
    <row r="226" spans="2:9" x14ac:dyDescent="0.25">
      <c r="B226" s="1"/>
      <c r="C226" s="2"/>
      <c r="D226" s="2"/>
      <c r="E226" s="2"/>
      <c r="F226" s="2"/>
      <c r="G226" s="2"/>
      <c r="H226" s="3"/>
      <c r="I226" s="1"/>
    </row>
    <row r="227" spans="2:9" x14ac:dyDescent="0.25">
      <c r="B227" s="1"/>
      <c r="C227" s="2"/>
      <c r="D227" s="2"/>
      <c r="E227" s="2"/>
      <c r="F227" s="2"/>
      <c r="G227" s="2"/>
      <c r="H227" s="3"/>
      <c r="I227" s="1"/>
    </row>
    <row r="228" spans="2:9" x14ac:dyDescent="0.25">
      <c r="B228" s="1"/>
      <c r="C228" s="2"/>
      <c r="D228" s="2"/>
      <c r="E228" s="2"/>
      <c r="F228" s="2"/>
      <c r="G228" s="2"/>
      <c r="H228" s="3"/>
      <c r="I228" s="1"/>
    </row>
    <row r="229" spans="2:9" x14ac:dyDescent="0.25">
      <c r="B229" s="1"/>
      <c r="C229" s="2"/>
      <c r="D229" s="2"/>
      <c r="E229" s="2"/>
      <c r="F229" s="2"/>
      <c r="G229" s="2"/>
      <c r="H229" s="3"/>
      <c r="I229" s="1"/>
    </row>
    <row r="230" spans="2:9" x14ac:dyDescent="0.25">
      <c r="B230" s="1"/>
      <c r="C230" s="2"/>
      <c r="D230" s="2"/>
      <c r="E230" s="2"/>
      <c r="F230" s="2"/>
      <c r="G230" s="2"/>
      <c r="H230" s="3"/>
      <c r="I230" s="1"/>
    </row>
    <row r="231" spans="2:9" x14ac:dyDescent="0.25">
      <c r="B231" s="1"/>
      <c r="C231" s="2"/>
      <c r="D231" s="2"/>
      <c r="E231" s="2"/>
      <c r="F231" s="2"/>
      <c r="G231" s="2"/>
      <c r="H231" s="3"/>
      <c r="I231" s="1"/>
    </row>
    <row r="232" spans="2:9" x14ac:dyDescent="0.25">
      <c r="B232" s="1"/>
      <c r="C232" s="2"/>
      <c r="D232" s="2"/>
      <c r="E232" s="2"/>
      <c r="F232" s="2"/>
      <c r="G232" s="2"/>
      <c r="H232" s="3"/>
      <c r="I232" s="1"/>
    </row>
    <row r="233" spans="2:9" x14ac:dyDescent="0.25">
      <c r="B233" s="1"/>
      <c r="C233" s="2"/>
      <c r="D233" s="2"/>
      <c r="E233" s="2"/>
      <c r="F233" s="2"/>
      <c r="G233" s="2"/>
      <c r="H233" s="3"/>
      <c r="I233" s="1"/>
    </row>
    <row r="234" spans="2:9" x14ac:dyDescent="0.25">
      <c r="B234" s="1"/>
      <c r="C234" s="2"/>
      <c r="D234" s="2"/>
      <c r="E234" s="2"/>
      <c r="F234" s="2"/>
      <c r="G234" s="2"/>
      <c r="H234" s="3"/>
      <c r="I234" s="1"/>
    </row>
    <row r="235" spans="2:9" x14ac:dyDescent="0.25">
      <c r="B235" s="1"/>
      <c r="C235" s="2"/>
      <c r="D235" s="2"/>
      <c r="E235" s="2"/>
      <c r="F235" s="2"/>
      <c r="G235" s="2"/>
      <c r="H235" s="3"/>
      <c r="I235" s="1"/>
    </row>
    <row r="236" spans="2:9" x14ac:dyDescent="0.25">
      <c r="B236" s="1"/>
      <c r="C236" s="2"/>
      <c r="D236" s="2"/>
      <c r="E236" s="2"/>
      <c r="F236" s="2"/>
      <c r="G236" s="2"/>
      <c r="H236" s="3"/>
      <c r="I236" s="1"/>
    </row>
    <row r="237" spans="2:9" x14ac:dyDescent="0.25">
      <c r="B237" s="1"/>
      <c r="C237" s="2"/>
      <c r="D237" s="2"/>
      <c r="E237" s="2"/>
      <c r="F237" s="2"/>
      <c r="G237" s="2"/>
      <c r="H237" s="3"/>
      <c r="I237" s="1"/>
    </row>
    <row r="238" spans="2:9" x14ac:dyDescent="0.25">
      <c r="B238" s="1"/>
      <c r="C238" s="2"/>
      <c r="D238" s="2"/>
      <c r="E238" s="2"/>
      <c r="F238" s="2"/>
      <c r="G238" s="2"/>
      <c r="H238" s="3"/>
      <c r="I238" s="1"/>
    </row>
    <row r="239" spans="2:9" x14ac:dyDescent="0.25">
      <c r="B239" s="1"/>
      <c r="C239" s="2"/>
      <c r="D239" s="2"/>
      <c r="E239" s="2"/>
      <c r="F239" s="2"/>
      <c r="G239" s="2"/>
      <c r="H239" s="3"/>
      <c r="I239" s="1"/>
    </row>
    <row r="240" spans="2:9" x14ac:dyDescent="0.25">
      <c r="B240" s="1"/>
      <c r="C240" s="2"/>
      <c r="D240" s="2"/>
      <c r="E240" s="2"/>
      <c r="F240" s="2"/>
      <c r="G240" s="2"/>
      <c r="H240" s="3"/>
      <c r="I240" s="1"/>
    </row>
    <row r="241" spans="2:9" x14ac:dyDescent="0.25">
      <c r="B241" s="1"/>
      <c r="C241" s="2"/>
      <c r="D241" s="2"/>
      <c r="E241" s="2"/>
      <c r="F241" s="2"/>
      <c r="G241" s="2"/>
      <c r="H241" s="3"/>
      <c r="I241" s="1"/>
    </row>
    <row r="242" spans="2:9" x14ac:dyDescent="0.25">
      <c r="B242" s="1"/>
      <c r="C242" s="2"/>
      <c r="D242" s="2"/>
      <c r="E242" s="2"/>
      <c r="F242" s="2"/>
      <c r="G242" s="2"/>
      <c r="H242" s="3"/>
      <c r="I242" s="1"/>
    </row>
    <row r="243" spans="2:9" x14ac:dyDescent="0.25">
      <c r="B243" s="1"/>
      <c r="C243" s="2"/>
      <c r="D243" s="2"/>
      <c r="E243" s="2"/>
      <c r="F243" s="2"/>
      <c r="G243" s="2"/>
      <c r="H243" s="3"/>
      <c r="I243" s="1"/>
    </row>
    <row r="244" spans="2:9" x14ac:dyDescent="0.25">
      <c r="B244" s="1"/>
      <c r="C244" s="2"/>
      <c r="D244" s="2"/>
      <c r="E244" s="2"/>
      <c r="F244" s="2"/>
      <c r="G244" s="2"/>
      <c r="H244" s="3"/>
      <c r="I244" s="1"/>
    </row>
    <row r="245" spans="2:9" x14ac:dyDescent="0.25">
      <c r="B245" s="1"/>
      <c r="C245" s="2"/>
      <c r="D245" s="2"/>
      <c r="E245" s="2"/>
      <c r="F245" s="2"/>
      <c r="G245" s="2"/>
      <c r="H245" s="3"/>
      <c r="I245" s="1"/>
    </row>
    <row r="246" spans="2:9" x14ac:dyDescent="0.25">
      <c r="B246" s="1"/>
      <c r="C246" s="2"/>
      <c r="D246" s="2"/>
      <c r="E246" s="2"/>
      <c r="F246" s="2"/>
      <c r="G246" s="2"/>
      <c r="H246" s="3"/>
      <c r="I246" s="1"/>
    </row>
    <row r="247" spans="2:9" x14ac:dyDescent="0.25">
      <c r="B247" s="1"/>
      <c r="C247" s="2"/>
      <c r="D247" s="2"/>
      <c r="E247" s="2"/>
      <c r="F247" s="2"/>
      <c r="G247" s="2"/>
      <c r="H247" s="3"/>
      <c r="I247" s="1"/>
    </row>
    <row r="248" spans="2:9" x14ac:dyDescent="0.25">
      <c r="B248" s="1"/>
      <c r="C248" s="2"/>
      <c r="D248" s="2"/>
      <c r="E248" s="2"/>
      <c r="F248" s="2"/>
      <c r="G248" s="2"/>
      <c r="H248" s="3"/>
      <c r="I248" s="1"/>
    </row>
    <row r="249" spans="2:9" x14ac:dyDescent="0.25">
      <c r="B249" s="1"/>
      <c r="C249" s="2"/>
      <c r="D249" s="2"/>
      <c r="E249" s="2"/>
      <c r="F249" s="2"/>
      <c r="G249" s="2"/>
      <c r="H249" s="3"/>
      <c r="I249" s="1"/>
    </row>
    <row r="250" spans="2:9" x14ac:dyDescent="0.25">
      <c r="B250" s="1"/>
      <c r="C250" s="2"/>
      <c r="D250" s="2"/>
      <c r="E250" s="2"/>
      <c r="F250" s="2"/>
      <c r="G250" s="2"/>
      <c r="H250" s="3"/>
      <c r="I250" s="1"/>
    </row>
    <row r="251" spans="2:9" x14ac:dyDescent="0.25">
      <c r="B251" s="1"/>
      <c r="C251" s="2"/>
      <c r="D251" s="2"/>
      <c r="E251" s="2"/>
      <c r="F251" s="2"/>
      <c r="G251" s="2"/>
      <c r="H251" s="3"/>
      <c r="I251" s="1"/>
    </row>
    <row r="252" spans="2:9" x14ac:dyDescent="0.25">
      <c r="B252" s="1"/>
      <c r="C252" s="2"/>
      <c r="D252" s="2"/>
      <c r="E252" s="2"/>
      <c r="F252" s="2"/>
      <c r="G252" s="2"/>
      <c r="H252" s="3"/>
      <c r="I252" s="1"/>
    </row>
    <row r="253" spans="2:9" x14ac:dyDescent="0.25">
      <c r="B253" s="1"/>
      <c r="C253" s="2"/>
      <c r="D253" s="2"/>
      <c r="E253" s="2"/>
      <c r="F253" s="2"/>
      <c r="G253" s="2"/>
      <c r="H253" s="3"/>
      <c r="I253" s="1"/>
    </row>
    <row r="254" spans="2:9" x14ac:dyDescent="0.25">
      <c r="B254" s="1"/>
      <c r="C254" s="2"/>
      <c r="D254" s="2"/>
      <c r="E254" s="2"/>
      <c r="F254" s="2"/>
      <c r="G254" s="2"/>
      <c r="H254" s="3"/>
      <c r="I254" s="1"/>
    </row>
    <row r="255" spans="2:9" x14ac:dyDescent="0.25">
      <c r="B255" s="1"/>
      <c r="C255" s="2"/>
      <c r="D255" s="2"/>
      <c r="E255" s="2"/>
      <c r="F255" s="2"/>
      <c r="G255" s="2"/>
      <c r="H255" s="3"/>
      <c r="I255" s="1"/>
    </row>
    <row r="256" spans="2:9" x14ac:dyDescent="0.25">
      <c r="B256" s="1"/>
      <c r="C256" s="2"/>
      <c r="D256" s="2"/>
      <c r="E256" s="2"/>
      <c r="F256" s="2"/>
      <c r="G256" s="2"/>
      <c r="H256" s="3"/>
      <c r="I256" s="1"/>
    </row>
    <row r="257" spans="2:9" x14ac:dyDescent="0.25">
      <c r="B257" s="1"/>
      <c r="C257" s="2"/>
      <c r="D257" s="2"/>
      <c r="E257" s="2"/>
      <c r="F257" s="2"/>
      <c r="G257" s="2"/>
      <c r="H257" s="3"/>
      <c r="I257" s="1"/>
    </row>
    <row r="258" spans="2:9" x14ac:dyDescent="0.25">
      <c r="B258" s="1"/>
      <c r="C258" s="2"/>
      <c r="D258" s="2"/>
      <c r="E258" s="2"/>
      <c r="F258" s="2"/>
      <c r="G258" s="2"/>
      <c r="H258" s="3"/>
      <c r="I258" s="1"/>
    </row>
    <row r="259" spans="2:9" x14ac:dyDescent="0.25">
      <c r="B259" s="1"/>
      <c r="C259" s="2"/>
      <c r="D259" s="2"/>
      <c r="E259" s="2"/>
      <c r="F259" s="2"/>
      <c r="G259" s="2"/>
      <c r="H259" s="3"/>
      <c r="I259" s="1"/>
    </row>
    <row r="260" spans="2:9" x14ac:dyDescent="0.25">
      <c r="B260" s="1"/>
      <c r="C260" s="2"/>
      <c r="D260" s="2"/>
      <c r="E260" s="2"/>
      <c r="F260" s="2"/>
      <c r="G260" s="2"/>
      <c r="H260" s="3"/>
      <c r="I260" s="1"/>
    </row>
    <row r="261" spans="2:9" x14ac:dyDescent="0.25">
      <c r="B261" s="1"/>
      <c r="C261" s="2"/>
      <c r="D261" s="2"/>
      <c r="E261" s="2"/>
      <c r="F261" s="2"/>
      <c r="G261" s="2"/>
      <c r="H261" s="3"/>
      <c r="I261" s="1"/>
    </row>
    <row r="262" spans="2:9" x14ac:dyDescent="0.25">
      <c r="B262" s="1"/>
      <c r="C262" s="2"/>
      <c r="D262" s="2"/>
      <c r="E262" s="2"/>
      <c r="F262" s="2"/>
      <c r="G262" s="2"/>
      <c r="H262" s="3"/>
      <c r="I262" s="1"/>
    </row>
    <row r="263" spans="2:9" x14ac:dyDescent="0.25">
      <c r="B263" s="1"/>
      <c r="C263" s="2"/>
      <c r="D263" s="2"/>
      <c r="E263" s="2"/>
      <c r="F263" s="2"/>
      <c r="G263" s="2"/>
      <c r="H263" s="3"/>
      <c r="I263" s="1"/>
    </row>
    <row r="264" spans="2:9" x14ac:dyDescent="0.25">
      <c r="B264" s="1"/>
      <c r="C264" s="2"/>
      <c r="D264" s="2"/>
      <c r="E264" s="2"/>
      <c r="F264" s="2"/>
      <c r="G264" s="2"/>
      <c r="H264" s="3"/>
      <c r="I264" s="1"/>
    </row>
    <row r="265" spans="2:9" x14ac:dyDescent="0.25">
      <c r="B265" s="1"/>
      <c r="C265" s="2"/>
      <c r="D265" s="2"/>
      <c r="E265" s="2"/>
      <c r="F265" s="2"/>
      <c r="G265" s="2"/>
      <c r="H265" s="3"/>
      <c r="I265" s="1"/>
    </row>
    <row r="266" spans="2:9" x14ac:dyDescent="0.25">
      <c r="B266" s="1"/>
      <c r="C266" s="2"/>
      <c r="D266" s="2"/>
      <c r="E266" s="2"/>
      <c r="F266" s="2"/>
      <c r="G266" s="2"/>
      <c r="H266" s="3"/>
      <c r="I266" s="1"/>
    </row>
    <row r="267" spans="2:9" x14ac:dyDescent="0.25">
      <c r="B267" s="1"/>
      <c r="C267" s="2"/>
      <c r="D267" s="2"/>
      <c r="E267" s="2"/>
      <c r="F267" s="2"/>
      <c r="G267" s="2"/>
      <c r="H267" s="3"/>
      <c r="I267" s="1"/>
    </row>
    <row r="268" spans="2:9" x14ac:dyDescent="0.25">
      <c r="B268" s="1"/>
      <c r="C268" s="2"/>
      <c r="D268" s="2"/>
      <c r="E268" s="2"/>
      <c r="F268" s="2"/>
      <c r="G268" s="2"/>
      <c r="H268" s="3"/>
      <c r="I268" s="1"/>
    </row>
    <row r="269" spans="2:9" x14ac:dyDescent="0.25">
      <c r="B269" s="1"/>
      <c r="C269" s="2"/>
      <c r="D269" s="2"/>
      <c r="E269" s="2"/>
      <c r="F269" s="2"/>
      <c r="G269" s="2"/>
      <c r="H269" s="3"/>
      <c r="I269" s="1"/>
    </row>
    <row r="270" spans="2:9" x14ac:dyDescent="0.25">
      <c r="B270" s="1"/>
      <c r="C270" s="2"/>
      <c r="D270" s="2"/>
      <c r="E270" s="2"/>
      <c r="F270" s="2"/>
      <c r="G270" s="2"/>
      <c r="H270" s="3"/>
      <c r="I270" s="1"/>
    </row>
    <row r="271" spans="2:9" x14ac:dyDescent="0.25">
      <c r="B271" s="1"/>
      <c r="C271" s="2"/>
      <c r="D271" s="2"/>
      <c r="E271" s="2"/>
      <c r="F271" s="2"/>
      <c r="G271" s="2"/>
      <c r="H271" s="3"/>
      <c r="I271" s="1"/>
    </row>
    <row r="272" spans="2:9" x14ac:dyDescent="0.25">
      <c r="B272" s="1"/>
      <c r="C272" s="2"/>
      <c r="D272" s="2"/>
      <c r="E272" s="2"/>
      <c r="F272" s="2"/>
      <c r="G272" s="2"/>
      <c r="H272" s="3"/>
      <c r="I272" s="1"/>
    </row>
    <row r="273" spans="2:9" x14ac:dyDescent="0.25">
      <c r="B273" s="1"/>
      <c r="C273" s="2"/>
      <c r="D273" s="2"/>
      <c r="E273" s="2"/>
      <c r="F273" s="2"/>
      <c r="G273" s="2"/>
      <c r="H273" s="3"/>
      <c r="I273" s="1"/>
    </row>
    <row r="274" spans="2:9" x14ac:dyDescent="0.25">
      <c r="B274" s="1"/>
      <c r="C274" s="2"/>
      <c r="D274" s="2"/>
      <c r="E274" s="2"/>
      <c r="F274" s="2"/>
      <c r="G274" s="2"/>
      <c r="H274" s="3"/>
      <c r="I274" s="1"/>
    </row>
    <row r="275" spans="2:9" x14ac:dyDescent="0.25">
      <c r="B275" s="1"/>
      <c r="C275" s="2"/>
      <c r="D275" s="2"/>
      <c r="E275" s="2"/>
      <c r="F275" s="2"/>
      <c r="G275" s="2"/>
      <c r="H275" s="3"/>
      <c r="I275" s="1"/>
    </row>
    <row r="276" spans="2:9" x14ac:dyDescent="0.25">
      <c r="B276" s="1"/>
      <c r="C276" s="2"/>
      <c r="D276" s="2"/>
      <c r="E276" s="2"/>
      <c r="F276" s="2"/>
      <c r="G276" s="2"/>
      <c r="H276" s="3"/>
      <c r="I276" s="1"/>
    </row>
    <row r="277" spans="2:9" x14ac:dyDescent="0.25">
      <c r="B277" s="1"/>
      <c r="C277" s="2"/>
      <c r="D277" s="2"/>
      <c r="E277" s="2"/>
      <c r="F277" s="2"/>
      <c r="G277" s="2"/>
      <c r="H277" s="3"/>
      <c r="I277" s="1"/>
    </row>
    <row r="278" spans="2:9" x14ac:dyDescent="0.25">
      <c r="B278" s="1"/>
      <c r="C278" s="2"/>
      <c r="D278" s="2"/>
      <c r="E278" s="2"/>
      <c r="F278" s="2"/>
      <c r="G278" s="2"/>
      <c r="H278" s="3"/>
      <c r="I278" s="1"/>
    </row>
    <row r="279" spans="2:9" x14ac:dyDescent="0.25">
      <c r="B279" s="1"/>
      <c r="C279" s="2"/>
      <c r="D279" s="2"/>
      <c r="E279" s="2"/>
      <c r="F279" s="2"/>
      <c r="G279" s="2"/>
      <c r="H279" s="3"/>
      <c r="I279" s="1"/>
    </row>
    <row r="280" spans="2:9" x14ac:dyDescent="0.25">
      <c r="B280" s="1"/>
      <c r="C280" s="2"/>
      <c r="D280" s="2"/>
      <c r="E280" s="2"/>
      <c r="F280" s="2"/>
      <c r="G280" s="2"/>
      <c r="H280" s="3"/>
      <c r="I280" s="1"/>
    </row>
    <row r="281" spans="2:9" x14ac:dyDescent="0.25">
      <c r="B281" s="1"/>
      <c r="C281" s="2"/>
      <c r="D281" s="2"/>
      <c r="E281" s="2"/>
      <c r="F281" s="2"/>
      <c r="G281" s="2"/>
      <c r="H281" s="3"/>
      <c r="I281" s="1"/>
    </row>
    <row r="282" spans="2:9" x14ac:dyDescent="0.25">
      <c r="B282" s="1"/>
      <c r="C282" s="2"/>
      <c r="D282" s="2"/>
      <c r="E282" s="2"/>
      <c r="F282" s="2"/>
      <c r="G282" s="2"/>
      <c r="H282" s="3"/>
      <c r="I282" s="1"/>
    </row>
    <row r="283" spans="2:9" x14ac:dyDescent="0.25">
      <c r="B283" s="1"/>
      <c r="C283" s="2"/>
      <c r="D283" s="2"/>
      <c r="E283" s="2"/>
      <c r="F283" s="2"/>
      <c r="G283" s="2"/>
      <c r="H283" s="3"/>
      <c r="I283" s="1"/>
    </row>
    <row r="284" spans="2:9" x14ac:dyDescent="0.25">
      <c r="B284" s="1"/>
      <c r="C284" s="2"/>
      <c r="D284" s="2"/>
      <c r="E284" s="2"/>
      <c r="F284" s="2"/>
      <c r="G284" s="2"/>
      <c r="H284" s="3"/>
      <c r="I284" s="1"/>
    </row>
    <row r="285" spans="2:9" x14ac:dyDescent="0.25">
      <c r="B285" s="1"/>
      <c r="C285" s="2"/>
      <c r="D285" s="2"/>
      <c r="E285" s="2"/>
      <c r="F285" s="2"/>
      <c r="G285" s="2"/>
      <c r="H285" s="3"/>
      <c r="I285" s="1"/>
    </row>
    <row r="286" spans="2:9" x14ac:dyDescent="0.25">
      <c r="B286" s="1"/>
      <c r="C286" s="2"/>
      <c r="D286" s="2"/>
      <c r="E286" s="2"/>
      <c r="F286" s="2"/>
      <c r="G286" s="2"/>
      <c r="H286" s="3"/>
      <c r="I286" s="1"/>
    </row>
    <row r="287" spans="2:9" x14ac:dyDescent="0.25">
      <c r="B287" s="1"/>
      <c r="C287" s="2"/>
      <c r="D287" s="2"/>
      <c r="E287" s="2"/>
      <c r="F287" s="2"/>
      <c r="G287" s="2"/>
      <c r="H287" s="3"/>
      <c r="I287" s="1"/>
    </row>
    <row r="288" spans="2:9" x14ac:dyDescent="0.25">
      <c r="B288" s="1"/>
      <c r="C288" s="2"/>
      <c r="D288" s="2"/>
      <c r="E288" s="2"/>
      <c r="F288" s="2"/>
      <c r="G288" s="2"/>
      <c r="H288" s="3"/>
      <c r="I288" s="1"/>
    </row>
    <row r="289" spans="2:9" x14ac:dyDescent="0.25">
      <c r="B289" s="1"/>
      <c r="C289" s="2"/>
      <c r="D289" s="2"/>
      <c r="E289" s="2"/>
      <c r="F289" s="2"/>
      <c r="G289" s="2"/>
      <c r="H289" s="3"/>
      <c r="I289" s="1"/>
    </row>
    <row r="290" spans="2:9" x14ac:dyDescent="0.25">
      <c r="B290" s="1"/>
      <c r="C290" s="2"/>
      <c r="D290" s="2"/>
      <c r="E290" s="2"/>
      <c r="F290" s="2"/>
      <c r="G290" s="2"/>
      <c r="H290" s="3"/>
      <c r="I290" s="1"/>
    </row>
    <row r="291" spans="2:9" x14ac:dyDescent="0.25">
      <c r="B291" s="1"/>
      <c r="C291" s="2"/>
      <c r="D291" s="2"/>
      <c r="E291" s="2"/>
      <c r="F291" s="2"/>
      <c r="G291" s="2"/>
      <c r="H291" s="3"/>
      <c r="I291" s="1"/>
    </row>
    <row r="292" spans="2:9" x14ac:dyDescent="0.25">
      <c r="B292" s="1"/>
      <c r="C292" s="2"/>
      <c r="D292" s="2"/>
      <c r="E292" s="2"/>
      <c r="F292" s="2"/>
      <c r="G292" s="2"/>
      <c r="H292" s="3"/>
      <c r="I292" s="1"/>
    </row>
    <row r="293" spans="2:9" x14ac:dyDescent="0.25">
      <c r="B293" s="1"/>
      <c r="C293" s="2"/>
      <c r="D293" s="2"/>
      <c r="E293" s="2"/>
      <c r="F293" s="2"/>
      <c r="G293" s="2"/>
      <c r="H293" s="3"/>
      <c r="I293" s="1"/>
    </row>
    <row r="294" spans="2:9" x14ac:dyDescent="0.25">
      <c r="B294" s="1"/>
      <c r="C294" s="2"/>
      <c r="D294" s="2"/>
      <c r="E294" s="2"/>
      <c r="F294" s="2"/>
      <c r="G294" s="2"/>
      <c r="H294" s="3"/>
      <c r="I294" s="1"/>
    </row>
    <row r="295" spans="2:9" x14ac:dyDescent="0.25">
      <c r="B295" s="1"/>
      <c r="C295" s="2"/>
      <c r="D295" s="2"/>
      <c r="E295" s="2"/>
      <c r="F295" s="2"/>
      <c r="G295" s="2"/>
      <c r="H295" s="3"/>
      <c r="I295" s="1"/>
    </row>
    <row r="296" spans="2:9" x14ac:dyDescent="0.25">
      <c r="B296" s="1"/>
      <c r="C296" s="2"/>
      <c r="D296" s="2"/>
      <c r="E296" s="2"/>
      <c r="F296" s="2"/>
      <c r="G296" s="2"/>
      <c r="H296" s="3"/>
      <c r="I296" s="1"/>
    </row>
    <row r="297" spans="2:9" x14ac:dyDescent="0.25">
      <c r="B297" s="1"/>
      <c r="C297" s="2"/>
      <c r="D297" s="2"/>
      <c r="E297" s="2"/>
      <c r="F297" s="2"/>
      <c r="G297" s="2"/>
      <c r="H297" s="3"/>
      <c r="I297" s="1"/>
    </row>
    <row r="298" spans="2:9" x14ac:dyDescent="0.25">
      <c r="B298" s="1"/>
      <c r="C298" s="2"/>
      <c r="D298" s="2"/>
      <c r="E298" s="2"/>
      <c r="F298" s="2"/>
      <c r="G298" s="2"/>
      <c r="H298" s="3"/>
      <c r="I298" s="1"/>
    </row>
    <row r="299" spans="2:9" x14ac:dyDescent="0.25">
      <c r="B299" s="1"/>
      <c r="C299" s="2"/>
      <c r="D299" s="2"/>
      <c r="E299" s="2"/>
      <c r="F299" s="2"/>
      <c r="G299" s="2"/>
      <c r="H299" s="3"/>
      <c r="I299" s="1"/>
    </row>
    <row r="300" spans="2:9" x14ac:dyDescent="0.25">
      <c r="B300" s="1"/>
      <c r="C300" s="2"/>
      <c r="D300" s="2"/>
      <c r="E300" s="2"/>
      <c r="F300" s="2"/>
      <c r="G300" s="2"/>
      <c r="H300" s="3"/>
      <c r="I300" s="1"/>
    </row>
    <row r="301" spans="2:9" x14ac:dyDescent="0.25">
      <c r="B301" s="1"/>
      <c r="C301" s="2"/>
      <c r="D301" s="2"/>
      <c r="E301" s="2"/>
      <c r="F301" s="2"/>
      <c r="G301" s="2"/>
      <c r="H301" s="3"/>
      <c r="I301" s="1"/>
    </row>
    <row r="302" spans="2:9" x14ac:dyDescent="0.25">
      <c r="B302" s="1"/>
      <c r="C302" s="2"/>
      <c r="D302" s="2"/>
      <c r="E302" s="2"/>
      <c r="F302" s="2"/>
      <c r="G302" s="2"/>
      <c r="H302" s="3"/>
      <c r="I302" s="1"/>
    </row>
    <row r="303" spans="2:9" x14ac:dyDescent="0.25">
      <c r="B303" s="1"/>
      <c r="C303" s="2"/>
      <c r="D303" s="2"/>
      <c r="E303" s="2"/>
      <c r="F303" s="2"/>
      <c r="G303" s="2"/>
      <c r="H303" s="3"/>
      <c r="I303" s="1"/>
    </row>
    <row r="304" spans="2:9" x14ac:dyDescent="0.25">
      <c r="B304" s="1"/>
      <c r="C304" s="2"/>
      <c r="D304" s="2"/>
      <c r="E304" s="2"/>
      <c r="F304" s="2"/>
      <c r="G304" s="2"/>
      <c r="H304" s="3"/>
      <c r="I304" s="1"/>
    </row>
    <row r="305" spans="2:9" x14ac:dyDescent="0.25">
      <c r="B305" s="1"/>
      <c r="C305" s="2"/>
      <c r="D305" s="2"/>
      <c r="E305" s="2"/>
      <c r="F305" s="2"/>
      <c r="G305" s="2"/>
      <c r="H305" s="3"/>
      <c r="I305" s="1"/>
    </row>
    <row r="306" spans="2:9" x14ac:dyDescent="0.25">
      <c r="B306" s="1"/>
      <c r="C306" s="2"/>
      <c r="D306" s="2"/>
      <c r="E306" s="2"/>
      <c r="F306" s="2"/>
      <c r="G306" s="2"/>
      <c r="H306" s="3"/>
      <c r="I306" s="1"/>
    </row>
    <row r="307" spans="2:9" x14ac:dyDescent="0.25">
      <c r="B307" s="1"/>
      <c r="C307" s="2"/>
      <c r="D307" s="2"/>
      <c r="E307" s="2"/>
      <c r="F307" s="2"/>
      <c r="G307" s="2"/>
      <c r="H307" s="3"/>
      <c r="I307" s="1"/>
    </row>
    <row r="308" spans="2:9" x14ac:dyDescent="0.25">
      <c r="B308" s="1"/>
      <c r="C308" s="2"/>
      <c r="D308" s="2"/>
      <c r="E308" s="2"/>
      <c r="F308" s="2"/>
      <c r="G308" s="2"/>
      <c r="H308" s="3"/>
      <c r="I308" s="1"/>
    </row>
    <row r="309" spans="2:9" x14ac:dyDescent="0.25">
      <c r="B309" s="1"/>
      <c r="C309" s="2"/>
      <c r="D309" s="2"/>
      <c r="E309" s="2"/>
      <c r="F309" s="2"/>
      <c r="G309" s="2"/>
      <c r="H309" s="3"/>
      <c r="I309" s="1"/>
    </row>
    <row r="310" spans="2:9" x14ac:dyDescent="0.25">
      <c r="B310" s="1"/>
      <c r="C310" s="2"/>
      <c r="D310" s="2"/>
      <c r="E310" s="2"/>
      <c r="F310" s="2"/>
      <c r="G310" s="2"/>
      <c r="H310" s="3"/>
      <c r="I310" s="1"/>
    </row>
    <row r="311" spans="2:9" x14ac:dyDescent="0.25">
      <c r="B311" s="1"/>
      <c r="C311" s="2"/>
      <c r="D311" s="2"/>
      <c r="E311" s="2"/>
      <c r="F311" s="2"/>
      <c r="G311" s="2"/>
      <c r="H311" s="3"/>
      <c r="I311" s="1"/>
    </row>
    <row r="312" spans="2:9" x14ac:dyDescent="0.25">
      <c r="B312" s="1"/>
      <c r="C312" s="2"/>
      <c r="D312" s="2"/>
      <c r="E312" s="2"/>
      <c r="F312" s="2"/>
      <c r="G312" s="2"/>
      <c r="H312" s="3"/>
      <c r="I312" s="1"/>
    </row>
    <row r="313" spans="2:9" x14ac:dyDescent="0.25">
      <c r="B313" s="1"/>
      <c r="C313" s="2"/>
      <c r="D313" s="2"/>
      <c r="E313" s="2"/>
      <c r="F313" s="2"/>
      <c r="G313" s="2"/>
      <c r="H313" s="3"/>
      <c r="I313" s="1"/>
    </row>
    <row r="314" spans="2:9" x14ac:dyDescent="0.25">
      <c r="B314" s="1"/>
      <c r="C314" s="2"/>
      <c r="D314" s="2"/>
      <c r="E314" s="2"/>
      <c r="F314" s="2"/>
      <c r="G314" s="2"/>
      <c r="H314" s="3"/>
      <c r="I314" s="1"/>
    </row>
    <row r="315" spans="2:9" x14ac:dyDescent="0.25">
      <c r="B315" s="1"/>
      <c r="C315" s="2"/>
      <c r="D315" s="2"/>
      <c r="E315" s="2"/>
      <c r="F315" s="2"/>
      <c r="G315" s="2"/>
      <c r="H315" s="3"/>
      <c r="I315" s="1"/>
    </row>
    <row r="316" spans="2:9" x14ac:dyDescent="0.25">
      <c r="B316" s="1"/>
      <c r="C316" s="2"/>
      <c r="D316" s="2"/>
      <c r="E316" s="2"/>
      <c r="F316" s="2"/>
      <c r="G316" s="2"/>
      <c r="H316" s="3"/>
      <c r="I316" s="1"/>
    </row>
    <row r="317" spans="2:9" x14ac:dyDescent="0.25">
      <c r="B317" s="1"/>
      <c r="C317" s="2"/>
      <c r="D317" s="2"/>
      <c r="E317" s="2"/>
      <c r="F317" s="2"/>
      <c r="G317" s="2"/>
      <c r="H317" s="3"/>
      <c r="I317" s="1"/>
    </row>
    <row r="318" spans="2:9" x14ac:dyDescent="0.25">
      <c r="B318" s="1"/>
      <c r="C318" s="2"/>
      <c r="D318" s="2"/>
      <c r="E318" s="2"/>
      <c r="F318" s="2"/>
      <c r="G318" s="2"/>
      <c r="H318" s="3"/>
      <c r="I318" s="1"/>
    </row>
    <row r="319" spans="2:9" x14ac:dyDescent="0.25">
      <c r="B319" s="1"/>
      <c r="C319" s="2"/>
      <c r="D319" s="2"/>
      <c r="E319" s="2"/>
      <c r="F319" s="2"/>
      <c r="G319" s="2"/>
      <c r="H319" s="3"/>
      <c r="I319" s="1"/>
    </row>
    <row r="320" spans="2:9" x14ac:dyDescent="0.25">
      <c r="B320" s="1"/>
      <c r="C320" s="2"/>
      <c r="D320" s="2"/>
      <c r="E320" s="2"/>
      <c r="F320" s="2"/>
      <c r="G320" s="2"/>
      <c r="H320" s="3"/>
      <c r="I320" s="1"/>
    </row>
    <row r="321" spans="2:9" x14ac:dyDescent="0.25">
      <c r="B321" s="1"/>
      <c r="C321" s="2"/>
      <c r="D321" s="2"/>
      <c r="E321" s="2"/>
      <c r="F321" s="2"/>
      <c r="G321" s="2"/>
      <c r="H321" s="3"/>
      <c r="I321" s="1"/>
    </row>
    <row r="322" spans="2:9" x14ac:dyDescent="0.25">
      <c r="B322" s="1"/>
      <c r="C322" s="2"/>
      <c r="D322" s="2"/>
      <c r="E322" s="2"/>
      <c r="F322" s="2"/>
      <c r="G322" s="2"/>
      <c r="H322" s="3"/>
      <c r="I322" s="1"/>
    </row>
    <row r="323" spans="2:9" x14ac:dyDescent="0.25">
      <c r="B323" s="1"/>
      <c r="C323" s="2"/>
      <c r="D323" s="2"/>
      <c r="E323" s="2"/>
      <c r="F323" s="2"/>
      <c r="G323" s="2"/>
      <c r="H323" s="3"/>
      <c r="I323" s="1"/>
    </row>
    <row r="324" spans="2:9" x14ac:dyDescent="0.25">
      <c r="B324" s="1"/>
      <c r="C324" s="2"/>
      <c r="D324" s="2"/>
      <c r="E324" s="2"/>
      <c r="F324" s="2"/>
      <c r="G324" s="2"/>
      <c r="H324" s="3"/>
      <c r="I324" s="1"/>
    </row>
    <row r="325" spans="2:9" x14ac:dyDescent="0.25">
      <c r="B325" s="1"/>
      <c r="C325" s="2"/>
      <c r="D325" s="2"/>
      <c r="E325" s="2"/>
      <c r="F325" s="2"/>
      <c r="G325" s="2"/>
      <c r="H325" s="3"/>
      <c r="I325" s="1"/>
    </row>
    <row r="326" spans="2:9" x14ac:dyDescent="0.25">
      <c r="B326" s="1"/>
      <c r="C326" s="2"/>
      <c r="D326" s="2"/>
      <c r="E326" s="2"/>
      <c r="F326" s="2"/>
      <c r="G326" s="2"/>
      <c r="H326" s="3"/>
      <c r="I326" s="1"/>
    </row>
    <row r="327" spans="2:9" x14ac:dyDescent="0.25">
      <c r="B327" s="1"/>
      <c r="C327" s="2"/>
      <c r="D327" s="2"/>
      <c r="E327" s="2"/>
      <c r="F327" s="2"/>
      <c r="G327" s="2"/>
      <c r="H327" s="3"/>
      <c r="I327" s="1"/>
    </row>
    <row r="328" spans="2:9" x14ac:dyDescent="0.25">
      <c r="B328" s="1"/>
      <c r="C328" s="2"/>
      <c r="D328" s="2"/>
      <c r="E328" s="2"/>
      <c r="F328" s="2"/>
      <c r="G328" s="2"/>
      <c r="H328" s="3"/>
      <c r="I328" s="1"/>
    </row>
    <row r="329" spans="2:9" x14ac:dyDescent="0.25">
      <c r="B329" s="1"/>
      <c r="C329" s="2"/>
      <c r="D329" s="2"/>
      <c r="E329" s="2"/>
      <c r="F329" s="2"/>
      <c r="G329" s="2"/>
      <c r="H329" s="3"/>
      <c r="I329" s="1"/>
    </row>
    <row r="330" spans="2:9" x14ac:dyDescent="0.25">
      <c r="B330" s="1"/>
      <c r="C330" s="2"/>
      <c r="D330" s="2"/>
      <c r="E330" s="2"/>
      <c r="F330" s="2"/>
      <c r="G330" s="2"/>
      <c r="H330" s="3"/>
      <c r="I330" s="1"/>
    </row>
    <row r="331" spans="2:9" x14ac:dyDescent="0.25">
      <c r="B331" s="1"/>
      <c r="C331" s="2"/>
      <c r="D331" s="2"/>
      <c r="E331" s="2"/>
      <c r="F331" s="2"/>
      <c r="G331" s="2"/>
      <c r="H331" s="3"/>
      <c r="I331" s="1"/>
    </row>
    <row r="332" spans="2:9" x14ac:dyDescent="0.25">
      <c r="B332" s="1"/>
      <c r="C332" s="2"/>
      <c r="D332" s="2"/>
      <c r="E332" s="2"/>
      <c r="F332" s="2"/>
      <c r="G332" s="2"/>
      <c r="H332" s="3"/>
      <c r="I332" s="1"/>
    </row>
    <row r="333" spans="2:9" x14ac:dyDescent="0.25">
      <c r="B333" s="1"/>
      <c r="C333" s="2"/>
      <c r="D333" s="2"/>
      <c r="E333" s="2"/>
      <c r="F333" s="2"/>
      <c r="G333" s="2"/>
      <c r="H333" s="3"/>
      <c r="I333" s="1"/>
    </row>
    <row r="334" spans="2:9" x14ac:dyDescent="0.25">
      <c r="B334" s="1"/>
      <c r="C334" s="2"/>
      <c r="D334" s="2"/>
      <c r="E334" s="2"/>
      <c r="F334" s="2"/>
      <c r="G334" s="2"/>
      <c r="H334" s="3"/>
      <c r="I334" s="1"/>
    </row>
    <row r="335" spans="2:9" x14ac:dyDescent="0.25">
      <c r="B335" s="1"/>
      <c r="C335" s="2"/>
      <c r="D335" s="2"/>
      <c r="E335" s="2"/>
      <c r="F335" s="2"/>
      <c r="G335" s="2"/>
      <c r="H335" s="3"/>
      <c r="I335" s="1"/>
    </row>
    <row r="336" spans="2:9" x14ac:dyDescent="0.25">
      <c r="B336" s="1"/>
      <c r="C336" s="2"/>
      <c r="D336" s="2"/>
      <c r="E336" s="2"/>
      <c r="F336" s="2"/>
      <c r="G336" s="2"/>
      <c r="H336" s="3"/>
      <c r="I336" s="1"/>
    </row>
    <row r="337" spans="2:9" x14ac:dyDescent="0.25">
      <c r="B337" s="1"/>
      <c r="C337" s="2"/>
      <c r="D337" s="2"/>
      <c r="E337" s="2"/>
      <c r="F337" s="2"/>
      <c r="G337" s="2"/>
      <c r="H337" s="3"/>
      <c r="I337" s="1"/>
    </row>
    <row r="338" spans="2:9" x14ac:dyDescent="0.25">
      <c r="B338" s="1"/>
      <c r="C338" s="2"/>
      <c r="D338" s="2"/>
      <c r="E338" s="2"/>
      <c r="F338" s="2"/>
      <c r="G338" s="2"/>
      <c r="H338" s="3"/>
      <c r="I338" s="1"/>
    </row>
    <row r="339" spans="2:9" x14ac:dyDescent="0.25">
      <c r="B339" s="1"/>
      <c r="C339" s="2"/>
      <c r="D339" s="2"/>
      <c r="E339" s="2"/>
      <c r="F339" s="2"/>
      <c r="G339" s="2"/>
      <c r="H339" s="3"/>
      <c r="I339" s="1"/>
    </row>
    <row r="340" spans="2:9" x14ac:dyDescent="0.25">
      <c r="B340" s="1"/>
      <c r="C340" s="2"/>
      <c r="D340" s="2"/>
      <c r="E340" s="2"/>
      <c r="F340" s="2"/>
      <c r="G340" s="2"/>
      <c r="H340" s="3"/>
      <c r="I340" s="1"/>
    </row>
    <row r="341" spans="2:9" x14ac:dyDescent="0.25">
      <c r="B341" s="1"/>
      <c r="C341" s="2"/>
      <c r="D341" s="2"/>
      <c r="E341" s="2"/>
      <c r="F341" s="2"/>
      <c r="G341" s="2"/>
      <c r="H341" s="3"/>
      <c r="I341" s="1"/>
    </row>
    <row r="342" spans="2:9" x14ac:dyDescent="0.25">
      <c r="B342" s="1"/>
      <c r="C342" s="2"/>
      <c r="D342" s="2"/>
      <c r="E342" s="2"/>
      <c r="F342" s="2"/>
      <c r="G342" s="2"/>
      <c r="H342" s="3"/>
      <c r="I342" s="1"/>
    </row>
    <row r="343" spans="2:9" x14ac:dyDescent="0.25">
      <c r="B343" s="1"/>
      <c r="C343" s="2"/>
      <c r="D343" s="2"/>
      <c r="E343" s="2"/>
      <c r="F343" s="2"/>
      <c r="G343" s="2"/>
      <c r="H343" s="3"/>
      <c r="I343" s="1"/>
    </row>
    <row r="344" spans="2:9" x14ac:dyDescent="0.25">
      <c r="B344" s="1"/>
      <c r="C344" s="2"/>
      <c r="D344" s="2"/>
      <c r="E344" s="2"/>
      <c r="F344" s="2"/>
      <c r="G344" s="2"/>
      <c r="H344" s="3"/>
      <c r="I344" s="1"/>
    </row>
    <row r="345" spans="2:9" x14ac:dyDescent="0.25">
      <c r="B345" s="1"/>
      <c r="C345" s="2"/>
      <c r="D345" s="2"/>
      <c r="E345" s="2"/>
      <c r="F345" s="2"/>
      <c r="G345" s="2"/>
      <c r="H345" s="3"/>
      <c r="I345" s="1"/>
    </row>
    <row r="346" spans="2:9" x14ac:dyDescent="0.25">
      <c r="B346" s="1"/>
      <c r="C346" s="2"/>
      <c r="D346" s="2"/>
      <c r="E346" s="2"/>
      <c r="F346" s="2"/>
      <c r="G346" s="2"/>
      <c r="H346" s="3"/>
      <c r="I346" s="1"/>
    </row>
    <row r="347" spans="2:9" x14ac:dyDescent="0.25">
      <c r="B347" s="1"/>
      <c r="C347" s="2"/>
      <c r="D347" s="2"/>
      <c r="E347" s="2"/>
      <c r="F347" s="2"/>
      <c r="G347" s="2"/>
      <c r="H347" s="3"/>
      <c r="I347" s="1"/>
    </row>
    <row r="348" spans="2:9" x14ac:dyDescent="0.25">
      <c r="B348" s="1"/>
      <c r="C348" s="2"/>
      <c r="D348" s="2"/>
      <c r="E348" s="2"/>
      <c r="F348" s="2"/>
      <c r="G348" s="2"/>
      <c r="H348" s="3"/>
      <c r="I348" s="1"/>
    </row>
    <row r="349" spans="2:9" x14ac:dyDescent="0.25">
      <c r="B349" s="1"/>
      <c r="C349" s="2"/>
      <c r="D349" s="2"/>
      <c r="E349" s="2"/>
      <c r="F349" s="2"/>
      <c r="G349" s="2"/>
      <c r="H349" s="3"/>
      <c r="I349" s="1"/>
    </row>
    <row r="350" spans="2:9" x14ac:dyDescent="0.25">
      <c r="B350" s="1"/>
      <c r="C350" s="2"/>
      <c r="D350" s="2"/>
      <c r="E350" s="2"/>
      <c r="F350" s="2"/>
      <c r="G350" s="2"/>
      <c r="H350" s="3"/>
      <c r="I350" s="1"/>
    </row>
    <row r="351" spans="2:9" x14ac:dyDescent="0.25">
      <c r="B351" s="1"/>
      <c r="C351" s="2"/>
      <c r="D351" s="2"/>
      <c r="E351" s="2"/>
      <c r="F351" s="2"/>
      <c r="G351" s="2"/>
      <c r="H351" s="3"/>
      <c r="I351" s="1"/>
    </row>
    <row r="352" spans="2:9" x14ac:dyDescent="0.25">
      <c r="B352" s="1"/>
      <c r="C352" s="2"/>
      <c r="D352" s="2"/>
      <c r="E352" s="2"/>
      <c r="F352" s="2"/>
      <c r="G352" s="2"/>
      <c r="H352" s="3"/>
      <c r="I352" s="1"/>
    </row>
    <row r="353" spans="2:9" x14ac:dyDescent="0.25">
      <c r="B353" s="1"/>
      <c r="C353" s="2"/>
      <c r="D353" s="2"/>
      <c r="E353" s="2"/>
      <c r="F353" s="2"/>
      <c r="G353" s="2"/>
      <c r="H353" s="3"/>
      <c r="I353" s="1"/>
    </row>
    <row r="354" spans="2:9" x14ac:dyDescent="0.25">
      <c r="B354" s="1"/>
      <c r="C354" s="2"/>
      <c r="D354" s="2"/>
      <c r="E354" s="2"/>
      <c r="F354" s="2"/>
      <c r="G354" s="2"/>
      <c r="H354" s="3"/>
      <c r="I354" s="1"/>
    </row>
    <row r="355" spans="2:9" x14ac:dyDescent="0.25">
      <c r="B355" s="1"/>
      <c r="C355" s="2"/>
      <c r="D355" s="2"/>
      <c r="E355" s="2"/>
      <c r="F355" s="2"/>
      <c r="G355" s="2"/>
      <c r="H355" s="3"/>
      <c r="I355" s="1"/>
    </row>
    <row r="356" spans="2:9" x14ac:dyDescent="0.25">
      <c r="B356" s="1"/>
      <c r="C356" s="2"/>
      <c r="D356" s="2"/>
      <c r="E356" s="2"/>
      <c r="F356" s="2"/>
      <c r="G356" s="2"/>
      <c r="H356" s="3"/>
      <c r="I356" s="1"/>
    </row>
    <row r="357" spans="2:9" x14ac:dyDescent="0.25">
      <c r="B357" s="1"/>
      <c r="C357" s="2"/>
      <c r="D357" s="2"/>
      <c r="E357" s="2"/>
      <c r="F357" s="2"/>
      <c r="G357" s="2"/>
      <c r="H357" s="3"/>
      <c r="I357" s="1"/>
    </row>
    <row r="358" spans="2:9" x14ac:dyDescent="0.25">
      <c r="B358" s="1"/>
      <c r="C358" s="2"/>
      <c r="D358" s="2"/>
      <c r="E358" s="2"/>
      <c r="F358" s="2"/>
      <c r="G358" s="2"/>
      <c r="H358" s="3"/>
      <c r="I358" s="1"/>
    </row>
    <row r="359" spans="2:9" x14ac:dyDescent="0.25">
      <c r="B359" s="1"/>
      <c r="C359" s="2"/>
      <c r="D359" s="2"/>
      <c r="E359" s="2"/>
      <c r="F359" s="2"/>
      <c r="G359" s="2"/>
      <c r="H359" s="3"/>
      <c r="I359" s="1"/>
    </row>
    <row r="360" spans="2:9" x14ac:dyDescent="0.25">
      <c r="B360" s="1"/>
      <c r="C360" s="2"/>
      <c r="D360" s="2"/>
      <c r="E360" s="2"/>
      <c r="F360" s="2"/>
      <c r="G360" s="2"/>
      <c r="H360" s="3"/>
      <c r="I360" s="1"/>
    </row>
    <row r="361" spans="2:9" x14ac:dyDescent="0.25">
      <c r="B361" s="1"/>
      <c r="C361" s="2"/>
      <c r="D361" s="2"/>
      <c r="E361" s="2"/>
      <c r="F361" s="2"/>
      <c r="G361" s="2"/>
      <c r="H361" s="3"/>
      <c r="I361" s="1"/>
    </row>
    <row r="362" spans="2:9" x14ac:dyDescent="0.25">
      <c r="B362" s="1"/>
      <c r="C362" s="2"/>
      <c r="D362" s="2"/>
      <c r="E362" s="2"/>
      <c r="F362" s="2"/>
      <c r="G362" s="2"/>
      <c r="H362" s="3"/>
      <c r="I362" s="1"/>
    </row>
    <row r="363" spans="2:9" x14ac:dyDescent="0.25">
      <c r="B363" s="1"/>
      <c r="C363" s="2"/>
      <c r="D363" s="2"/>
      <c r="E363" s="2"/>
      <c r="F363" s="2"/>
      <c r="G363" s="2"/>
      <c r="H363" s="3"/>
      <c r="I363" s="1"/>
    </row>
    <row r="364" spans="2:9" x14ac:dyDescent="0.25">
      <c r="B364" s="1"/>
      <c r="C364" s="2"/>
      <c r="D364" s="2"/>
      <c r="E364" s="2"/>
      <c r="F364" s="2"/>
      <c r="G364" s="2"/>
      <c r="H364" s="3"/>
      <c r="I364" s="1"/>
    </row>
    <row r="365" spans="2:9" x14ac:dyDescent="0.25">
      <c r="B365" s="1"/>
      <c r="C365" s="2"/>
      <c r="D365" s="2"/>
      <c r="E365" s="2"/>
      <c r="F365" s="2"/>
      <c r="G365" s="2"/>
      <c r="H365" s="3"/>
      <c r="I365" s="1"/>
    </row>
    <row r="366" spans="2:9" x14ac:dyDescent="0.25">
      <c r="B366" s="1"/>
      <c r="C366" s="2"/>
      <c r="D366" s="2"/>
      <c r="E366" s="2"/>
      <c r="F366" s="2"/>
      <c r="G366" s="2"/>
      <c r="H366" s="3"/>
      <c r="I366" s="1"/>
    </row>
    <row r="367" spans="2:9" x14ac:dyDescent="0.25">
      <c r="B367" s="1"/>
      <c r="C367" s="2"/>
      <c r="D367" s="2"/>
      <c r="E367" s="2"/>
      <c r="F367" s="2"/>
      <c r="G367" s="2"/>
      <c r="H367" s="3"/>
      <c r="I367" s="1"/>
    </row>
    <row r="368" spans="2:9" x14ac:dyDescent="0.25">
      <c r="B368" s="1"/>
      <c r="C368" s="2"/>
      <c r="D368" s="2"/>
      <c r="E368" s="2"/>
      <c r="F368" s="2"/>
      <c r="G368" s="2"/>
      <c r="H368" s="3"/>
      <c r="I368" s="1"/>
    </row>
    <row r="369" spans="2:9" x14ac:dyDescent="0.25">
      <c r="B369" s="1"/>
      <c r="C369" s="2"/>
      <c r="D369" s="2"/>
      <c r="E369" s="2"/>
      <c r="F369" s="2"/>
      <c r="G369" s="2"/>
      <c r="H369" s="3"/>
      <c r="I369" s="1"/>
    </row>
    <row r="370" spans="2:9" x14ac:dyDescent="0.25">
      <c r="B370" s="1"/>
      <c r="C370" s="2"/>
      <c r="D370" s="2"/>
      <c r="E370" s="2"/>
      <c r="F370" s="2"/>
      <c r="G370" s="2"/>
      <c r="H370" s="3"/>
      <c r="I370" s="1"/>
    </row>
    <row r="371" spans="2:9" x14ac:dyDescent="0.25">
      <c r="B371" s="1"/>
      <c r="C371" s="2"/>
      <c r="D371" s="2"/>
      <c r="E371" s="2"/>
      <c r="F371" s="2"/>
      <c r="G371" s="2"/>
      <c r="H371" s="3"/>
      <c r="I371" s="1"/>
    </row>
    <row r="372" spans="2:9" x14ac:dyDescent="0.25">
      <c r="B372" s="1"/>
      <c r="C372" s="2"/>
      <c r="D372" s="2"/>
      <c r="E372" s="2"/>
      <c r="F372" s="2"/>
      <c r="G372" s="2"/>
      <c r="H372" s="3"/>
      <c r="I372" s="1"/>
    </row>
    <row r="373" spans="2:9" x14ac:dyDescent="0.25">
      <c r="B373" s="1"/>
      <c r="C373" s="2"/>
      <c r="D373" s="2"/>
      <c r="E373" s="2"/>
      <c r="F373" s="2"/>
      <c r="G373" s="2"/>
      <c r="H373" s="3"/>
      <c r="I373" s="1"/>
    </row>
    <row r="374" spans="2:9" x14ac:dyDescent="0.25">
      <c r="B374" s="1"/>
      <c r="C374" s="2"/>
      <c r="D374" s="2"/>
      <c r="E374" s="2"/>
      <c r="F374" s="2"/>
      <c r="G374" s="2"/>
      <c r="H374" s="3"/>
      <c r="I374" s="1"/>
    </row>
    <row r="375" spans="2:9" x14ac:dyDescent="0.25">
      <c r="B375" s="1"/>
      <c r="C375" s="2"/>
      <c r="D375" s="2"/>
      <c r="E375" s="2"/>
      <c r="F375" s="2"/>
      <c r="G375" s="2"/>
      <c r="H375" s="3"/>
      <c r="I375" s="1"/>
    </row>
    <row r="376" spans="2:9" x14ac:dyDescent="0.25">
      <c r="B376" s="1"/>
      <c r="C376" s="2"/>
      <c r="D376" s="2"/>
      <c r="E376" s="2"/>
      <c r="F376" s="2"/>
      <c r="G376" s="2"/>
      <c r="H376" s="3"/>
      <c r="I376" s="1"/>
    </row>
    <row r="377" spans="2:9" x14ac:dyDescent="0.25">
      <c r="B377" s="1"/>
      <c r="C377" s="2"/>
      <c r="D377" s="2"/>
      <c r="E377" s="2"/>
      <c r="F377" s="2"/>
      <c r="G377" s="2"/>
      <c r="H377" s="3"/>
      <c r="I377" s="1"/>
    </row>
    <row r="378" spans="2:9" x14ac:dyDescent="0.25">
      <c r="B378" s="1"/>
      <c r="C378" s="2"/>
      <c r="D378" s="2"/>
      <c r="E378" s="2"/>
      <c r="F378" s="2"/>
      <c r="G378" s="2"/>
      <c r="H378" s="3"/>
      <c r="I378" s="1"/>
    </row>
    <row r="379" spans="2:9" x14ac:dyDescent="0.25">
      <c r="B379" s="1"/>
      <c r="C379" s="2"/>
      <c r="D379" s="2"/>
      <c r="E379" s="2"/>
      <c r="F379" s="2"/>
      <c r="G379" s="2"/>
      <c r="H379" s="3"/>
      <c r="I379" s="1"/>
    </row>
    <row r="380" spans="2:9" x14ac:dyDescent="0.25">
      <c r="B380" s="1"/>
      <c r="C380" s="2"/>
      <c r="D380" s="2"/>
      <c r="E380" s="2"/>
      <c r="F380" s="2"/>
      <c r="G380" s="2"/>
      <c r="H380" s="3"/>
      <c r="I380" s="1"/>
    </row>
    <row r="381" spans="2:9" x14ac:dyDescent="0.25">
      <c r="B381" s="1"/>
      <c r="C381" s="2"/>
      <c r="D381" s="2"/>
      <c r="E381" s="2"/>
      <c r="F381" s="2"/>
      <c r="G381" s="2"/>
      <c r="H381" s="3"/>
      <c r="I381" s="1"/>
    </row>
    <row r="382" spans="2:9" x14ac:dyDescent="0.25">
      <c r="B382" s="1"/>
      <c r="C382" s="2"/>
      <c r="D382" s="2"/>
      <c r="E382" s="2"/>
      <c r="F382" s="2"/>
      <c r="G382" s="2"/>
      <c r="H382" s="3"/>
      <c r="I382" s="1"/>
    </row>
    <row r="383" spans="2:9" x14ac:dyDescent="0.25">
      <c r="B383" s="1"/>
      <c r="C383" s="2"/>
      <c r="D383" s="2"/>
      <c r="E383" s="2"/>
      <c r="F383" s="2"/>
      <c r="G383" s="2"/>
      <c r="H383" s="3"/>
      <c r="I383" s="1"/>
    </row>
    <row r="384" spans="2:9" x14ac:dyDescent="0.25">
      <c r="B384" s="1"/>
      <c r="C384" s="2"/>
      <c r="D384" s="2"/>
      <c r="E384" s="2"/>
      <c r="F384" s="2"/>
      <c r="G384" s="2"/>
      <c r="H384" s="3"/>
      <c r="I384" s="1"/>
    </row>
    <row r="385" spans="2:9" x14ac:dyDescent="0.25">
      <c r="B385" s="1"/>
      <c r="C385" s="2"/>
      <c r="D385" s="2"/>
      <c r="E385" s="2"/>
      <c r="F385" s="2"/>
      <c r="G385" s="2"/>
      <c r="H385" s="3"/>
      <c r="I385" s="1"/>
    </row>
    <row r="386" spans="2:9" x14ac:dyDescent="0.25">
      <c r="B386" s="1"/>
      <c r="C386" s="2"/>
      <c r="D386" s="2"/>
      <c r="E386" s="2"/>
      <c r="F386" s="2"/>
      <c r="G386" s="2"/>
      <c r="H386" s="3"/>
      <c r="I386" s="1"/>
    </row>
    <row r="387" spans="2:9" x14ac:dyDescent="0.25">
      <c r="B387" s="1"/>
      <c r="C387" s="2"/>
      <c r="D387" s="2"/>
      <c r="E387" s="2"/>
      <c r="F387" s="2"/>
      <c r="G387" s="2"/>
      <c r="H387" s="3"/>
      <c r="I387" s="1"/>
    </row>
    <row r="388" spans="2:9" x14ac:dyDescent="0.25">
      <c r="B388" s="1"/>
      <c r="C388" s="2"/>
      <c r="D388" s="2"/>
      <c r="E388" s="2"/>
      <c r="F388" s="2"/>
      <c r="G388" s="2"/>
      <c r="H388" s="3"/>
      <c r="I388" s="1"/>
    </row>
    <row r="389" spans="2:9" x14ac:dyDescent="0.25">
      <c r="B389" s="1"/>
      <c r="C389" s="2"/>
      <c r="D389" s="2"/>
      <c r="E389" s="2"/>
      <c r="F389" s="2"/>
      <c r="G389" s="2"/>
      <c r="H389" s="3"/>
      <c r="I389" s="1"/>
    </row>
    <row r="390" spans="2:9" x14ac:dyDescent="0.25">
      <c r="B390" s="1"/>
      <c r="C390" s="2"/>
      <c r="D390" s="2"/>
      <c r="E390" s="2"/>
      <c r="F390" s="2"/>
      <c r="G390" s="2"/>
      <c r="H390" s="3"/>
      <c r="I390" s="1"/>
    </row>
    <row r="391" spans="2:9" x14ac:dyDescent="0.25">
      <c r="B391" s="1"/>
      <c r="C391" s="2"/>
      <c r="D391" s="2"/>
      <c r="E391" s="2"/>
      <c r="F391" s="2"/>
      <c r="G391" s="2"/>
      <c r="H391" s="3"/>
      <c r="I391" s="1"/>
    </row>
    <row r="392" spans="2:9" x14ac:dyDescent="0.25">
      <c r="B392" s="1"/>
      <c r="C392" s="2"/>
      <c r="D392" s="2"/>
      <c r="E392" s="2"/>
      <c r="F392" s="2"/>
      <c r="G392" s="2"/>
      <c r="H392" s="3"/>
      <c r="I392" s="1"/>
    </row>
    <row r="393" spans="2:9" x14ac:dyDescent="0.25">
      <c r="B393" s="1"/>
      <c r="C393" s="2"/>
      <c r="D393" s="2"/>
      <c r="E393" s="2"/>
      <c r="F393" s="2"/>
      <c r="G393" s="2"/>
      <c r="H393" s="3"/>
      <c r="I393" s="1"/>
    </row>
    <row r="394" spans="2:9" x14ac:dyDescent="0.25">
      <c r="B394" s="1"/>
      <c r="C394" s="2"/>
      <c r="D394" s="2"/>
      <c r="E394" s="2"/>
      <c r="F394" s="2"/>
      <c r="G394" s="2"/>
      <c r="H394" s="3"/>
      <c r="I394" s="1"/>
    </row>
    <row r="395" spans="2:9" x14ac:dyDescent="0.25">
      <c r="B395" s="1"/>
      <c r="C395" s="2"/>
      <c r="D395" s="2"/>
      <c r="E395" s="2"/>
      <c r="F395" s="2"/>
      <c r="G395" s="2"/>
      <c r="H395" s="3"/>
      <c r="I395" s="1"/>
    </row>
    <row r="396" spans="2:9" x14ac:dyDescent="0.25">
      <c r="B396" s="1"/>
      <c r="C396" s="2"/>
      <c r="D396" s="2"/>
      <c r="E396" s="2"/>
      <c r="F396" s="2"/>
      <c r="G396" s="2"/>
      <c r="H396" s="3"/>
      <c r="I396" s="1"/>
    </row>
    <row r="397" spans="2:9" x14ac:dyDescent="0.25">
      <c r="B397" s="1"/>
      <c r="C397" s="2"/>
      <c r="D397" s="2"/>
      <c r="E397" s="2"/>
      <c r="F397" s="2"/>
      <c r="G397" s="2"/>
      <c r="H397" s="3"/>
      <c r="I397" s="1"/>
    </row>
    <row r="398" spans="2:9" x14ac:dyDescent="0.25">
      <c r="B398" s="1"/>
      <c r="C398" s="2"/>
      <c r="D398" s="2"/>
      <c r="E398" s="2"/>
      <c r="F398" s="2"/>
      <c r="G398" s="2"/>
      <c r="H398" s="3"/>
      <c r="I398" s="1"/>
    </row>
    <row r="399" spans="2:9" x14ac:dyDescent="0.25">
      <c r="B399" s="1"/>
      <c r="C399" s="2"/>
      <c r="D399" s="2"/>
      <c r="E399" s="2"/>
      <c r="F399" s="2"/>
      <c r="G399" s="2"/>
      <c r="H399" s="3"/>
      <c r="I399" s="1"/>
    </row>
    <row r="400" spans="2:9" x14ac:dyDescent="0.25">
      <c r="B400" s="1"/>
      <c r="C400" s="2"/>
      <c r="D400" s="2"/>
      <c r="E400" s="2"/>
      <c r="F400" s="2"/>
      <c r="G400" s="2"/>
      <c r="H400" s="3"/>
      <c r="I400" s="1"/>
    </row>
    <row r="401" spans="2:9" x14ac:dyDescent="0.25">
      <c r="B401" s="1"/>
      <c r="C401" s="2"/>
      <c r="D401" s="2"/>
      <c r="E401" s="2"/>
      <c r="F401" s="2"/>
      <c r="G401" s="2"/>
      <c r="H401" s="3"/>
      <c r="I401" s="1"/>
    </row>
    <row r="402" spans="2:9" x14ac:dyDescent="0.25">
      <c r="B402" s="1"/>
      <c r="C402" s="2"/>
      <c r="D402" s="2"/>
      <c r="E402" s="2"/>
      <c r="F402" s="2"/>
      <c r="G402" s="2"/>
      <c r="H402" s="3"/>
      <c r="I402" s="1"/>
    </row>
    <row r="403" spans="2:9" x14ac:dyDescent="0.25">
      <c r="B403" s="1"/>
      <c r="C403" s="2"/>
      <c r="D403" s="2"/>
      <c r="E403" s="2"/>
      <c r="F403" s="2"/>
      <c r="G403" s="2"/>
      <c r="H403" s="3"/>
      <c r="I403" s="1"/>
    </row>
    <row r="404" spans="2:9" x14ac:dyDescent="0.25">
      <c r="B404" s="1"/>
      <c r="C404" s="2"/>
      <c r="D404" s="2"/>
      <c r="E404" s="2"/>
      <c r="F404" s="2"/>
      <c r="G404" s="2"/>
      <c r="H404" s="3"/>
      <c r="I404" s="1"/>
    </row>
    <row r="405" spans="2:9" x14ac:dyDescent="0.25">
      <c r="B405" s="1"/>
      <c r="C405" s="2"/>
      <c r="D405" s="2"/>
      <c r="E405" s="2"/>
      <c r="F405" s="2"/>
      <c r="G405" s="2"/>
      <c r="H405" s="3"/>
      <c r="I405" s="1"/>
    </row>
    <row r="406" spans="2:9" x14ac:dyDescent="0.25">
      <c r="B406" s="1"/>
      <c r="C406" s="2"/>
      <c r="D406" s="2"/>
      <c r="E406" s="2"/>
      <c r="F406" s="2"/>
      <c r="G406" s="2"/>
      <c r="H406" s="3"/>
      <c r="I406" s="1"/>
    </row>
    <row r="407" spans="2:9" x14ac:dyDescent="0.25">
      <c r="B407" s="1"/>
      <c r="C407" s="2"/>
      <c r="D407" s="2"/>
      <c r="E407" s="2"/>
      <c r="F407" s="2"/>
      <c r="G407" s="2"/>
      <c r="H407" s="3"/>
      <c r="I407" s="1"/>
    </row>
    <row r="408" spans="2:9" x14ac:dyDescent="0.25">
      <c r="B408" s="1"/>
      <c r="C408" s="2"/>
      <c r="D408" s="2"/>
      <c r="E408" s="2"/>
      <c r="F408" s="2"/>
      <c r="G408" s="2"/>
      <c r="H408" s="3"/>
      <c r="I408" s="1"/>
    </row>
    <row r="409" spans="2:9" x14ac:dyDescent="0.25">
      <c r="B409" s="1"/>
      <c r="C409" s="2"/>
      <c r="D409" s="2"/>
      <c r="E409" s="2"/>
      <c r="F409" s="2"/>
      <c r="G409" s="2"/>
      <c r="H409" s="3"/>
      <c r="I409" s="1"/>
    </row>
    <row r="410" spans="2:9" x14ac:dyDescent="0.25">
      <c r="B410" s="1"/>
      <c r="C410" s="2"/>
      <c r="D410" s="2"/>
      <c r="E410" s="2"/>
      <c r="F410" s="2"/>
      <c r="G410" s="2"/>
      <c r="H410" s="3"/>
      <c r="I410" s="1"/>
    </row>
    <row r="411" spans="2:9" x14ac:dyDescent="0.25">
      <c r="B411" s="1"/>
      <c r="C411" s="2"/>
      <c r="D411" s="2"/>
      <c r="E411" s="2"/>
      <c r="F411" s="2"/>
      <c r="G411" s="2"/>
      <c r="H411" s="3"/>
      <c r="I411" s="1"/>
    </row>
    <row r="412" spans="2:9" x14ac:dyDescent="0.25">
      <c r="B412" s="1"/>
      <c r="C412" s="2"/>
      <c r="D412" s="2"/>
      <c r="E412" s="2"/>
      <c r="F412" s="2"/>
      <c r="G412" s="2"/>
      <c r="H412" s="3"/>
      <c r="I412" s="1"/>
    </row>
    <row r="413" spans="2:9" x14ac:dyDescent="0.25">
      <c r="B413" s="1"/>
      <c r="C413" s="2"/>
      <c r="D413" s="2"/>
      <c r="E413" s="2"/>
      <c r="F413" s="2"/>
      <c r="G413" s="2"/>
      <c r="H413" s="3"/>
      <c r="I413" s="1"/>
    </row>
    <row r="414" spans="2:9" x14ac:dyDescent="0.25">
      <c r="B414" s="1"/>
      <c r="C414" s="2"/>
      <c r="D414" s="2"/>
      <c r="E414" s="2"/>
      <c r="F414" s="2"/>
      <c r="G414" s="2"/>
      <c r="H414" s="3"/>
      <c r="I414" s="1"/>
    </row>
    <row r="415" spans="2:9" x14ac:dyDescent="0.25">
      <c r="B415" s="1"/>
      <c r="C415" s="2"/>
      <c r="D415" s="2"/>
      <c r="E415" s="2"/>
      <c r="F415" s="2"/>
      <c r="G415" s="2"/>
      <c r="H415" s="3"/>
      <c r="I415" s="1"/>
    </row>
    <row r="416" spans="2:9" x14ac:dyDescent="0.25">
      <c r="B416" s="1"/>
      <c r="C416" s="2"/>
      <c r="D416" s="2"/>
      <c r="E416" s="2"/>
      <c r="F416" s="2"/>
      <c r="G416" s="2"/>
      <c r="H416" s="3"/>
      <c r="I416" s="1"/>
    </row>
    <row r="417" spans="2:9" x14ac:dyDescent="0.25">
      <c r="B417" s="1"/>
      <c r="C417" s="2"/>
      <c r="D417" s="2"/>
      <c r="E417" s="2"/>
      <c r="F417" s="2"/>
      <c r="G417" s="2"/>
      <c r="H417" s="3"/>
      <c r="I417" s="1"/>
    </row>
    <row r="418" spans="2:9" x14ac:dyDescent="0.25">
      <c r="B418" s="1"/>
      <c r="C418" s="2"/>
      <c r="D418" s="2"/>
      <c r="E418" s="2"/>
      <c r="F418" s="2"/>
      <c r="G418" s="2"/>
      <c r="H418" s="3"/>
      <c r="I418" s="1"/>
    </row>
    <row r="419" spans="2:9" x14ac:dyDescent="0.25">
      <c r="B419" s="1"/>
      <c r="C419" s="2"/>
      <c r="D419" s="2"/>
      <c r="E419" s="2"/>
      <c r="F419" s="2"/>
      <c r="G419" s="2"/>
      <c r="H419" s="3"/>
      <c r="I419" s="1"/>
    </row>
    <row r="420" spans="2:9" x14ac:dyDescent="0.25">
      <c r="B420" s="1"/>
      <c r="C420" s="2"/>
      <c r="D420" s="2"/>
      <c r="E420" s="2"/>
      <c r="F420" s="2"/>
      <c r="G420" s="2"/>
      <c r="H420" s="3"/>
      <c r="I420" s="1"/>
    </row>
    <row r="421" spans="2:9" x14ac:dyDescent="0.25">
      <c r="B421" s="1"/>
      <c r="C421" s="2"/>
      <c r="D421" s="2"/>
      <c r="E421" s="2"/>
      <c r="F421" s="2"/>
      <c r="G421" s="2"/>
      <c r="H421" s="3"/>
      <c r="I421" s="1"/>
    </row>
    <row r="422" spans="2:9" x14ac:dyDescent="0.25">
      <c r="B422" s="1"/>
      <c r="C422" s="2"/>
      <c r="D422" s="2"/>
      <c r="E422" s="2"/>
      <c r="F422" s="2"/>
      <c r="G422" s="2"/>
      <c r="H422" s="3"/>
      <c r="I422" s="1"/>
    </row>
    <row r="423" spans="2:9" x14ac:dyDescent="0.25">
      <c r="B423" s="1"/>
      <c r="C423" s="2"/>
      <c r="D423" s="2"/>
      <c r="E423" s="2"/>
      <c r="F423" s="2"/>
      <c r="G423" s="2"/>
      <c r="H423" s="3"/>
      <c r="I423" s="1"/>
    </row>
    <row r="424" spans="2:9" x14ac:dyDescent="0.25">
      <c r="B424" s="1"/>
      <c r="C424" s="2"/>
      <c r="D424" s="2"/>
      <c r="E424" s="2"/>
      <c r="F424" s="2"/>
      <c r="G424" s="2"/>
      <c r="H424" s="3"/>
      <c r="I424" s="1"/>
    </row>
    <row r="425" spans="2:9" x14ac:dyDescent="0.25">
      <c r="B425" s="1"/>
      <c r="C425" s="2"/>
      <c r="D425" s="2"/>
      <c r="E425" s="2"/>
      <c r="F425" s="2"/>
      <c r="G425" s="2"/>
      <c r="H425" s="3"/>
      <c r="I425" s="1"/>
    </row>
    <row r="426" spans="2:9" x14ac:dyDescent="0.25">
      <c r="B426" s="1"/>
      <c r="C426" s="2"/>
      <c r="D426" s="2"/>
      <c r="E426" s="2"/>
      <c r="F426" s="2"/>
      <c r="G426" s="2"/>
      <c r="H426" s="3"/>
      <c r="I426" s="1"/>
    </row>
    <row r="427" spans="2:9" x14ac:dyDescent="0.25">
      <c r="B427" s="1"/>
      <c r="C427" s="2"/>
      <c r="D427" s="2"/>
      <c r="E427" s="2"/>
      <c r="F427" s="2"/>
      <c r="G427" s="2"/>
      <c r="H427" s="3"/>
      <c r="I427" s="1"/>
    </row>
    <row r="428" spans="2:9" x14ac:dyDescent="0.25">
      <c r="B428" s="1"/>
      <c r="C428" s="2"/>
      <c r="D428" s="2"/>
      <c r="E428" s="2"/>
      <c r="F428" s="2"/>
      <c r="G428" s="2"/>
      <c r="H428" s="3"/>
      <c r="I428" s="1"/>
    </row>
    <row r="429" spans="2:9" x14ac:dyDescent="0.25">
      <c r="B429" s="1"/>
      <c r="C429" s="2"/>
      <c r="D429" s="2"/>
      <c r="E429" s="2"/>
      <c r="F429" s="2"/>
      <c r="G429" s="2"/>
      <c r="H429" s="3"/>
      <c r="I429" s="1"/>
    </row>
    <row r="430" spans="2:9" x14ac:dyDescent="0.25">
      <c r="B430" s="1"/>
      <c r="C430" s="2"/>
      <c r="D430" s="2"/>
      <c r="E430" s="2"/>
      <c r="F430" s="2"/>
      <c r="G430" s="2"/>
      <c r="H430" s="3"/>
      <c r="I430" s="1"/>
    </row>
    <row r="431" spans="2:9" x14ac:dyDescent="0.25">
      <c r="B431" s="1"/>
      <c r="C431" s="2"/>
      <c r="D431" s="2"/>
      <c r="E431" s="2"/>
      <c r="F431" s="2"/>
      <c r="G431" s="2"/>
      <c r="H431" s="3"/>
      <c r="I431" s="1"/>
    </row>
    <row r="432" spans="2:9" x14ac:dyDescent="0.25">
      <c r="B432" s="1"/>
      <c r="C432" s="2"/>
      <c r="D432" s="2"/>
      <c r="E432" s="2"/>
      <c r="F432" s="2"/>
      <c r="G432" s="2"/>
      <c r="H432" s="3"/>
      <c r="I432" s="1"/>
    </row>
    <row r="433" spans="2:9" x14ac:dyDescent="0.25">
      <c r="B433" s="1"/>
      <c r="C433" s="2"/>
      <c r="D433" s="2"/>
      <c r="E433" s="2"/>
      <c r="F433" s="2"/>
      <c r="G433" s="2"/>
      <c r="H433" s="3"/>
      <c r="I433" s="1"/>
    </row>
    <row r="434" spans="2:9" x14ac:dyDescent="0.25">
      <c r="B434" s="1"/>
      <c r="C434" s="2"/>
      <c r="D434" s="2"/>
      <c r="E434" s="2"/>
      <c r="F434" s="2"/>
      <c r="G434" s="2"/>
      <c r="H434" s="3"/>
      <c r="I434" s="1"/>
    </row>
    <row r="435" spans="2:9" x14ac:dyDescent="0.25">
      <c r="B435" s="1"/>
      <c r="C435" s="2"/>
      <c r="D435" s="2"/>
      <c r="E435" s="2"/>
      <c r="F435" s="2"/>
      <c r="G435" s="2"/>
      <c r="H435" s="3"/>
      <c r="I435" s="1"/>
    </row>
    <row r="436" spans="2:9" x14ac:dyDescent="0.25">
      <c r="B436" s="1"/>
      <c r="C436" s="2"/>
      <c r="D436" s="2"/>
      <c r="E436" s="2"/>
      <c r="F436" s="2"/>
      <c r="G436" s="2"/>
      <c r="H436" s="3"/>
      <c r="I436" s="1"/>
    </row>
    <row r="437" spans="2:9" x14ac:dyDescent="0.25">
      <c r="B437" s="1"/>
      <c r="C437" s="2"/>
      <c r="D437" s="2"/>
      <c r="E437" s="2"/>
      <c r="F437" s="2"/>
      <c r="G437" s="2"/>
      <c r="H437" s="3"/>
      <c r="I437" s="1"/>
    </row>
    <row r="438" spans="2:9" x14ac:dyDescent="0.25">
      <c r="B438" s="1"/>
      <c r="C438" s="2"/>
      <c r="D438" s="2"/>
      <c r="E438" s="2"/>
      <c r="F438" s="2"/>
      <c r="G438" s="2"/>
      <c r="H438" s="3"/>
      <c r="I438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topLeftCell="A3" zoomScaleNormal="100" workbookViewId="0">
      <selection activeCell="N49" sqref="N49"/>
    </sheetView>
  </sheetViews>
  <sheetFormatPr defaultColWidth="8.77734375" defaultRowHeight="13.2" x14ac:dyDescent="0.25"/>
  <cols>
    <col min="2" max="2" width="9.33203125" bestFit="1" customWidth="1"/>
    <col min="5" max="5" width="9.33203125" bestFit="1" customWidth="1"/>
    <col min="6" max="6" width="12.44140625" bestFit="1" customWidth="1"/>
    <col min="7" max="7" width="9.33203125" bestFit="1" customWidth="1"/>
  </cols>
  <sheetData>
    <row r="1" spans="1:12" x14ac:dyDescent="0.25">
      <c r="A1" s="12" t="s">
        <v>66</v>
      </c>
      <c r="D1" t="s">
        <v>9</v>
      </c>
    </row>
    <row r="2" spans="1:12" ht="13.8" thickBot="1" x14ac:dyDescent="0.3"/>
    <row r="3" spans="1:12" x14ac:dyDescent="0.25">
      <c r="A3" t="s">
        <v>7</v>
      </c>
      <c r="B3" t="s">
        <v>8</v>
      </c>
      <c r="D3" s="27" t="s">
        <v>10</v>
      </c>
      <c r="E3" s="27"/>
    </row>
    <row r="4" spans="1:12" x14ac:dyDescent="0.25">
      <c r="A4" s="3">
        <f>Data!F8</f>
        <v>26.611070000000002</v>
      </c>
      <c r="B4" s="3">
        <f>Data!H8</f>
        <v>0</v>
      </c>
      <c r="D4" s="24" t="s">
        <v>11</v>
      </c>
      <c r="E4" s="24">
        <v>0.91756831115155502</v>
      </c>
    </row>
    <row r="5" spans="1:12" x14ac:dyDescent="0.25">
      <c r="A5" s="3">
        <f>Data!F9</f>
        <v>26.609100000000002</v>
      </c>
      <c r="B5" s="3">
        <f>Data!H9</f>
        <v>0.13333333333332575</v>
      </c>
      <c r="D5" s="24" t="s">
        <v>12</v>
      </c>
      <c r="E5" s="24">
        <v>0.84193160562951685</v>
      </c>
    </row>
    <row r="6" spans="1:12" x14ac:dyDescent="0.25">
      <c r="A6" s="3">
        <f>Data!F10</f>
        <v>26.612770000000001</v>
      </c>
      <c r="B6" s="3">
        <f>Data!H10</f>
        <v>0.29999999999995453</v>
      </c>
      <c r="D6" s="24" t="s">
        <v>13</v>
      </c>
      <c r="E6" s="24">
        <v>0.81935040643373358</v>
      </c>
    </row>
    <row r="7" spans="1:12" x14ac:dyDescent="0.25">
      <c r="A7" s="3">
        <f>Data!F23</f>
        <v>26.689409999999999</v>
      </c>
      <c r="B7" s="3">
        <f>Data!H23</f>
        <v>28.716666666666583</v>
      </c>
      <c r="D7" s="24" t="s">
        <v>14</v>
      </c>
      <c r="E7" s="24">
        <v>1.7372068775918837E-2</v>
      </c>
    </row>
    <row r="8" spans="1:12" ht="13.8" thickBot="1" x14ac:dyDescent="0.3">
      <c r="A8" s="3">
        <f>Data!F24</f>
        <v>26.69397</v>
      </c>
      <c r="B8" s="3">
        <f>Data!H24</f>
        <v>28.799999999999955</v>
      </c>
      <c r="D8" s="25" t="s">
        <v>15</v>
      </c>
      <c r="E8" s="25">
        <v>9</v>
      </c>
    </row>
    <row r="9" spans="1:12" x14ac:dyDescent="0.25">
      <c r="A9" s="3">
        <f>Data!F25</f>
        <v>26.685410000000001</v>
      </c>
      <c r="B9" s="3">
        <f>Data!H25</f>
        <v>29.016666666666652</v>
      </c>
    </row>
    <row r="10" spans="1:12" ht="13.8" thickBot="1" x14ac:dyDescent="0.3">
      <c r="A10" s="3">
        <f>Data!F38</f>
        <v>26.697870000000002</v>
      </c>
      <c r="B10" s="3">
        <f>Data!H38</f>
        <v>52.066666666666606</v>
      </c>
      <c r="D10" t="s">
        <v>16</v>
      </c>
    </row>
    <row r="11" spans="1:12" x14ac:dyDescent="0.25">
      <c r="A11" s="3">
        <f>Data!F39</f>
        <v>26.694320000000001</v>
      </c>
      <c r="B11" s="3">
        <f>Data!H39</f>
        <v>52.149999999999977</v>
      </c>
      <c r="D11" s="26"/>
      <c r="E11" s="26" t="s">
        <v>21</v>
      </c>
      <c r="F11" s="26" t="s">
        <v>22</v>
      </c>
      <c r="G11" s="26" t="s">
        <v>23</v>
      </c>
      <c r="H11" s="26" t="s">
        <v>24</v>
      </c>
      <c r="I11" s="26" t="s">
        <v>25</v>
      </c>
    </row>
    <row r="12" spans="1:12" x14ac:dyDescent="0.25">
      <c r="A12" s="3">
        <f>Data!F40</f>
        <v>26.6935</v>
      </c>
      <c r="B12" s="3">
        <f>Data!H40</f>
        <v>52.199999999999932</v>
      </c>
      <c r="D12" s="24" t="s">
        <v>17</v>
      </c>
      <c r="E12" s="24">
        <v>1</v>
      </c>
      <c r="F12" s="24">
        <v>1.1252082074001832E-2</v>
      </c>
      <c r="G12" s="24">
        <v>1.1252082074001832E-2</v>
      </c>
      <c r="H12" s="24">
        <v>37.284627726358089</v>
      </c>
      <c r="I12" s="24">
        <v>4.881327068294125E-4</v>
      </c>
    </row>
    <row r="13" spans="1:12" x14ac:dyDescent="0.25">
      <c r="A13" s="3" t="e">
        <f>Data!#REF!</f>
        <v>#REF!</v>
      </c>
      <c r="B13" s="3" t="e">
        <f>Data!#REF!</f>
        <v>#REF!</v>
      </c>
      <c r="D13" s="24" t="s">
        <v>18</v>
      </c>
      <c r="E13" s="24">
        <v>7</v>
      </c>
      <c r="F13" s="24">
        <v>2.1125214148867795E-3</v>
      </c>
      <c r="G13" s="24">
        <v>3.0178877355525419E-4</v>
      </c>
      <c r="H13" s="24"/>
      <c r="I13" s="24"/>
    </row>
    <row r="14" spans="1:12" ht="13.8" thickBot="1" x14ac:dyDescent="0.3">
      <c r="A14" s="3" t="e">
        <f>Data!#REF!</f>
        <v>#REF!</v>
      </c>
      <c r="B14" s="3" t="e">
        <f>Data!#REF!</f>
        <v>#REF!</v>
      </c>
      <c r="D14" s="25" t="s">
        <v>19</v>
      </c>
      <c r="E14" s="25">
        <v>8</v>
      </c>
      <c r="F14" s="25">
        <v>1.3364603488888613E-2</v>
      </c>
      <c r="G14" s="25"/>
      <c r="H14" s="25"/>
      <c r="I14" s="25"/>
    </row>
    <row r="15" spans="1:12" ht="13.8" thickBot="1" x14ac:dyDescent="0.3">
      <c r="A15" s="3" t="e">
        <f>Data!#REF!</f>
        <v>#REF!</v>
      </c>
      <c r="B15" s="3" t="e">
        <f>Data!#REF!</f>
        <v>#REF!</v>
      </c>
    </row>
    <row r="16" spans="1:12" x14ac:dyDescent="0.25">
      <c r="A16" s="3" t="e">
        <f>Data!#REF!</f>
        <v>#REF!</v>
      </c>
      <c r="B16" s="3" t="e">
        <f>Data!#REF!</f>
        <v>#REF!</v>
      </c>
      <c r="D16" s="26"/>
      <c r="E16" s="26" t="s">
        <v>26</v>
      </c>
      <c r="F16" s="26" t="s">
        <v>14</v>
      </c>
      <c r="G16" s="26" t="s">
        <v>27</v>
      </c>
      <c r="H16" s="26" t="s">
        <v>28</v>
      </c>
      <c r="I16" s="26" t="s">
        <v>29</v>
      </c>
      <c r="J16" s="26" t="s">
        <v>30</v>
      </c>
      <c r="K16" s="26" t="s">
        <v>31</v>
      </c>
      <c r="L16" s="26" t="s">
        <v>32</v>
      </c>
    </row>
    <row r="17" spans="1:12" x14ac:dyDescent="0.25">
      <c r="A17" s="3" t="e">
        <f>Data!#REF!</f>
        <v>#REF!</v>
      </c>
      <c r="B17" s="3" t="e">
        <f>Data!#REF!</f>
        <v>#REF!</v>
      </c>
      <c r="D17" s="24" t="s">
        <v>20</v>
      </c>
      <c r="E17" s="24">
        <v>26.620303764062758</v>
      </c>
      <c r="F17" s="24">
        <v>9.3680233891624068E-3</v>
      </c>
      <c r="G17" s="24">
        <v>2841.6137170258362</v>
      </c>
      <c r="H17" s="24">
        <v>1.7653009150587134E-22</v>
      </c>
      <c r="I17" s="24">
        <v>26.598151908767257</v>
      </c>
      <c r="J17" s="24">
        <v>26.642455619358259</v>
      </c>
      <c r="K17" s="24">
        <v>26.598151908767257</v>
      </c>
      <c r="L17" s="24">
        <v>26.642455619358259</v>
      </c>
    </row>
    <row r="18" spans="1:12" ht="13.8" thickBot="1" x14ac:dyDescent="0.3">
      <c r="A18" s="3" t="e">
        <f>Data!#REF!</f>
        <v>#REF!</v>
      </c>
      <c r="B18" s="3" t="e">
        <f>Data!#REF!</f>
        <v>#REF!</v>
      </c>
      <c r="D18" s="25" t="s">
        <v>33</v>
      </c>
      <c r="E18" s="25">
        <v>1.6627519965835978E-3</v>
      </c>
      <c r="F18" s="25">
        <v>2.7230936184964046E-4</v>
      </c>
      <c r="G18" s="25">
        <v>6.106113962771909</v>
      </c>
      <c r="H18" s="25">
        <v>4.8813270682941342E-4</v>
      </c>
      <c r="I18" s="25">
        <v>1.0188426756181828E-3</v>
      </c>
      <c r="J18" s="25">
        <v>2.3066613175490129E-3</v>
      </c>
      <c r="K18" s="25">
        <v>1.0188426756181828E-3</v>
      </c>
      <c r="L18" s="25">
        <v>2.3066613175490129E-3</v>
      </c>
    </row>
    <row r="19" spans="1:12" x14ac:dyDescent="0.25">
      <c r="A19" s="3" t="e">
        <f>Data!#REF!</f>
        <v>#REF!</v>
      </c>
      <c r="B19" s="3" t="e">
        <f>Data!#REF!</f>
        <v>#REF!</v>
      </c>
    </row>
    <row r="20" spans="1:12" x14ac:dyDescent="0.25">
      <c r="A20" s="3" t="e">
        <f>Data!#REF!</f>
        <v>#REF!</v>
      </c>
      <c r="B20" s="3" t="e">
        <f>Data!#REF!</f>
        <v>#REF!</v>
      </c>
    </row>
    <row r="21" spans="1:12" x14ac:dyDescent="0.25">
      <c r="A21" s="3" t="e">
        <f>Data!#REF!</f>
        <v>#REF!</v>
      </c>
      <c r="B21" s="3" t="e">
        <f>Data!#REF!</f>
        <v>#REF!</v>
      </c>
    </row>
    <row r="22" spans="1:12" x14ac:dyDescent="0.25">
      <c r="A22" s="3" t="e">
        <f>Data!#REF!</f>
        <v>#REF!</v>
      </c>
      <c r="B22" s="3" t="e">
        <f>Data!#REF!</f>
        <v>#REF!</v>
      </c>
    </row>
    <row r="23" spans="1:12" x14ac:dyDescent="0.25">
      <c r="A23" s="3" t="e">
        <f>Data!#REF!</f>
        <v>#REF!</v>
      </c>
      <c r="B23" s="3" t="e">
        <f>Data!#REF!</f>
        <v>#REF!</v>
      </c>
    </row>
    <row r="24" spans="1:12" x14ac:dyDescent="0.25">
      <c r="A24" s="3" t="e">
        <f>Data!#REF!</f>
        <v>#REF!</v>
      </c>
      <c r="B24" s="3" t="e">
        <f>Data!#REF!</f>
        <v>#REF!</v>
      </c>
    </row>
    <row r="25" spans="1:12" x14ac:dyDescent="0.25">
      <c r="A25" s="3"/>
      <c r="B25" s="3"/>
    </row>
    <row r="26" spans="1:12" x14ac:dyDescent="0.25">
      <c r="A26" s="3"/>
      <c r="B26" s="3"/>
    </row>
    <row r="27" spans="1:12" x14ac:dyDescent="0.25">
      <c r="A27" s="3"/>
      <c r="B27" s="3"/>
    </row>
    <row r="28" spans="1:12" x14ac:dyDescent="0.25">
      <c r="A28" s="3" t="e">
        <f>Data!C235/Data!F235</f>
        <v>#DIV/0!</v>
      </c>
      <c r="B28" s="3">
        <f>Data!H235</f>
        <v>0</v>
      </c>
    </row>
    <row r="29" spans="1:12" x14ac:dyDescent="0.25">
      <c r="A29" s="3" t="e">
        <f>Data!C236/Data!F236</f>
        <v>#DIV/0!</v>
      </c>
      <c r="B29" s="3">
        <f>Data!H236</f>
        <v>0</v>
      </c>
    </row>
    <row r="30" spans="1:12" x14ac:dyDescent="0.25">
      <c r="A30" s="3" t="e">
        <f>Data!C237/Data!F237</f>
        <v>#DIV/0!</v>
      </c>
      <c r="B30" s="3">
        <f>Data!H237</f>
        <v>0</v>
      </c>
    </row>
    <row r="31" spans="1:12" x14ac:dyDescent="0.25">
      <c r="A31" s="3" t="e">
        <f>Data!C361/Data!F361</f>
        <v>#DIV/0!</v>
      </c>
      <c r="B31" s="3">
        <f>Data!H361</f>
        <v>0</v>
      </c>
    </row>
    <row r="32" spans="1:12" x14ac:dyDescent="0.25">
      <c r="A32" s="3" t="e">
        <f>Data!C362/Data!F362</f>
        <v>#DIV/0!</v>
      </c>
      <c r="B32" s="3">
        <f>Data!H362</f>
        <v>0</v>
      </c>
    </row>
    <row r="33" spans="1:5" x14ac:dyDescent="0.25">
      <c r="A33" s="3" t="e">
        <f>Data!C363/Data!F363</f>
        <v>#DIV/0!</v>
      </c>
      <c r="B33" s="3">
        <f>Data!H363</f>
        <v>0</v>
      </c>
    </row>
    <row r="34" spans="1:5" x14ac:dyDescent="0.25">
      <c r="A34" s="3" t="e">
        <f>Data!C427/Data!F427</f>
        <v>#DIV/0!</v>
      </c>
      <c r="B34" s="3">
        <f>Data!H427</f>
        <v>0</v>
      </c>
    </row>
    <row r="35" spans="1:5" x14ac:dyDescent="0.25">
      <c r="A35" s="3" t="e">
        <f>Data!C428/Data!F428</f>
        <v>#DIV/0!</v>
      </c>
      <c r="B35" s="3">
        <f>Data!H428</f>
        <v>0</v>
      </c>
    </row>
    <row r="36" spans="1:5" x14ac:dyDescent="0.25">
      <c r="A36" s="3" t="e">
        <f>Data!C429/Data!F429</f>
        <v>#DIV/0!</v>
      </c>
      <c r="B36" s="3">
        <f>Data!H429</f>
        <v>0</v>
      </c>
    </row>
    <row r="37" spans="1:5" x14ac:dyDescent="0.25">
      <c r="A37" s="3" t="e">
        <f>Data!C433/Data!F433</f>
        <v>#DIV/0!</v>
      </c>
      <c r="B37" s="3">
        <f>Data!H433</f>
        <v>0</v>
      </c>
    </row>
    <row r="38" spans="1:5" x14ac:dyDescent="0.25">
      <c r="A38" s="3" t="e">
        <f>Data!C434/Data!F434</f>
        <v>#DIV/0!</v>
      </c>
      <c r="B38" s="3">
        <f>Data!H434</f>
        <v>0</v>
      </c>
    </row>
    <row r="39" spans="1:5" x14ac:dyDescent="0.25">
      <c r="A39" s="3" t="e">
        <f>Data!C435/Data!F435</f>
        <v>#DIV/0!</v>
      </c>
      <c r="B39" s="3">
        <f>Data!H435</f>
        <v>0</v>
      </c>
    </row>
    <row r="40" spans="1:5" s="12" customFormat="1" x14ac:dyDescent="0.25"/>
    <row r="41" spans="1:5" x14ac:dyDescent="0.25">
      <c r="A41" s="12" t="s">
        <v>67</v>
      </c>
      <c r="D41" t="s">
        <v>9</v>
      </c>
    </row>
    <row r="42" spans="1:5" ht="13.8" thickBot="1" x14ac:dyDescent="0.3"/>
    <row r="43" spans="1:5" x14ac:dyDescent="0.25">
      <c r="A43" t="s">
        <v>7</v>
      </c>
      <c r="B43" t="s">
        <v>8</v>
      </c>
      <c r="D43" s="27" t="s">
        <v>10</v>
      </c>
      <c r="E43" s="27"/>
    </row>
    <row r="44" spans="1:5" x14ac:dyDescent="0.25">
      <c r="A44">
        <v>27.30733</v>
      </c>
      <c r="B44" s="3">
        <f>Data!H11</f>
        <v>5.0833333333332575</v>
      </c>
      <c r="D44" s="24" t="s">
        <v>11</v>
      </c>
      <c r="E44" s="24">
        <v>0.91835525370919191</v>
      </c>
    </row>
    <row r="45" spans="1:5" x14ac:dyDescent="0.25">
      <c r="A45">
        <v>27.312619999999999</v>
      </c>
      <c r="B45" s="3">
        <f>Data!H12</f>
        <v>5.2166666666665833</v>
      </c>
      <c r="D45" s="24" t="s">
        <v>12</v>
      </c>
      <c r="E45" s="24">
        <v>0.84337637201527427</v>
      </c>
    </row>
    <row r="46" spans="1:5" x14ac:dyDescent="0.25">
      <c r="A46">
        <v>27.320889999999999</v>
      </c>
      <c r="B46" s="3">
        <f>Data!H13</f>
        <v>5.3500000000000227</v>
      </c>
      <c r="D46" s="24" t="s">
        <v>13</v>
      </c>
      <c r="E46" s="24">
        <v>0.82100156801745627</v>
      </c>
    </row>
    <row r="47" spans="1:5" x14ac:dyDescent="0.25">
      <c r="A47">
        <v>27.331109999999999</v>
      </c>
      <c r="B47" s="3">
        <v>35.483333333333348</v>
      </c>
      <c r="D47" s="24" t="s">
        <v>14</v>
      </c>
      <c r="E47" s="24">
        <v>4.6365542816590383E-3</v>
      </c>
    </row>
    <row r="48" spans="1:5" ht="13.8" thickBot="1" x14ac:dyDescent="0.3">
      <c r="A48">
        <v>27.325970000000002</v>
      </c>
      <c r="B48" s="3">
        <v>35.616666666666674</v>
      </c>
      <c r="D48" s="25" t="s">
        <v>15</v>
      </c>
      <c r="E48" s="25">
        <v>9</v>
      </c>
    </row>
    <row r="49" spans="1:12" x14ac:dyDescent="0.25">
      <c r="A49">
        <v>27.327069999999999</v>
      </c>
      <c r="B49" s="3">
        <v>35.699999999999932</v>
      </c>
    </row>
    <row r="50" spans="1:12" ht="13.8" thickBot="1" x14ac:dyDescent="0.3">
      <c r="A50">
        <v>27.3386</v>
      </c>
      <c r="B50" s="3">
        <v>56.399999999999977</v>
      </c>
      <c r="D50" t="s">
        <v>16</v>
      </c>
    </row>
    <row r="51" spans="1:12" x14ac:dyDescent="0.25">
      <c r="A51">
        <v>27.339860000000002</v>
      </c>
      <c r="B51" s="3">
        <v>56.483333333333348</v>
      </c>
      <c r="D51" s="26"/>
      <c r="E51" s="26" t="s">
        <v>21</v>
      </c>
      <c r="F51" s="26" t="s">
        <v>22</v>
      </c>
      <c r="G51" s="26" t="s">
        <v>23</v>
      </c>
      <c r="H51" s="26" t="s">
        <v>24</v>
      </c>
      <c r="I51" s="26" t="s">
        <v>25</v>
      </c>
    </row>
    <row r="52" spans="1:12" x14ac:dyDescent="0.25">
      <c r="A52">
        <v>27.331389999999999</v>
      </c>
      <c r="B52" s="3">
        <v>56.566666666666606</v>
      </c>
      <c r="D52" s="24" t="s">
        <v>17</v>
      </c>
      <c r="E52" s="24">
        <v>1</v>
      </c>
      <c r="F52" s="24">
        <v>8.1031315075264323E-4</v>
      </c>
      <c r="G52" s="24">
        <v>8.1031315075264323E-4</v>
      </c>
      <c r="H52" s="24">
        <v>37.693128936348337</v>
      </c>
      <c r="I52" s="24">
        <v>4.7238856796939387E-4</v>
      </c>
    </row>
    <row r="53" spans="1:12" x14ac:dyDescent="0.25">
      <c r="A53" s="3" t="e">
        <f>Data!#REF!/Data!#REF!</f>
        <v>#REF!</v>
      </c>
      <c r="B53" s="3" t="e">
        <f>Data!#REF!</f>
        <v>#REF!</v>
      </c>
      <c r="D53" s="24" t="s">
        <v>18</v>
      </c>
      <c r="E53" s="24">
        <v>7</v>
      </c>
      <c r="F53" s="24">
        <v>1.5048344924739531E-4</v>
      </c>
      <c r="G53" s="24">
        <v>2.1497635606770759E-5</v>
      </c>
      <c r="H53" s="24"/>
      <c r="I53" s="24"/>
    </row>
    <row r="54" spans="1:12" ht="13.8" thickBot="1" x14ac:dyDescent="0.3">
      <c r="A54" s="3" t="e">
        <f>Data!#REF!/Data!#REF!</f>
        <v>#REF!</v>
      </c>
      <c r="B54" s="3" t="e">
        <f>Data!#REF!</f>
        <v>#REF!</v>
      </c>
      <c r="D54" s="25" t="s">
        <v>19</v>
      </c>
      <c r="E54" s="25">
        <v>8</v>
      </c>
      <c r="F54" s="25">
        <v>9.6079660000003857E-4</v>
      </c>
      <c r="G54" s="25"/>
      <c r="H54" s="25"/>
      <c r="I54" s="25"/>
    </row>
    <row r="55" spans="1:12" ht="13.8" thickBot="1" x14ac:dyDescent="0.3">
      <c r="A55" s="3" t="e">
        <f>Data!#REF!/Data!#REF!</f>
        <v>#REF!</v>
      </c>
      <c r="B55" s="3" t="e">
        <f>Data!#REF!</f>
        <v>#REF!</v>
      </c>
    </row>
    <row r="56" spans="1:12" x14ac:dyDescent="0.25">
      <c r="A56" s="3" t="e">
        <f>Data!#REF!/Data!#REF!</f>
        <v>#REF!</v>
      </c>
      <c r="B56" s="3" t="e">
        <f>Data!#REF!</f>
        <v>#REF!</v>
      </c>
      <c r="D56" s="26"/>
      <c r="E56" s="26" t="s">
        <v>26</v>
      </c>
      <c r="F56" s="26" t="s">
        <v>14</v>
      </c>
      <c r="G56" s="26" t="s">
        <v>27</v>
      </c>
      <c r="H56" s="26" t="s">
        <v>28</v>
      </c>
      <c r="I56" s="26" t="s">
        <v>29</v>
      </c>
      <c r="J56" s="26" t="s">
        <v>30</v>
      </c>
      <c r="K56" s="26" t="s">
        <v>31</v>
      </c>
      <c r="L56" s="26" t="s">
        <v>32</v>
      </c>
    </row>
    <row r="57" spans="1:12" x14ac:dyDescent="0.25">
      <c r="A57" s="3" t="e">
        <f>Data!#REF!/Data!#REF!</f>
        <v>#REF!</v>
      </c>
      <c r="B57" s="3" t="e">
        <f>Data!#REF!</f>
        <v>#REF!</v>
      </c>
      <c r="D57" s="24" t="s">
        <v>20</v>
      </c>
      <c r="E57" s="24">
        <v>27.311472842150167</v>
      </c>
      <c r="F57" s="24">
        <v>2.8389528805081565E-3</v>
      </c>
      <c r="G57" s="24">
        <v>9620.2628193186392</v>
      </c>
      <c r="H57" s="24">
        <v>3.4631120319240068E-26</v>
      </c>
      <c r="I57" s="24">
        <v>27.304759785319789</v>
      </c>
      <c r="J57" s="24">
        <v>27.318185898980545</v>
      </c>
      <c r="K57" s="24">
        <v>27.304759785319789</v>
      </c>
      <c r="L57" s="24">
        <v>27.318185898980545</v>
      </c>
    </row>
    <row r="58" spans="1:12" ht="13.8" thickBot="1" x14ac:dyDescent="0.3">
      <c r="A58" s="3" t="e">
        <f>Data!#REF!/Data!#REF!</f>
        <v>#REF!</v>
      </c>
      <c r="B58" s="3" t="e">
        <f>Data!#REF!</f>
        <v>#REF!</v>
      </c>
      <c r="D58" s="25" t="s">
        <v>33</v>
      </c>
      <c r="E58" s="25">
        <v>4.5078595631548068E-4</v>
      </c>
      <c r="F58" s="25">
        <v>7.3424210027180889E-5</v>
      </c>
      <c r="G58" s="25">
        <v>6.1394730178044048</v>
      </c>
      <c r="H58" s="25">
        <v>4.7238856796939424E-4</v>
      </c>
      <c r="I58" s="25">
        <v>2.7716528863116661E-4</v>
      </c>
      <c r="J58" s="25">
        <v>6.2440662399979475E-4</v>
      </c>
      <c r="K58" s="25">
        <v>2.7716528863116661E-4</v>
      </c>
      <c r="L58" s="25">
        <v>6.2440662399979475E-4</v>
      </c>
    </row>
    <row r="59" spans="1:12" x14ac:dyDescent="0.25">
      <c r="A59" s="3" t="e">
        <f>Data!#REF!/Data!#REF!</f>
        <v>#REF!</v>
      </c>
      <c r="B59" s="3" t="e">
        <f>Data!#REF!</f>
        <v>#REF!</v>
      </c>
    </row>
    <row r="60" spans="1:12" x14ac:dyDescent="0.25">
      <c r="A60" s="3" t="e">
        <f>Data!#REF!/Data!#REF!</f>
        <v>#REF!</v>
      </c>
      <c r="B60" s="3" t="e">
        <f>Data!#REF!</f>
        <v>#REF!</v>
      </c>
    </row>
    <row r="61" spans="1:12" x14ac:dyDescent="0.25">
      <c r="A61" s="3" t="e">
        <f>Data!#REF!/Data!#REF!</f>
        <v>#REF!</v>
      </c>
      <c r="B61" s="3" t="e">
        <f>Data!#REF!</f>
        <v>#REF!</v>
      </c>
    </row>
    <row r="62" spans="1:12" x14ac:dyDescent="0.25">
      <c r="A62" s="3" t="e">
        <f>Data!#REF!/Data!#REF!</f>
        <v>#REF!</v>
      </c>
      <c r="B62" s="3" t="e">
        <f>Data!#REF!</f>
        <v>#REF!</v>
      </c>
    </row>
    <row r="63" spans="1:12" x14ac:dyDescent="0.25">
      <c r="A63" s="3" t="e">
        <f>Data!#REF!/Data!#REF!</f>
        <v>#REF!</v>
      </c>
      <c r="B63" s="3" t="e">
        <f>Data!#REF!</f>
        <v>#REF!</v>
      </c>
    </row>
    <row r="64" spans="1:12" x14ac:dyDescent="0.25">
      <c r="A64" s="3" t="e">
        <f>Data!#REF!/Data!#REF!</f>
        <v>#REF!</v>
      </c>
      <c r="B64" s="3" t="e">
        <f>Data!#REF!</f>
        <v>#REF!</v>
      </c>
    </row>
    <row r="65" spans="1:2" x14ac:dyDescent="0.25">
      <c r="A65" s="3" t="e">
        <f>Data!#REF!/Data!#REF!</f>
        <v>#REF!</v>
      </c>
      <c r="B65" s="3" t="e">
        <f>Data!#REF!</f>
        <v>#REF!</v>
      </c>
    </row>
    <row r="66" spans="1:2" x14ac:dyDescent="0.25">
      <c r="A66" s="3" t="e">
        <f>Data!#REF!/Data!#REF!</f>
        <v>#REF!</v>
      </c>
      <c r="B66" s="3" t="e">
        <f>Data!#REF!</f>
        <v>#REF!</v>
      </c>
    </row>
    <row r="67" spans="1:2" x14ac:dyDescent="0.25">
      <c r="A67" s="3" t="e">
        <f>Data!#REF!/Data!#REF!</f>
        <v>#REF!</v>
      </c>
      <c r="B67" s="3" t="e">
        <f>Data!#REF!</f>
        <v>#REF!</v>
      </c>
    </row>
    <row r="68" spans="1:2" x14ac:dyDescent="0.25">
      <c r="A68" s="3" t="e">
        <f>Data!C238/Data!F238</f>
        <v>#DIV/0!</v>
      </c>
      <c r="B68" s="3">
        <f>Data!H238</f>
        <v>0</v>
      </c>
    </row>
    <row r="69" spans="1:2" x14ac:dyDescent="0.25">
      <c r="A69" s="3" t="e">
        <f>Data!C239/Data!F239</f>
        <v>#DIV/0!</v>
      </c>
      <c r="B69" s="3">
        <f>Data!H239</f>
        <v>0</v>
      </c>
    </row>
    <row r="70" spans="1:2" x14ac:dyDescent="0.25">
      <c r="A70" s="3" t="e">
        <f>Data!C240/Data!F240</f>
        <v>#DIV/0!</v>
      </c>
      <c r="B70" s="3">
        <f>Data!H240</f>
        <v>0</v>
      </c>
    </row>
    <row r="71" spans="1:2" x14ac:dyDescent="0.25">
      <c r="A71" s="3" t="e">
        <f>Data!C364/Data!F364</f>
        <v>#DIV/0!</v>
      </c>
      <c r="B71" s="3">
        <f>Data!H364</f>
        <v>0</v>
      </c>
    </row>
    <row r="72" spans="1:2" x14ac:dyDescent="0.25">
      <c r="A72" s="3" t="e">
        <f>Data!C365/Data!F365</f>
        <v>#DIV/0!</v>
      </c>
      <c r="B72" s="3">
        <f>Data!H365</f>
        <v>0</v>
      </c>
    </row>
    <row r="73" spans="1:2" x14ac:dyDescent="0.25">
      <c r="A73" s="3" t="e">
        <f>Data!C366/Data!F366</f>
        <v>#DIV/0!</v>
      </c>
      <c r="B73" s="3">
        <f>Data!H366</f>
        <v>0</v>
      </c>
    </row>
    <row r="74" spans="1:2" x14ac:dyDescent="0.25">
      <c r="A74" s="3" t="e">
        <f>Data!C430/Data!F430</f>
        <v>#DIV/0!</v>
      </c>
      <c r="B74" s="3">
        <f>Data!H430</f>
        <v>0</v>
      </c>
    </row>
    <row r="75" spans="1:2" x14ac:dyDescent="0.25">
      <c r="A75" s="3" t="e">
        <f>Data!C431/Data!F431</f>
        <v>#DIV/0!</v>
      </c>
      <c r="B75" s="3">
        <f>Data!H431</f>
        <v>0</v>
      </c>
    </row>
    <row r="76" spans="1:2" x14ac:dyDescent="0.25">
      <c r="A76" s="3" t="e">
        <f>Data!C432/Data!F432</f>
        <v>#DIV/0!</v>
      </c>
      <c r="B76" s="3">
        <f>Data!H432</f>
        <v>0</v>
      </c>
    </row>
    <row r="77" spans="1:2" x14ac:dyDescent="0.25">
      <c r="A77" s="3" t="e">
        <f>Data!C436/Data!F436</f>
        <v>#DIV/0!</v>
      </c>
      <c r="B77" s="3">
        <f>Data!H436</f>
        <v>0</v>
      </c>
    </row>
    <row r="78" spans="1:2" x14ac:dyDescent="0.25">
      <c r="A78" s="3" t="e">
        <f>Data!C437/Data!F437</f>
        <v>#DIV/0!</v>
      </c>
      <c r="B78" s="3">
        <f>Data!H437</f>
        <v>0</v>
      </c>
    </row>
    <row r="79" spans="1:2" x14ac:dyDescent="0.25">
      <c r="A79" s="3" t="e">
        <f>Data!C438/Data!F438</f>
        <v>#DIV/0!</v>
      </c>
      <c r="B79" s="3">
        <f>Data!H438</f>
        <v>0</v>
      </c>
    </row>
    <row r="81" spans="1:12" x14ac:dyDescent="0.25">
      <c r="A81" s="12" t="s">
        <v>68</v>
      </c>
      <c r="D81" t="s">
        <v>9</v>
      </c>
    </row>
    <row r="82" spans="1:12" ht="13.8" thickBot="1" x14ac:dyDescent="0.3"/>
    <row r="83" spans="1:12" x14ac:dyDescent="0.25">
      <c r="A83" t="s">
        <v>34</v>
      </c>
      <c r="B83" t="s">
        <v>35</v>
      </c>
      <c r="D83" s="14" t="s">
        <v>10</v>
      </c>
      <c r="E83" s="14"/>
    </row>
    <row r="84" spans="1:12" x14ac:dyDescent="0.25">
      <c r="A84" s="3">
        <f>Data!G8/Data!F8</f>
        <v>0.47917426845294081</v>
      </c>
      <c r="B84" s="3">
        <f>Data!H8</f>
        <v>0</v>
      </c>
      <c r="D84" t="s">
        <v>11</v>
      </c>
      <c r="E84">
        <v>4.7939096813220852E-2</v>
      </c>
    </row>
    <row r="85" spans="1:12" x14ac:dyDescent="0.25">
      <c r="A85" s="3">
        <f>Data!G9/Data!F9</f>
        <v>0.47913646083482714</v>
      </c>
      <c r="B85" s="3">
        <f>Data!H9</f>
        <v>0.13333333333332575</v>
      </c>
      <c r="D85" t="s">
        <v>12</v>
      </c>
      <c r="E85">
        <v>2.2981570032673615E-3</v>
      </c>
    </row>
    <row r="86" spans="1:12" x14ac:dyDescent="0.25">
      <c r="A86" s="3">
        <f>Data!G10/Data!F10</f>
        <v>0.47909105290430121</v>
      </c>
      <c r="B86" s="3">
        <f>Data!H10</f>
        <v>0.29999999999995453</v>
      </c>
      <c r="D86" t="s">
        <v>13</v>
      </c>
      <c r="E86">
        <v>-4.3051926769311397E-2</v>
      </c>
    </row>
    <row r="87" spans="1:12" x14ac:dyDescent="0.25">
      <c r="A87" s="3">
        <f>Data!G14/Data!F14</f>
        <v>0.43130469482780159</v>
      </c>
      <c r="B87" s="3">
        <f>Data!H14</f>
        <v>9.6833333333332803</v>
      </c>
      <c r="D87" t="s">
        <v>14</v>
      </c>
      <c r="E87">
        <v>5.6283917918550197E-2</v>
      </c>
    </row>
    <row r="88" spans="1:12" ht="13.8" thickBot="1" x14ac:dyDescent="0.3">
      <c r="A88" s="3">
        <f>Data!G15/Data!F15</f>
        <v>0.43126351905720894</v>
      </c>
      <c r="B88" s="3">
        <f>Data!H15</f>
        <v>9.816666666666606</v>
      </c>
      <c r="D88" s="5" t="s">
        <v>15</v>
      </c>
      <c r="E88" s="5">
        <v>24</v>
      </c>
    </row>
    <row r="89" spans="1:12" x14ac:dyDescent="0.25">
      <c r="A89" s="3">
        <f>Data!G16/Data!F16</f>
        <v>0.43111987635829835</v>
      </c>
      <c r="B89" s="3">
        <f>Data!H16</f>
        <v>10.033333333333303</v>
      </c>
    </row>
    <row r="90" spans="1:12" ht="13.8" thickBot="1" x14ac:dyDescent="0.3">
      <c r="A90" s="3" t="e">
        <f>Data!#REF!/Data!#REF!</f>
        <v>#REF!</v>
      </c>
      <c r="B90" s="3" t="e">
        <f>Data!#REF!</f>
        <v>#REF!</v>
      </c>
      <c r="D90" t="s">
        <v>16</v>
      </c>
    </row>
    <row r="91" spans="1:12" x14ac:dyDescent="0.25">
      <c r="A91" s="3" t="e">
        <f>Data!#REF!/Data!#REF!</f>
        <v>#REF!</v>
      </c>
      <c r="B91" s="3" t="e">
        <f>Data!#REF!</f>
        <v>#REF!</v>
      </c>
      <c r="D91" s="13"/>
      <c r="E91" s="13" t="s">
        <v>21</v>
      </c>
      <c r="F91" s="13" t="s">
        <v>22</v>
      </c>
      <c r="G91" s="13" t="s">
        <v>23</v>
      </c>
      <c r="H91" s="13" t="s">
        <v>24</v>
      </c>
      <c r="I91" s="13" t="s">
        <v>25</v>
      </c>
    </row>
    <row r="92" spans="1:12" x14ac:dyDescent="0.25">
      <c r="A92" s="3" t="e">
        <f>Data!#REF!/Data!#REF!</f>
        <v>#REF!</v>
      </c>
      <c r="B92" s="3" t="e">
        <f>Data!#REF!</f>
        <v>#REF!</v>
      </c>
      <c r="D92" t="s">
        <v>17</v>
      </c>
      <c r="E92">
        <v>1</v>
      </c>
      <c r="F92">
        <v>1.6053518892045204E-4</v>
      </c>
      <c r="G92">
        <v>1.6053518892045204E-4</v>
      </c>
      <c r="H92">
        <v>5.0675915281483082E-2</v>
      </c>
      <c r="I92">
        <v>0.82396916040571111</v>
      </c>
    </row>
    <row r="93" spans="1:12" x14ac:dyDescent="0.25">
      <c r="A93" s="3" t="e">
        <f>Data!#REF!/Data!#REF!</f>
        <v>#REF!</v>
      </c>
      <c r="B93" s="3" t="e">
        <f>Data!#REF!</f>
        <v>#REF!</v>
      </c>
      <c r="D93" t="s">
        <v>18</v>
      </c>
      <c r="E93">
        <v>22</v>
      </c>
      <c r="F93">
        <v>6.9693347157766108E-2</v>
      </c>
      <c r="G93">
        <v>3.1678794162620957E-3</v>
      </c>
    </row>
    <row r="94" spans="1:12" ht="13.8" thickBot="1" x14ac:dyDescent="0.3">
      <c r="A94" s="3" t="e">
        <f>Data!#REF!/Data!#REF!</f>
        <v>#REF!</v>
      </c>
      <c r="B94" s="3" t="e">
        <f>Data!#REF!</f>
        <v>#REF!</v>
      </c>
      <c r="D94" s="5" t="s">
        <v>19</v>
      </c>
      <c r="E94" s="5">
        <v>23</v>
      </c>
      <c r="F94" s="5">
        <v>6.985388234668656E-2</v>
      </c>
      <c r="G94" s="5"/>
      <c r="H94" s="5"/>
      <c r="I94" s="5"/>
    </row>
    <row r="95" spans="1:12" ht="13.8" thickBot="1" x14ac:dyDescent="0.3">
      <c r="A95" s="3" t="e">
        <f>Data!#REF!/Data!#REF!</f>
        <v>#REF!</v>
      </c>
      <c r="B95" s="3" t="e">
        <f>Data!#REF!</f>
        <v>#REF!</v>
      </c>
    </row>
    <row r="96" spans="1:12" x14ac:dyDescent="0.25">
      <c r="A96" s="3" t="e">
        <f>Data!#REF!/Data!#REF!</f>
        <v>#REF!</v>
      </c>
      <c r="B96" s="3" t="e">
        <f>Data!#REF!</f>
        <v>#REF!</v>
      </c>
      <c r="D96" s="13"/>
      <c r="E96" s="13" t="s">
        <v>26</v>
      </c>
      <c r="F96" s="13" t="s">
        <v>14</v>
      </c>
      <c r="G96" s="13" t="s">
        <v>27</v>
      </c>
      <c r="H96" s="13" t="s">
        <v>28</v>
      </c>
      <c r="I96" s="13" t="s">
        <v>29</v>
      </c>
      <c r="J96" s="13" t="s">
        <v>30</v>
      </c>
      <c r="K96" s="13" t="s">
        <v>31</v>
      </c>
      <c r="L96" s="13" t="s">
        <v>32</v>
      </c>
    </row>
    <row r="97" spans="1:12" x14ac:dyDescent="0.25">
      <c r="A97" s="3" t="e">
        <f>Data!#REF!/Data!#REF!</f>
        <v>#REF!</v>
      </c>
      <c r="B97" s="3" t="e">
        <f>Data!#REF!</f>
        <v>#REF!</v>
      </c>
      <c r="D97" t="s">
        <v>20</v>
      </c>
      <c r="E97">
        <v>24.408930962853034</v>
      </c>
      <c r="F97">
        <v>1.8270072949395255E-2</v>
      </c>
      <c r="G97">
        <v>1336.0062124799001</v>
      </c>
      <c r="H97">
        <v>1.6772654640675101E-55</v>
      </c>
      <c r="I97">
        <v>24.371041150614641</v>
      </c>
      <c r="J97">
        <v>24.446820775091428</v>
      </c>
      <c r="K97">
        <v>24.371041150614641</v>
      </c>
      <c r="L97">
        <v>24.446820775091428</v>
      </c>
    </row>
    <row r="98" spans="1:12" ht="13.8" thickBot="1" x14ac:dyDescent="0.3">
      <c r="A98" s="3" t="e">
        <f>Data!#REF!/Data!#REF!</f>
        <v>#REF!</v>
      </c>
      <c r="B98" s="3" t="e">
        <f>Data!#REF!</f>
        <v>#REF!</v>
      </c>
      <c r="D98" s="5" t="s">
        <v>33</v>
      </c>
      <c r="E98" s="5">
        <v>-1.8582265921855847E-5</v>
      </c>
      <c r="F98" s="5">
        <v>8.2546349140192552E-5</v>
      </c>
      <c r="G98" s="5">
        <v>-0.22511311663580258</v>
      </c>
      <c r="H98" s="5">
        <v>0.82396916040570867</v>
      </c>
      <c r="I98" s="5">
        <v>-1.8977291625750384E-4</v>
      </c>
      <c r="J98" s="5">
        <v>1.5260838441379213E-4</v>
      </c>
      <c r="K98" s="5">
        <v>-1.8977291625750384E-4</v>
      </c>
      <c r="L98" s="5">
        <v>1.5260838441379213E-4</v>
      </c>
    </row>
    <row r="99" spans="1:12" x14ac:dyDescent="0.25">
      <c r="A99" s="3" t="e">
        <f>Data!#REF!/Data!#REF!</f>
        <v>#REF!</v>
      </c>
      <c r="B99" s="3" t="e">
        <f>Data!#REF!</f>
        <v>#REF!</v>
      </c>
    </row>
    <row r="100" spans="1:12" x14ac:dyDescent="0.25">
      <c r="A100" s="3" t="e">
        <f>Data!#REF!/Data!#REF!</f>
        <v>#REF!</v>
      </c>
      <c r="B100" s="3" t="e">
        <f>Data!#REF!</f>
        <v>#REF!</v>
      </c>
    </row>
    <row r="101" spans="1:12" x14ac:dyDescent="0.25">
      <c r="A101" s="3" t="e">
        <f>Data!#REF!/Data!#REF!</f>
        <v>#REF!</v>
      </c>
      <c r="B101" s="3" t="e">
        <f>Data!#REF!</f>
        <v>#REF!</v>
      </c>
    </row>
    <row r="102" spans="1:12" x14ac:dyDescent="0.25">
      <c r="A102" s="3" t="e">
        <f>Data!#REF!/Data!#REF!</f>
        <v>#REF!</v>
      </c>
      <c r="B102" s="3" t="e">
        <f>Data!#REF!</f>
        <v>#REF!</v>
      </c>
    </row>
    <row r="103" spans="1:12" x14ac:dyDescent="0.25">
      <c r="A103" s="3" t="e">
        <f>Data!#REF!/Data!#REF!</f>
        <v>#REF!</v>
      </c>
      <c r="B103" s="3" t="e">
        <f>Data!#REF!</f>
        <v>#REF!</v>
      </c>
    </row>
    <row r="104" spans="1:12" x14ac:dyDescent="0.25">
      <c r="A104" s="3" t="e">
        <f>Data!#REF!/Data!#REF!</f>
        <v>#REF!</v>
      </c>
      <c r="B104" s="3" t="e">
        <f>Data!#REF!</f>
        <v>#REF!</v>
      </c>
    </row>
    <row r="105" spans="1:12" x14ac:dyDescent="0.25">
      <c r="A105" s="3" t="e">
        <f>Data!#REF!/Data!#REF!</f>
        <v>#REF!</v>
      </c>
      <c r="B105" s="3" t="e">
        <f>Data!#REF!</f>
        <v>#REF!</v>
      </c>
    </row>
    <row r="106" spans="1:12" x14ac:dyDescent="0.25">
      <c r="A106" s="3" t="e">
        <f>Data!#REF!/Data!#REF!</f>
        <v>#REF!</v>
      </c>
      <c r="B106" s="3" t="e">
        <f>Data!#REF!</f>
        <v>#REF!</v>
      </c>
    </row>
    <row r="107" spans="1:12" x14ac:dyDescent="0.25">
      <c r="A107" s="3" t="e">
        <f>Data!#REF!/Data!#REF!</f>
        <v>#REF!</v>
      </c>
      <c r="B107" s="3" t="e">
        <f>Data!#REF!</f>
        <v>#REF!</v>
      </c>
    </row>
    <row r="108" spans="1:12" x14ac:dyDescent="0.25">
      <c r="A108" s="3" t="e">
        <f>Data!G235/Data!F235</f>
        <v>#DIV/0!</v>
      </c>
      <c r="B108" s="3">
        <f>Data!H235</f>
        <v>0</v>
      </c>
    </row>
    <row r="109" spans="1:12" x14ac:dyDescent="0.25">
      <c r="A109" s="3" t="e">
        <f>Data!G236/Data!F236</f>
        <v>#DIV/0!</v>
      </c>
      <c r="B109" s="3">
        <f>Data!H236</f>
        <v>0</v>
      </c>
    </row>
    <row r="110" spans="1:12" x14ac:dyDescent="0.25">
      <c r="A110" s="3" t="e">
        <f>Data!G237/Data!F237</f>
        <v>#DIV/0!</v>
      </c>
      <c r="B110" s="3">
        <f>Data!H237</f>
        <v>0</v>
      </c>
    </row>
    <row r="111" spans="1:12" x14ac:dyDescent="0.25">
      <c r="A111" s="3" t="e">
        <f>Data!G361/Data!F361</f>
        <v>#DIV/0!</v>
      </c>
      <c r="B111" s="3">
        <f>Data!H361</f>
        <v>0</v>
      </c>
    </row>
    <row r="112" spans="1:12" x14ac:dyDescent="0.25">
      <c r="A112" s="3" t="e">
        <f>Data!G362/Data!F362</f>
        <v>#DIV/0!</v>
      </c>
      <c r="B112" s="3">
        <f>Data!H362</f>
        <v>0</v>
      </c>
    </row>
    <row r="113" spans="1:5" x14ac:dyDescent="0.25">
      <c r="A113" s="3" t="e">
        <f>Data!G363/Data!F363</f>
        <v>#DIV/0!</v>
      </c>
      <c r="B113" s="3">
        <f>Data!H363</f>
        <v>0</v>
      </c>
    </row>
    <row r="114" spans="1:5" x14ac:dyDescent="0.25">
      <c r="A114" s="3" t="e">
        <f>Data!G427/Data!F427</f>
        <v>#DIV/0!</v>
      </c>
      <c r="B114" s="3">
        <f>Data!H427</f>
        <v>0</v>
      </c>
    </row>
    <row r="115" spans="1:5" x14ac:dyDescent="0.25">
      <c r="A115" s="3" t="e">
        <f>Data!G428/Data!F428</f>
        <v>#DIV/0!</v>
      </c>
      <c r="B115" s="3">
        <f>Data!H428</f>
        <v>0</v>
      </c>
    </row>
    <row r="116" spans="1:5" x14ac:dyDescent="0.25">
      <c r="A116" s="3" t="e">
        <f>Data!G429/Data!F429</f>
        <v>#DIV/0!</v>
      </c>
      <c r="B116" s="3">
        <f>Data!H429</f>
        <v>0</v>
      </c>
    </row>
    <row r="117" spans="1:5" x14ac:dyDescent="0.25">
      <c r="A117" s="3" t="e">
        <f>Data!G433/Data!F433</f>
        <v>#DIV/0!</v>
      </c>
      <c r="B117" s="3">
        <f>Data!H433</f>
        <v>0</v>
      </c>
    </row>
    <row r="118" spans="1:5" x14ac:dyDescent="0.25">
      <c r="A118" s="3" t="e">
        <f>Data!G434/Data!F434</f>
        <v>#DIV/0!</v>
      </c>
      <c r="B118" s="3">
        <f>Data!H434</f>
        <v>0</v>
      </c>
    </row>
    <row r="119" spans="1:5" x14ac:dyDescent="0.25">
      <c r="A119" s="3" t="e">
        <f>Data!G435/Data!F435</f>
        <v>#DIV/0!</v>
      </c>
      <c r="B119" s="3">
        <f>Data!H435</f>
        <v>0</v>
      </c>
    </row>
    <row r="121" spans="1:5" x14ac:dyDescent="0.25">
      <c r="A121" s="12" t="s">
        <v>69</v>
      </c>
      <c r="D121" t="s">
        <v>9</v>
      </c>
    </row>
    <row r="122" spans="1:5" ht="13.8" thickBot="1" x14ac:dyDescent="0.3"/>
    <row r="123" spans="1:5" x14ac:dyDescent="0.25">
      <c r="A123" t="s">
        <v>34</v>
      </c>
      <c r="B123" t="s">
        <v>8</v>
      </c>
      <c r="D123" s="14" t="s">
        <v>10</v>
      </c>
      <c r="E123" s="14"/>
    </row>
    <row r="124" spans="1:5" x14ac:dyDescent="0.25">
      <c r="A124" s="3">
        <f>Data!G11/Data!F11</f>
        <v>0.46838889045541982</v>
      </c>
      <c r="B124" s="3">
        <f>Data!H11</f>
        <v>5.0833333333332575</v>
      </c>
      <c r="D124" t="s">
        <v>11</v>
      </c>
      <c r="E124">
        <v>0.32115893836180637</v>
      </c>
    </row>
    <row r="125" spans="1:5" x14ac:dyDescent="0.25">
      <c r="A125" s="3">
        <f>Data!G12/Data!F12</f>
        <v>0.46836187813545532</v>
      </c>
      <c r="B125" s="3">
        <f>Data!H12</f>
        <v>5.2166666666665833</v>
      </c>
      <c r="D125" t="s">
        <v>12</v>
      </c>
      <c r="E125">
        <v>0.10314306368968255</v>
      </c>
    </row>
    <row r="126" spans="1:5" x14ac:dyDescent="0.25">
      <c r="A126" s="3">
        <f>Data!G13/Data!F13</f>
        <v>0.46829001544239596</v>
      </c>
      <c r="B126" s="3">
        <f>Data!H13</f>
        <v>5.3500000000000227</v>
      </c>
      <c r="D126" t="s">
        <v>13</v>
      </c>
      <c r="E126">
        <v>6.2376839311940845E-2</v>
      </c>
    </row>
    <row r="127" spans="1:5" x14ac:dyDescent="0.25">
      <c r="A127" s="3">
        <f>Data!G17/Data!F17</f>
        <v>0.39506533552118411</v>
      </c>
      <c r="B127" s="3">
        <f>Data!H17</f>
        <v>16.416666666666629</v>
      </c>
      <c r="D127" t="s">
        <v>14</v>
      </c>
      <c r="E127">
        <v>4.0535840083857903E-2</v>
      </c>
    </row>
    <row r="128" spans="1:5" ht="13.8" thickBot="1" x14ac:dyDescent="0.3">
      <c r="A128" s="3">
        <f>Data!G18/Data!F18</f>
        <v>0.39489638022891327</v>
      </c>
      <c r="B128" s="3">
        <f>Data!H18</f>
        <v>16.549999999999955</v>
      </c>
      <c r="D128" s="5" t="s">
        <v>15</v>
      </c>
      <c r="E128" s="5">
        <v>24</v>
      </c>
    </row>
    <row r="129" spans="1:12" x14ac:dyDescent="0.25">
      <c r="A129" s="3">
        <f>Data!G19/Data!F19</f>
        <v>0.39441345154113605</v>
      </c>
      <c r="B129" s="3">
        <f>Data!H19</f>
        <v>16.68333333333328</v>
      </c>
    </row>
    <row r="130" spans="1:12" ht="13.8" thickBot="1" x14ac:dyDescent="0.3">
      <c r="A130" s="3" t="e">
        <f>Data!#REF!/Data!#REF!</f>
        <v>#REF!</v>
      </c>
      <c r="B130" s="3" t="e">
        <f>Data!#REF!</f>
        <v>#REF!</v>
      </c>
      <c r="D130" t="s">
        <v>16</v>
      </c>
    </row>
    <row r="131" spans="1:12" x14ac:dyDescent="0.25">
      <c r="A131" s="3" t="e">
        <f>Data!#REF!/Data!#REF!</f>
        <v>#REF!</v>
      </c>
      <c r="B131" s="3" t="e">
        <f>Data!#REF!</f>
        <v>#REF!</v>
      </c>
      <c r="D131" s="13"/>
      <c r="E131" s="13" t="s">
        <v>21</v>
      </c>
      <c r="F131" s="13" t="s">
        <v>22</v>
      </c>
      <c r="G131" s="13" t="s">
        <v>23</v>
      </c>
      <c r="H131" s="13" t="s">
        <v>24</v>
      </c>
      <c r="I131" s="13" t="s">
        <v>25</v>
      </c>
    </row>
    <row r="132" spans="1:12" x14ac:dyDescent="0.25">
      <c r="A132" s="3" t="e">
        <f>Data!#REF!/Data!#REF!</f>
        <v>#REF!</v>
      </c>
      <c r="B132" s="3" t="e">
        <f>Data!#REF!</f>
        <v>#REF!</v>
      </c>
      <c r="D132" t="s">
        <v>17</v>
      </c>
      <c r="E132">
        <v>1</v>
      </c>
      <c r="F132">
        <v>4.1573624840816129E-3</v>
      </c>
      <c r="G132">
        <v>4.1573624840816129E-3</v>
      </c>
      <c r="H132">
        <v>2.5301107783235994</v>
      </c>
      <c r="I132">
        <v>0.12596076339006235</v>
      </c>
    </row>
    <row r="133" spans="1:12" x14ac:dyDescent="0.25">
      <c r="A133" s="3" t="e">
        <f>Data!#REF!/Data!#REF!</f>
        <v>#REF!</v>
      </c>
      <c r="B133" s="3" t="e">
        <f>Data!#REF!</f>
        <v>#REF!</v>
      </c>
      <c r="D133" t="s">
        <v>18</v>
      </c>
      <c r="E133">
        <v>22</v>
      </c>
      <c r="F133">
        <v>3.6149395288690225E-2</v>
      </c>
      <c r="G133">
        <v>1.6431543313041011E-3</v>
      </c>
    </row>
    <row r="134" spans="1:12" ht="13.8" thickBot="1" x14ac:dyDescent="0.3">
      <c r="A134" s="3" t="e">
        <f>Data!#REF!/Data!#REF!</f>
        <v>#REF!</v>
      </c>
      <c r="B134" s="3" t="e">
        <f>Data!#REF!</f>
        <v>#REF!</v>
      </c>
      <c r="D134" s="5" t="s">
        <v>19</v>
      </c>
      <c r="E134" s="5">
        <v>23</v>
      </c>
      <c r="F134" s="5">
        <v>4.0306757772771838E-2</v>
      </c>
      <c r="G134" s="5"/>
      <c r="H134" s="5"/>
      <c r="I134" s="5"/>
    </row>
    <row r="135" spans="1:12" ht="13.8" thickBot="1" x14ac:dyDescent="0.3">
      <c r="A135" s="3" t="e">
        <f>Data!#REF!/Data!#REF!</f>
        <v>#REF!</v>
      </c>
      <c r="B135" s="3" t="e">
        <f>Data!#REF!</f>
        <v>#REF!</v>
      </c>
    </row>
    <row r="136" spans="1:12" x14ac:dyDescent="0.25">
      <c r="A136" s="3" t="e">
        <f>Data!#REF!/Data!#REF!</f>
        <v>#REF!</v>
      </c>
      <c r="B136" s="3" t="e">
        <f>Data!#REF!</f>
        <v>#REF!</v>
      </c>
      <c r="D136" s="13"/>
      <c r="E136" s="13" t="s">
        <v>26</v>
      </c>
      <c r="F136" s="13" t="s">
        <v>14</v>
      </c>
      <c r="G136" s="13" t="s">
        <v>27</v>
      </c>
      <c r="H136" s="13" t="s">
        <v>28</v>
      </c>
      <c r="I136" s="13" t="s">
        <v>29</v>
      </c>
      <c r="J136" s="13" t="s">
        <v>30</v>
      </c>
      <c r="K136" s="13" t="s">
        <v>31</v>
      </c>
      <c r="L136" s="13" t="s">
        <v>32</v>
      </c>
    </row>
    <row r="137" spans="1:12" x14ac:dyDescent="0.25">
      <c r="A137" s="3" t="e">
        <f>Data!#REF!/Data!#REF!</f>
        <v>#REF!</v>
      </c>
      <c r="B137" s="3" t="e">
        <f>Data!#REF!</f>
        <v>#REF!</v>
      </c>
      <c r="D137" t="s">
        <v>20</v>
      </c>
      <c r="E137">
        <v>24.377489964729175</v>
      </c>
      <c r="F137">
        <v>1.3428655359961862E-2</v>
      </c>
      <c r="G137">
        <v>1815.333651157044</v>
      </c>
      <c r="H137">
        <v>1.9741133904889535E-58</v>
      </c>
      <c r="I137">
        <v>24.349640638039986</v>
      </c>
      <c r="J137">
        <v>24.405339291418365</v>
      </c>
      <c r="K137">
        <v>24.349640638039986</v>
      </c>
      <c r="L137">
        <v>24.405339291418365</v>
      </c>
    </row>
    <row r="138" spans="1:12" ht="13.8" thickBot="1" x14ac:dyDescent="0.3">
      <c r="A138" s="3" t="e">
        <f>Data!#REF!/Data!#REF!</f>
        <v>#REF!</v>
      </c>
      <c r="B138" s="3" t="e">
        <f>Data!#REF!</f>
        <v>#REF!</v>
      </c>
      <c r="D138" s="5" t="s">
        <v>33</v>
      </c>
      <c r="E138" s="5">
        <v>9.4450366941898137E-5</v>
      </c>
      <c r="F138" s="5">
        <v>5.9379136965667474E-5</v>
      </c>
      <c r="G138" s="5">
        <v>1.5906321945451742</v>
      </c>
      <c r="H138" s="5">
        <v>0.12596076339006254</v>
      </c>
      <c r="I138" s="5">
        <v>-2.869442600658402E-5</v>
      </c>
      <c r="J138" s="5">
        <v>2.1759515989038029E-4</v>
      </c>
      <c r="K138" s="5">
        <v>-2.869442600658402E-5</v>
      </c>
      <c r="L138" s="5">
        <v>2.1759515989038029E-4</v>
      </c>
    </row>
    <row r="139" spans="1:12" x14ac:dyDescent="0.25">
      <c r="A139" s="3" t="e">
        <f>Data!#REF!/Data!#REF!</f>
        <v>#REF!</v>
      </c>
      <c r="B139" s="3" t="e">
        <f>Data!#REF!</f>
        <v>#REF!</v>
      </c>
    </row>
    <row r="140" spans="1:12" x14ac:dyDescent="0.25">
      <c r="A140" s="3" t="e">
        <f>Data!#REF!/Data!#REF!</f>
        <v>#REF!</v>
      </c>
      <c r="B140" s="3" t="e">
        <f>Data!#REF!</f>
        <v>#REF!</v>
      </c>
    </row>
    <row r="141" spans="1:12" x14ac:dyDescent="0.25">
      <c r="A141" s="3" t="e">
        <f>Data!#REF!/Data!#REF!</f>
        <v>#REF!</v>
      </c>
      <c r="B141" s="3" t="e">
        <f>Data!#REF!</f>
        <v>#REF!</v>
      </c>
    </row>
    <row r="142" spans="1:12" x14ac:dyDescent="0.25">
      <c r="A142" s="3" t="e">
        <f>Data!#REF!/Data!#REF!</f>
        <v>#REF!</v>
      </c>
      <c r="B142" s="3" t="e">
        <f>Data!#REF!</f>
        <v>#REF!</v>
      </c>
    </row>
    <row r="143" spans="1:12" x14ac:dyDescent="0.25">
      <c r="A143" s="3" t="e">
        <f>Data!#REF!/Data!#REF!</f>
        <v>#REF!</v>
      </c>
      <c r="B143" s="3" t="e">
        <f>Data!#REF!</f>
        <v>#REF!</v>
      </c>
    </row>
    <row r="144" spans="1:12" x14ac:dyDescent="0.25">
      <c r="A144" s="3" t="e">
        <f>Data!#REF!/Data!#REF!</f>
        <v>#REF!</v>
      </c>
      <c r="B144" s="3" t="e">
        <f>Data!#REF!</f>
        <v>#REF!</v>
      </c>
    </row>
    <row r="145" spans="1:2" x14ac:dyDescent="0.25">
      <c r="A145" s="3" t="e">
        <f>Data!#REF!/Data!#REF!</f>
        <v>#REF!</v>
      </c>
      <c r="B145" s="3" t="e">
        <f>Data!#REF!</f>
        <v>#REF!</v>
      </c>
    </row>
    <row r="146" spans="1:2" x14ac:dyDescent="0.25">
      <c r="A146" s="3" t="e">
        <f>Data!#REF!/Data!#REF!</f>
        <v>#REF!</v>
      </c>
      <c r="B146" s="3" t="e">
        <f>Data!#REF!</f>
        <v>#REF!</v>
      </c>
    </row>
    <row r="147" spans="1:2" x14ac:dyDescent="0.25">
      <c r="A147" s="3" t="e">
        <f>Data!#REF!/Data!#REF!</f>
        <v>#REF!</v>
      </c>
      <c r="B147" s="3" t="e">
        <f>Data!#REF!</f>
        <v>#REF!</v>
      </c>
    </row>
    <row r="148" spans="1:2" x14ac:dyDescent="0.25">
      <c r="A148" s="3" t="e">
        <f>Data!G238/Data!F238</f>
        <v>#DIV/0!</v>
      </c>
      <c r="B148" s="3">
        <f>Data!H238</f>
        <v>0</v>
      </c>
    </row>
    <row r="149" spans="1:2" x14ac:dyDescent="0.25">
      <c r="A149" s="3" t="e">
        <f>Data!G239/Data!F239</f>
        <v>#DIV/0!</v>
      </c>
      <c r="B149" s="3">
        <f>Data!H239</f>
        <v>0</v>
      </c>
    </row>
    <row r="150" spans="1:2" x14ac:dyDescent="0.25">
      <c r="A150" s="3" t="e">
        <f>Data!G240/Data!F240</f>
        <v>#DIV/0!</v>
      </c>
      <c r="B150" s="3">
        <f>Data!H240</f>
        <v>0</v>
      </c>
    </row>
    <row r="151" spans="1:2" x14ac:dyDescent="0.25">
      <c r="A151" s="3" t="e">
        <f>Data!G364/Data!F364</f>
        <v>#DIV/0!</v>
      </c>
      <c r="B151" s="3">
        <f>Data!H364</f>
        <v>0</v>
      </c>
    </row>
    <row r="152" spans="1:2" x14ac:dyDescent="0.25">
      <c r="A152" s="3" t="e">
        <f>Data!G365/Data!F365</f>
        <v>#DIV/0!</v>
      </c>
      <c r="B152" s="3">
        <f>Data!H365</f>
        <v>0</v>
      </c>
    </row>
    <row r="153" spans="1:2" x14ac:dyDescent="0.25">
      <c r="A153" s="3" t="e">
        <f>Data!G366/Data!F366</f>
        <v>#DIV/0!</v>
      </c>
      <c r="B153" s="3">
        <f>Data!H366</f>
        <v>0</v>
      </c>
    </row>
    <row r="154" spans="1:2" x14ac:dyDescent="0.25">
      <c r="A154" s="3" t="e">
        <f>Data!G430/Data!F430</f>
        <v>#DIV/0!</v>
      </c>
      <c r="B154" s="3">
        <f>Data!H430</f>
        <v>0</v>
      </c>
    </row>
    <row r="155" spans="1:2" x14ac:dyDescent="0.25">
      <c r="A155" s="3" t="e">
        <f>Data!G431/Data!F431</f>
        <v>#DIV/0!</v>
      </c>
      <c r="B155" s="3">
        <f>Data!H431</f>
        <v>0</v>
      </c>
    </row>
    <row r="156" spans="1:2" x14ac:dyDescent="0.25">
      <c r="A156" s="3" t="e">
        <f>Data!G432/Data!F432</f>
        <v>#DIV/0!</v>
      </c>
      <c r="B156" s="3">
        <f>Data!H432</f>
        <v>0</v>
      </c>
    </row>
    <row r="157" spans="1:2" x14ac:dyDescent="0.25">
      <c r="A157" s="3" t="e">
        <f>Data!G436/Data!F436</f>
        <v>#DIV/0!</v>
      </c>
      <c r="B157" s="3">
        <f>Data!H436</f>
        <v>0</v>
      </c>
    </row>
    <row r="158" spans="1:2" x14ac:dyDescent="0.25">
      <c r="A158" s="3" t="e">
        <f>Data!G437/Data!F437</f>
        <v>#DIV/0!</v>
      </c>
      <c r="B158" s="3">
        <f>Data!H437</f>
        <v>0</v>
      </c>
    </row>
    <row r="159" spans="1:2" x14ac:dyDescent="0.25">
      <c r="A159" s="3" t="e">
        <f>Data!G438/Data!F438</f>
        <v>#DIV/0!</v>
      </c>
      <c r="B159" s="3">
        <f>Data!H438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4"/>
  <sheetViews>
    <sheetView zoomScale="120" zoomScaleNormal="120" workbookViewId="0">
      <selection activeCell="F9" sqref="F9"/>
    </sheetView>
  </sheetViews>
  <sheetFormatPr defaultColWidth="8.77734375" defaultRowHeight="13.2" x14ac:dyDescent="0.25"/>
  <cols>
    <col min="1" max="1" width="20.6640625" customWidth="1"/>
    <col min="11" max="11" width="10.77734375" customWidth="1"/>
    <col min="12" max="12" width="10.44140625" customWidth="1"/>
    <col min="13" max="13" width="10.77734375" customWidth="1"/>
    <col min="14" max="14" width="10.44140625" customWidth="1"/>
    <col min="15" max="15" width="25.109375" style="4" customWidth="1"/>
  </cols>
  <sheetData>
    <row r="1" spans="1:20" ht="15.6" x14ac:dyDescent="0.35">
      <c r="C1" t="s">
        <v>36</v>
      </c>
      <c r="G1" s="15" t="s">
        <v>70</v>
      </c>
      <c r="H1" s="15" t="s">
        <v>71</v>
      </c>
      <c r="K1" s="4"/>
      <c r="L1" s="4"/>
      <c r="M1" s="4"/>
      <c r="N1" s="4"/>
      <c r="Q1" s="4"/>
      <c r="R1" s="4"/>
      <c r="S1" s="4"/>
      <c r="T1" s="4"/>
    </row>
    <row r="2" spans="1:20" ht="16.8" x14ac:dyDescent="0.35">
      <c r="B2" s="4" t="s">
        <v>39</v>
      </c>
      <c r="C2" s="4" t="s">
        <v>40</v>
      </c>
      <c r="D2" s="4" t="s">
        <v>5</v>
      </c>
      <c r="F2" s="4" t="s">
        <v>41</v>
      </c>
      <c r="G2">
        <f>Regs!E5</f>
        <v>0.84193160562951685</v>
      </c>
      <c r="H2">
        <f>Regs!E85</f>
        <v>2.2981570032673615E-3</v>
      </c>
      <c r="K2" s="3"/>
      <c r="L2" s="3"/>
      <c r="M2" s="3"/>
      <c r="N2" s="3"/>
      <c r="Q2" s="3"/>
      <c r="R2" s="3"/>
      <c r="S2" s="3"/>
      <c r="T2" s="3"/>
    </row>
    <row r="3" spans="1:20" x14ac:dyDescent="0.25">
      <c r="A3" s="12" t="s">
        <v>64</v>
      </c>
      <c r="B3">
        <v>38.186999999999998</v>
      </c>
      <c r="C3">
        <v>20.393000000000001</v>
      </c>
      <c r="D3">
        <v>13.9</v>
      </c>
      <c r="F3" s="4" t="s">
        <v>42</v>
      </c>
      <c r="G3">
        <f>Regs!E17</f>
        <v>26.620303764062758</v>
      </c>
      <c r="H3">
        <f>Regs!E97</f>
        <v>24.408930962853034</v>
      </c>
      <c r="K3" s="3"/>
      <c r="L3" s="3"/>
      <c r="M3" s="3"/>
      <c r="N3" s="3"/>
      <c r="Q3" s="3"/>
      <c r="R3" s="3"/>
      <c r="S3" s="3"/>
      <c r="T3" s="3"/>
    </row>
    <row r="4" spans="1:20" x14ac:dyDescent="0.25">
      <c r="A4" s="12" t="s">
        <v>65</v>
      </c>
      <c r="B4">
        <v>38.860999999999997</v>
      </c>
      <c r="C4">
        <v>20.38</v>
      </c>
      <c r="D4">
        <v>11.6</v>
      </c>
      <c r="F4" s="4" t="s">
        <v>43</v>
      </c>
      <c r="G4">
        <f>Regs!E18</f>
        <v>1.6627519965835978E-3</v>
      </c>
      <c r="H4">
        <f>Regs!E98</f>
        <v>-1.8582265921855847E-5</v>
      </c>
      <c r="K4" s="3"/>
      <c r="L4" s="3"/>
      <c r="M4" s="3"/>
      <c r="N4" s="3"/>
      <c r="Q4" s="3"/>
      <c r="R4" s="3"/>
      <c r="S4" s="3"/>
      <c r="T4" s="3"/>
    </row>
    <row r="5" spans="1:20" x14ac:dyDescent="0.25">
      <c r="F5" s="4"/>
      <c r="K5" s="3"/>
      <c r="L5" s="3"/>
      <c r="M5" s="3"/>
      <c r="N5" s="3"/>
      <c r="Q5" s="3"/>
      <c r="R5" s="3"/>
      <c r="S5" s="3"/>
      <c r="T5" s="3"/>
    </row>
    <row r="6" spans="1:20" x14ac:dyDescent="0.25">
      <c r="A6" s="6" t="s">
        <v>44</v>
      </c>
      <c r="B6">
        <f>(Regs!E57+Regs!E58*(Data!H43/2))-(Regs!E17+Regs!E18*(Data!H43/2))</f>
        <v>0.6568906385818245</v>
      </c>
      <c r="K6" s="3"/>
      <c r="L6" s="3"/>
      <c r="M6" s="3"/>
      <c r="N6" s="3"/>
      <c r="Q6" s="3"/>
      <c r="R6" s="3"/>
      <c r="S6" s="3"/>
      <c r="T6" s="3"/>
    </row>
    <row r="7" spans="1:20" x14ac:dyDescent="0.25">
      <c r="A7" s="7" t="s">
        <v>45</v>
      </c>
      <c r="B7" s="3">
        <f>AVERAGE(D13:D15,D28:D30,D43:D45)</f>
        <v>1.4320905590596367</v>
      </c>
      <c r="C7" s="3" t="e">
        <f>AVERAGE(F13:F15,F19:F21,#REF!,#REF!,#REF!,#REF!,#REF!,#REF!)</f>
        <v>#REF!</v>
      </c>
      <c r="K7" s="3"/>
      <c r="L7" s="3"/>
      <c r="M7" s="3"/>
      <c r="N7" s="3"/>
      <c r="Q7" s="3"/>
      <c r="R7" s="3"/>
      <c r="S7" s="3"/>
      <c r="T7" s="3"/>
    </row>
    <row r="8" spans="1:20" x14ac:dyDescent="0.25">
      <c r="A8" s="7" t="s">
        <v>46</v>
      </c>
      <c r="B8">
        <f>B6*B7</f>
        <v>0.94072688184768682</v>
      </c>
      <c r="K8" s="3"/>
      <c r="L8" s="3"/>
      <c r="M8" s="3"/>
      <c r="N8" s="3"/>
      <c r="Q8" s="3"/>
      <c r="R8" s="3"/>
      <c r="S8" s="3"/>
      <c r="T8" s="3"/>
    </row>
    <row r="9" spans="1:20" x14ac:dyDescent="0.25">
      <c r="A9" s="7" t="s">
        <v>47</v>
      </c>
      <c r="B9">
        <f>B8/(B4-B3)</f>
        <v>1.3957372134238688</v>
      </c>
      <c r="K9" s="3"/>
      <c r="L9" s="3"/>
      <c r="M9" s="3"/>
      <c r="N9" s="3"/>
      <c r="Q9" s="3"/>
      <c r="R9" s="3"/>
      <c r="S9" s="3"/>
      <c r="T9" s="3"/>
    </row>
    <row r="10" spans="1:20" x14ac:dyDescent="0.25">
      <c r="A10" s="7"/>
      <c r="K10" s="3"/>
      <c r="M10" s="3"/>
    </row>
    <row r="11" spans="1:20" x14ac:dyDescent="0.25">
      <c r="E11" t="s">
        <v>48</v>
      </c>
      <c r="H11" s="8"/>
      <c r="J11" t="s">
        <v>36</v>
      </c>
    </row>
    <row r="12" spans="1:20" ht="15.6" x14ac:dyDescent="0.35">
      <c r="A12" s="4" t="s">
        <v>49</v>
      </c>
      <c r="B12" s="4" t="s">
        <v>50</v>
      </c>
      <c r="C12" s="4" t="s">
        <v>39</v>
      </c>
      <c r="D12" s="4" t="s">
        <v>51</v>
      </c>
      <c r="E12" s="4" t="s">
        <v>40</v>
      </c>
      <c r="F12" s="4" t="s">
        <v>51</v>
      </c>
      <c r="G12" s="4" t="s">
        <v>52</v>
      </c>
      <c r="H12" s="9" t="s">
        <v>53</v>
      </c>
      <c r="I12" s="4" t="s">
        <v>39</v>
      </c>
      <c r="J12" s="4" t="s">
        <v>40</v>
      </c>
      <c r="K12" s="4" t="s">
        <v>37</v>
      </c>
      <c r="L12" s="4" t="s">
        <v>38</v>
      </c>
      <c r="M12" s="4" t="s">
        <v>62</v>
      </c>
      <c r="N12" s="4" t="s">
        <v>63</v>
      </c>
      <c r="O12" s="4" t="s">
        <v>49</v>
      </c>
    </row>
    <row r="13" spans="1:20" x14ac:dyDescent="0.25">
      <c r="A13">
        <f>Data!A8</f>
        <v>20</v>
      </c>
      <c r="B13" s="3">
        <f>Data!H8</f>
        <v>0</v>
      </c>
      <c r="C13">
        <v>26.611070000000002</v>
      </c>
      <c r="D13" s="3">
        <f>B$3/C13</f>
        <v>1.4350043045995517</v>
      </c>
      <c r="E13" s="3">
        <f>Data!G8/Data!F8</f>
        <v>0.47917426845294081</v>
      </c>
      <c r="F13" s="3">
        <f>C$3/E13</f>
        <v>42.558629172306603</v>
      </c>
      <c r="G13" s="3">
        <f>C13-(G$3+G$4*B13)</f>
        <v>-9.2337640627562223E-3</v>
      </c>
      <c r="H13" s="10">
        <f>E13-(H$3+H$4*B13)</f>
        <v>-23.929756694400094</v>
      </c>
      <c r="I13" s="3">
        <f>G13*(B$7/B$9)+B$3</f>
        <v>38.177525733489311</v>
      </c>
      <c r="J13" s="3" t="e">
        <f>H13*(C$7)+C$3</f>
        <v>#REF!</v>
      </c>
      <c r="K13" s="3">
        <f>I13*D$3</f>
        <v>530.66760769550149</v>
      </c>
      <c r="L13" s="3" t="e">
        <f>J13*D$3</f>
        <v>#REF!</v>
      </c>
      <c r="O13" s="4">
        <f>Data!A8</f>
        <v>20</v>
      </c>
    </row>
    <row r="14" spans="1:20" x14ac:dyDescent="0.25">
      <c r="B14" s="3">
        <f>Data!H9</f>
        <v>0.13333333333332575</v>
      </c>
      <c r="C14">
        <v>26.609100000000002</v>
      </c>
      <c r="D14" s="3">
        <f>B$3/C14</f>
        <v>1.4351105448887784</v>
      </c>
      <c r="E14" s="3">
        <f>Data!G9/Data!F9</f>
        <v>0.47913646083482714</v>
      </c>
      <c r="F14" s="3">
        <f>C$3/E14</f>
        <v>42.561987381357078</v>
      </c>
      <c r="G14" s="3">
        <f t="shared" ref="G14:G48" si="0">C14-(G$3+G$4*B14)</f>
        <v>-1.142546432896907E-2</v>
      </c>
      <c r="H14" s="10">
        <f t="shared" ref="H14:H48" si="1">E14-(H$3+H$4*B14)</f>
        <v>-23.929792024382753</v>
      </c>
      <c r="I14" s="3">
        <f t="shared" ref="I14:I48" si="2">G14*(B$7/B$9)+B$3</f>
        <v>38.175276948238519</v>
      </c>
      <c r="J14" s="3" t="e">
        <f t="shared" ref="J14:J48" si="3">H14*(C$7)+C$3</f>
        <v>#REF!</v>
      </c>
      <c r="K14" s="3">
        <f t="shared" ref="K14:K48" si="4">I14*D$3</f>
        <v>530.63634958051546</v>
      </c>
      <c r="L14" s="3" t="e">
        <f t="shared" ref="L14:L48" si="5">J14*D$3</f>
        <v>#REF!</v>
      </c>
    </row>
    <row r="15" spans="1:20" x14ac:dyDescent="0.25">
      <c r="B15" s="3">
        <f>Data!H10</f>
        <v>0.29999999999995453</v>
      </c>
      <c r="C15">
        <v>26.612770000000001</v>
      </c>
      <c r="D15" s="3">
        <f>B$3/C15</f>
        <v>1.4349126378050836</v>
      </c>
      <c r="E15" s="3">
        <f>Data!G10/Data!F10</f>
        <v>0.47909105290430121</v>
      </c>
      <c r="F15" s="3">
        <f>C$3/E15</f>
        <v>42.566021378139823</v>
      </c>
      <c r="G15" s="3">
        <f t="shared" si="0"/>
        <v>-8.0325896617310377E-3</v>
      </c>
      <c r="H15" s="10">
        <f t="shared" si="1"/>
        <v>-23.929834335268957</v>
      </c>
      <c r="I15" s="3">
        <f t="shared" si="2"/>
        <v>38.178758193656563</v>
      </c>
      <c r="J15" s="3" t="e">
        <f t="shared" si="3"/>
        <v>#REF!</v>
      </c>
      <c r="K15" s="3">
        <f t="shared" si="4"/>
        <v>530.68473889182621</v>
      </c>
      <c r="L15" s="3" t="e">
        <f t="shared" si="5"/>
        <v>#REF!</v>
      </c>
    </row>
    <row r="16" spans="1:20" x14ac:dyDescent="0.25">
      <c r="A16">
        <f>Data!A11</f>
        <v>30</v>
      </c>
      <c r="B16" s="3">
        <f>Data!H11</f>
        <v>5.0833333333332575</v>
      </c>
      <c r="C16">
        <v>27.30733</v>
      </c>
      <c r="D16" s="3">
        <f>B$4/C16</f>
        <v>1.4230977543392194</v>
      </c>
      <c r="E16" s="3">
        <f>Data!G11/Data!F11</f>
        <v>0.46838889045541982</v>
      </c>
      <c r="F16" s="3">
        <f>C$4/E16</f>
        <v>43.510852659601497</v>
      </c>
      <c r="G16" s="3">
        <f t="shared" si="0"/>
        <v>0.67857391328794137</v>
      </c>
      <c r="H16" s="10">
        <f t="shared" si="1"/>
        <v>-23.940447612545846</v>
      </c>
      <c r="I16" s="3">
        <f t="shared" si="2"/>
        <v>38.883248036877909</v>
      </c>
      <c r="J16" s="3" t="e">
        <f t="shared" si="3"/>
        <v>#REF!</v>
      </c>
      <c r="K16" s="3">
        <f t="shared" si="4"/>
        <v>540.47714771260291</v>
      </c>
      <c r="L16" s="3" t="e">
        <f t="shared" si="5"/>
        <v>#REF!</v>
      </c>
      <c r="O16" s="4">
        <f>Data!A11</f>
        <v>30</v>
      </c>
    </row>
    <row r="17" spans="1:15" x14ac:dyDescent="0.25">
      <c r="B17" s="3">
        <f>Data!H12</f>
        <v>5.2166666666665833</v>
      </c>
      <c r="C17">
        <v>27.312619999999999</v>
      </c>
      <c r="D17" s="3">
        <f>B$4/C17</f>
        <v>1.4228221239851759</v>
      </c>
      <c r="E17" s="3">
        <f>Data!G12/Data!F12</f>
        <v>0.46836187813545532</v>
      </c>
      <c r="F17" s="3">
        <f>C$4/E17</f>
        <v>43.513362106097546</v>
      </c>
      <c r="G17" s="3">
        <f t="shared" si="0"/>
        <v>0.68364221302173078</v>
      </c>
      <c r="H17" s="10">
        <f t="shared" si="1"/>
        <v>-23.940472147230356</v>
      </c>
      <c r="I17" s="3">
        <f t="shared" si="2"/>
        <v>38.888448345452787</v>
      </c>
      <c r="J17" s="3" t="e">
        <f t="shared" si="3"/>
        <v>#REF!</v>
      </c>
      <c r="K17" s="3">
        <f t="shared" si="4"/>
        <v>540.54943200179378</v>
      </c>
      <c r="L17" s="3" t="e">
        <f t="shared" si="5"/>
        <v>#REF!</v>
      </c>
    </row>
    <row r="18" spans="1:15" x14ac:dyDescent="0.25">
      <c r="B18" s="3">
        <f>Data!H13</f>
        <v>5.3500000000000227</v>
      </c>
      <c r="C18">
        <v>27.320889999999999</v>
      </c>
      <c r="D18" s="3">
        <f>B$4/C18</f>
        <v>1.422391437467813</v>
      </c>
      <c r="E18" s="3">
        <f>Data!G13/Data!F13</f>
        <v>0.46829001544239596</v>
      </c>
      <c r="F18" s="3">
        <f>C$4/E18</f>
        <v>43.520039565112036</v>
      </c>
      <c r="G18" s="3">
        <f t="shared" si="0"/>
        <v>0.69169051275551752</v>
      </c>
      <c r="H18" s="10">
        <f t="shared" si="1"/>
        <v>-23.940541532287956</v>
      </c>
      <c r="I18" s="3">
        <f t="shared" si="2"/>
        <v>38.896706271052523</v>
      </c>
      <c r="J18" s="3" t="e">
        <f t="shared" si="3"/>
        <v>#REF!</v>
      </c>
      <c r="K18" s="3">
        <f t="shared" si="4"/>
        <v>540.66421716763011</v>
      </c>
      <c r="L18" s="3" t="e">
        <f t="shared" si="5"/>
        <v>#REF!</v>
      </c>
    </row>
    <row r="19" spans="1:15" x14ac:dyDescent="0.25">
      <c r="A19" t="str">
        <f>Data!A14</f>
        <v>Openwater_IN_T1_1</v>
      </c>
      <c r="B19" s="3">
        <f>Data!H14</f>
        <v>9.6833333333332803</v>
      </c>
      <c r="C19">
        <v>26.813549999999999</v>
      </c>
      <c r="D19" s="3"/>
      <c r="E19" s="3">
        <f>Data!G14/Data!F14</f>
        <v>0.43130469482780159</v>
      </c>
      <c r="F19" s="3">
        <f>C$3/E19</f>
        <v>47.282119217695758</v>
      </c>
      <c r="G19" s="3">
        <f t="shared" si="0"/>
        <v>0.17714525410365667</v>
      </c>
      <c r="H19" s="10">
        <f t="shared" si="1"/>
        <v>-23.977446329750222</v>
      </c>
      <c r="I19" s="3">
        <f t="shared" si="2"/>
        <v>38.368759176114352</v>
      </c>
      <c r="J19" s="3" t="e">
        <f t="shared" si="3"/>
        <v>#REF!</v>
      </c>
      <c r="K19" s="3">
        <f t="shared" si="4"/>
        <v>533.32575254798951</v>
      </c>
      <c r="L19" s="3" t="e">
        <f t="shared" si="5"/>
        <v>#REF!</v>
      </c>
      <c r="O19" s="4" t="str">
        <f>Data!A14</f>
        <v>Openwater_IN_T1_1</v>
      </c>
    </row>
    <row r="20" spans="1:15" x14ac:dyDescent="0.25">
      <c r="B20" s="3">
        <f>Data!H15</f>
        <v>9.816666666666606</v>
      </c>
      <c r="C20">
        <v>26.814</v>
      </c>
      <c r="D20" s="3"/>
      <c r="E20" s="3">
        <f>Data!G15/Data!F15</f>
        <v>0.43126351905720894</v>
      </c>
      <c r="F20" s="3">
        <f>C$3/E20</f>
        <v>47.286633575177923</v>
      </c>
      <c r="G20" s="3">
        <f t="shared" si="0"/>
        <v>0.17737355383744813</v>
      </c>
      <c r="H20" s="10">
        <f t="shared" si="1"/>
        <v>-23.977485027885361</v>
      </c>
      <c r="I20" s="3">
        <f t="shared" si="2"/>
        <v>38.368993422138786</v>
      </c>
      <c r="J20" s="3" t="e">
        <f t="shared" si="3"/>
        <v>#REF!</v>
      </c>
      <c r="K20" s="3">
        <f t="shared" si="4"/>
        <v>533.32900856772915</v>
      </c>
      <c r="L20" s="3" t="e">
        <f t="shared" si="5"/>
        <v>#REF!</v>
      </c>
    </row>
    <row r="21" spans="1:15" x14ac:dyDescent="0.25">
      <c r="B21" s="3">
        <f>Data!H16</f>
        <v>10.033333333333303</v>
      </c>
      <c r="C21">
        <v>26.81296</v>
      </c>
      <c r="D21" s="3"/>
      <c r="E21" s="3">
        <f>Data!G16/Data!F16</f>
        <v>0.43111987635829835</v>
      </c>
      <c r="F21" s="3">
        <f>C$3/E21</f>
        <v>47.302388774698088</v>
      </c>
      <c r="G21" s="3">
        <f t="shared" si="0"/>
        <v>0.17597329090485303</v>
      </c>
      <c r="H21" s="10">
        <f t="shared" si="1"/>
        <v>-23.977624644426655</v>
      </c>
      <c r="I21" s="3">
        <f t="shared" si="2"/>
        <v>38.367556687983758</v>
      </c>
      <c r="J21" s="3" t="e">
        <f t="shared" si="3"/>
        <v>#REF!</v>
      </c>
      <c r="K21" s="3">
        <f t="shared" si="4"/>
        <v>533.30903796297423</v>
      </c>
      <c r="L21" s="3" t="e">
        <f t="shared" si="5"/>
        <v>#REF!</v>
      </c>
    </row>
    <row r="22" spans="1:15" x14ac:dyDescent="0.25">
      <c r="A22" t="str">
        <f>Data!A17</f>
        <v>Openwater_1_T1_1</v>
      </c>
      <c r="B22" s="3">
        <f>Data!H17</f>
        <v>16.416666666666629</v>
      </c>
      <c r="C22">
        <v>26.833030000000001</v>
      </c>
      <c r="D22" s="3"/>
      <c r="E22" s="3">
        <f>Data!G17/Data!F17</f>
        <v>0.39506533552118411</v>
      </c>
      <c r="F22" s="3">
        <f>C$4/E22</f>
        <v>51.586403988378237</v>
      </c>
      <c r="G22" s="3">
        <f t="shared" si="0"/>
        <v>0.1854293906599942</v>
      </c>
      <c r="H22" s="10">
        <f t="shared" si="1"/>
        <v>-24.0135605684663</v>
      </c>
      <c r="I22" s="3">
        <f t="shared" si="2"/>
        <v>38.377259081138156</v>
      </c>
      <c r="J22" s="3" t="e">
        <f t="shared" si="3"/>
        <v>#REF!</v>
      </c>
      <c r="K22" s="3">
        <f t="shared" si="4"/>
        <v>533.44390122782033</v>
      </c>
      <c r="L22" s="3" t="e">
        <f t="shared" si="5"/>
        <v>#REF!</v>
      </c>
      <c r="O22" s="4" t="str">
        <f>Data!A17</f>
        <v>Openwater_1_T1_1</v>
      </c>
    </row>
    <row r="23" spans="1:15" x14ac:dyDescent="0.25">
      <c r="B23" s="3">
        <f>Data!H18</f>
        <v>16.549999999999955</v>
      </c>
      <c r="C23">
        <v>26.838989999999999</v>
      </c>
      <c r="D23" s="3"/>
      <c r="E23" s="3">
        <f>Data!G18/Data!F18</f>
        <v>0.39489638022891327</v>
      </c>
      <c r="F23" s="3">
        <f>C$4/E23</f>
        <v>51.608475084492127</v>
      </c>
      <c r="G23" s="3">
        <f t="shared" si="0"/>
        <v>0.19116769039378312</v>
      </c>
      <c r="H23" s="10">
        <f t="shared" si="1"/>
        <v>-24.013727046123112</v>
      </c>
      <c r="I23" s="3">
        <f t="shared" si="2"/>
        <v>38.383146840520638</v>
      </c>
      <c r="J23" s="3" t="e">
        <f t="shared" si="3"/>
        <v>#REF!</v>
      </c>
      <c r="K23" s="3">
        <f t="shared" si="4"/>
        <v>533.52574108323688</v>
      </c>
      <c r="L23" s="3" t="e">
        <f t="shared" si="5"/>
        <v>#REF!</v>
      </c>
    </row>
    <row r="24" spans="1:15" x14ac:dyDescent="0.25">
      <c r="B24" s="3">
        <f>Data!H19</f>
        <v>16.68333333333328</v>
      </c>
      <c r="C24">
        <v>26.834099999999999</v>
      </c>
      <c r="D24" s="3"/>
      <c r="E24" s="3">
        <f>Data!G19/Data!F19</f>
        <v>0.39441345154113605</v>
      </c>
      <c r="F24" s="3">
        <f>C$4/E24</f>
        <v>51.671665660405175</v>
      </c>
      <c r="G24" s="3">
        <f t="shared" si="0"/>
        <v>0.18605599012757068</v>
      </c>
      <c r="H24" s="10">
        <f t="shared" si="1"/>
        <v>-24.014207497175434</v>
      </c>
      <c r="I24" s="3">
        <f t="shared" si="2"/>
        <v>38.377902001003868</v>
      </c>
      <c r="J24" s="3" t="e">
        <f t="shared" si="3"/>
        <v>#REF!</v>
      </c>
      <c r="K24" s="3">
        <f t="shared" si="4"/>
        <v>533.45283781395381</v>
      </c>
      <c r="L24" s="3" t="e">
        <f t="shared" si="5"/>
        <v>#REF!</v>
      </c>
    </row>
    <row r="25" spans="1:15" x14ac:dyDescent="0.25">
      <c r="A25" t="str">
        <f>Data!A20</f>
        <v>Openwater_2_T1_1</v>
      </c>
      <c r="B25" s="3">
        <f>Data!H20</f>
        <v>22.199999999999932</v>
      </c>
      <c r="C25">
        <v>26.899760000000001</v>
      </c>
      <c r="D25" s="3"/>
      <c r="E25" s="3">
        <f>Data!G20/Data!F20</f>
        <v>0.39355332538282867</v>
      </c>
      <c r="F25" s="3"/>
      <c r="G25" s="3">
        <f t="shared" si="0"/>
        <v>0.24254314161308699</v>
      </c>
      <c r="H25" s="10">
        <f t="shared" si="1"/>
        <v>-24.014965111166742</v>
      </c>
      <c r="I25" s="3">
        <f t="shared" si="2"/>
        <v>38.435860415791808</v>
      </c>
      <c r="J25" s="3" t="e">
        <f t="shared" si="3"/>
        <v>#REF!</v>
      </c>
      <c r="K25" s="3">
        <f t="shared" si="4"/>
        <v>534.2584597795061</v>
      </c>
      <c r="L25" s="3" t="e">
        <f t="shared" si="5"/>
        <v>#REF!</v>
      </c>
      <c r="M25" s="3">
        <f>AVERAGE(K25:K27)</f>
        <v>534.23856375570392</v>
      </c>
      <c r="N25" s="3" t="e">
        <f>AVERAGE(L25:L27)</f>
        <v>#REF!</v>
      </c>
      <c r="O25" s="4" t="str">
        <f>Data!A20</f>
        <v>Openwater_2_T1_1</v>
      </c>
    </row>
    <row r="26" spans="1:15" x14ac:dyDescent="0.25">
      <c r="B26" s="3">
        <f>Data!H21</f>
        <v>22.333333333333258</v>
      </c>
      <c r="C26">
        <v>26.902480000000001</v>
      </c>
      <c r="D26" s="3"/>
      <c r="E26" s="3">
        <f>Data!G21/Data!F21</f>
        <v>0.39363694350855383</v>
      </c>
      <c r="F26" s="3"/>
      <c r="G26" s="3">
        <f t="shared" si="0"/>
        <v>0.24504144134687422</v>
      </c>
      <c r="H26" s="10">
        <f t="shared" si="1"/>
        <v>-24.014879015405558</v>
      </c>
      <c r="I26" s="3">
        <f t="shared" si="2"/>
        <v>38.438423786194235</v>
      </c>
      <c r="J26" s="3" t="e">
        <f t="shared" si="3"/>
        <v>#REF!</v>
      </c>
      <c r="K26" s="3">
        <f t="shared" si="4"/>
        <v>534.29409062809987</v>
      </c>
      <c r="L26" s="3" t="e">
        <f t="shared" si="5"/>
        <v>#REF!</v>
      </c>
    </row>
    <row r="27" spans="1:15" x14ac:dyDescent="0.25">
      <c r="B27" s="3">
        <f>Data!H22</f>
        <v>22.466666666666583</v>
      </c>
      <c r="C27">
        <v>26.893519999999999</v>
      </c>
      <c r="D27" s="3"/>
      <c r="E27" s="3">
        <f>Data!G22/Data!F22</f>
        <v>0.393669553111679</v>
      </c>
      <c r="F27" s="3"/>
      <c r="G27" s="3">
        <f t="shared" si="0"/>
        <v>0.2358597410806631</v>
      </c>
      <c r="H27" s="10">
        <f t="shared" si="1"/>
        <v>-24.014843928166979</v>
      </c>
      <c r="I27" s="3">
        <f t="shared" si="2"/>
        <v>38.429002939532779</v>
      </c>
      <c r="J27" s="3" t="e">
        <f t="shared" si="3"/>
        <v>#REF!</v>
      </c>
      <c r="K27" s="3">
        <f t="shared" si="4"/>
        <v>534.16314085950569</v>
      </c>
      <c r="L27" s="3" t="e">
        <f t="shared" si="5"/>
        <v>#REF!</v>
      </c>
    </row>
    <row r="28" spans="1:15" x14ac:dyDescent="0.25">
      <c r="A28">
        <f>Data!A23</f>
        <v>20</v>
      </c>
      <c r="B28" s="3">
        <f>Data!H23</f>
        <v>28.716666666666583</v>
      </c>
      <c r="C28">
        <v>26.689409999999999</v>
      </c>
      <c r="D28" s="3">
        <f>B3/C28</f>
        <v>1.4307922130912598</v>
      </c>
      <c r="E28" s="3">
        <f>Data!G23/Data!F23</f>
        <v>0.47318842941825995</v>
      </c>
      <c r="F28" s="3"/>
      <c r="G28" s="3">
        <f t="shared" si="0"/>
        <v>2.1357541102016597E-2</v>
      </c>
      <c r="H28" s="10">
        <f t="shared" si="1"/>
        <v>-23.935208912698386</v>
      </c>
      <c r="I28" s="3">
        <f t="shared" si="2"/>
        <v>38.208913819222381</v>
      </c>
      <c r="J28" s="3" t="e">
        <f t="shared" si="3"/>
        <v>#REF!</v>
      </c>
      <c r="K28" s="3">
        <f t="shared" si="4"/>
        <v>531.10390208719116</v>
      </c>
      <c r="L28" s="3" t="e">
        <f t="shared" si="5"/>
        <v>#REF!</v>
      </c>
      <c r="M28" s="20">
        <f>AVERAGE(K28:K29)</f>
        <v>531.13543144335097</v>
      </c>
      <c r="N28" s="3" t="e">
        <f>AVERAGE(L28:L30)</f>
        <v>#REF!</v>
      </c>
      <c r="O28" s="4">
        <f>Data!A23</f>
        <v>20</v>
      </c>
    </row>
    <row r="29" spans="1:15" x14ac:dyDescent="0.25">
      <c r="B29" s="3">
        <f>Data!H24</f>
        <v>28.799999999999955</v>
      </c>
      <c r="C29">
        <v>26.69397</v>
      </c>
      <c r="D29" s="3">
        <f>B3/C29</f>
        <v>1.4305477978734522</v>
      </c>
      <c r="E29" s="3">
        <f>Data!G24/Data!F24</f>
        <v>0.47347209875488733</v>
      </c>
      <c r="F29" s="3"/>
      <c r="G29" s="3">
        <f t="shared" si="0"/>
        <v>2.577897843563548E-2</v>
      </c>
      <c r="H29" s="10">
        <f t="shared" si="1"/>
        <v>-23.9349236948396</v>
      </c>
      <c r="I29" s="3">
        <f t="shared" si="2"/>
        <v>38.213450417230987</v>
      </c>
      <c r="J29" s="3" t="e">
        <f t="shared" si="3"/>
        <v>#REF!</v>
      </c>
      <c r="K29" s="3">
        <f t="shared" si="4"/>
        <v>531.16696079951078</v>
      </c>
      <c r="L29" s="3" t="e">
        <f t="shared" si="5"/>
        <v>#REF!</v>
      </c>
    </row>
    <row r="30" spans="1:15" x14ac:dyDescent="0.25">
      <c r="B30" s="3">
        <f>Data!H25</f>
        <v>29.016666666666652</v>
      </c>
      <c r="C30">
        <v>26.685410000000001</v>
      </c>
      <c r="D30" s="3">
        <f>B3/C30</f>
        <v>1.4310066811789661</v>
      </c>
      <c r="E30" s="3">
        <f>Data!G25/Data!F25</f>
        <v>0.47374351752511951</v>
      </c>
      <c r="F30" s="3"/>
      <c r="G30" s="3">
        <f t="shared" si="0"/>
        <v>1.6858715503040855E-2</v>
      </c>
      <c r="H30" s="10">
        <f t="shared" si="1"/>
        <v>-23.934648249911749</v>
      </c>
      <c r="I30" s="3">
        <f t="shared" si="2"/>
        <v>38.2042978172951</v>
      </c>
      <c r="J30" s="3" t="e">
        <f t="shared" si="3"/>
        <v>#REF!</v>
      </c>
      <c r="K30" s="19">
        <f t="shared" si="4"/>
        <v>531.03973966040189</v>
      </c>
      <c r="L30" s="3" t="e">
        <f t="shared" si="5"/>
        <v>#REF!</v>
      </c>
    </row>
    <row r="31" spans="1:15" x14ac:dyDescent="0.25">
      <c r="A31">
        <f>Data!A26</f>
        <v>30</v>
      </c>
      <c r="B31" s="3">
        <f>Data!H26</f>
        <v>35.483333333333348</v>
      </c>
      <c r="C31">
        <v>27.331109999999999</v>
      </c>
      <c r="D31" s="3">
        <f>B4/C31</f>
        <v>1.421859558576289</v>
      </c>
      <c r="E31" s="3">
        <f>Data!G26/Data!F26</f>
        <v>0.46717970839823192</v>
      </c>
      <c r="F31" s="3"/>
      <c r="G31" s="3">
        <f t="shared" si="0"/>
        <v>0.65180625259180047</v>
      </c>
      <c r="H31" s="10">
        <f t="shared" si="1"/>
        <v>-23.941091893719012</v>
      </c>
      <c r="I31" s="3">
        <f t="shared" si="2"/>
        <v>38.855783186186549</v>
      </c>
      <c r="J31" s="3" t="e">
        <f t="shared" si="3"/>
        <v>#REF!</v>
      </c>
      <c r="K31" s="21">
        <f t="shared" si="4"/>
        <v>540.09538628799305</v>
      </c>
      <c r="L31" s="3" t="e">
        <f t="shared" si="5"/>
        <v>#REF!</v>
      </c>
      <c r="M31" s="21">
        <f>AVERAGE(K31:K33)</f>
        <v>540.04897778757561</v>
      </c>
      <c r="N31" s="3" t="e">
        <f>AVERAGE(L31:L33)</f>
        <v>#REF!</v>
      </c>
      <c r="O31" s="4">
        <f>Data!A26</f>
        <v>30</v>
      </c>
    </row>
    <row r="32" spans="1:15" x14ac:dyDescent="0.25">
      <c r="B32" s="3">
        <f>Data!H27</f>
        <v>35.616666666666674</v>
      </c>
      <c r="C32">
        <v>27.325970000000002</v>
      </c>
      <c r="D32" s="3">
        <f>B4/C32</f>
        <v>1.4221270095809955</v>
      </c>
      <c r="E32" s="3">
        <f>Data!G27/Data!F27</f>
        <v>0.46718231777316593</v>
      </c>
      <c r="F32" s="3"/>
      <c r="G32" s="3">
        <f t="shared" si="0"/>
        <v>0.64644455232559039</v>
      </c>
      <c r="H32" s="10">
        <f t="shared" si="1"/>
        <v>-23.941086806708618</v>
      </c>
      <c r="I32" s="3">
        <f t="shared" si="2"/>
        <v>38.850281835174414</v>
      </c>
      <c r="J32" s="3" t="e">
        <f t="shared" si="3"/>
        <v>#REF!</v>
      </c>
      <c r="K32" s="21">
        <f t="shared" si="4"/>
        <v>540.01891750892435</v>
      </c>
      <c r="L32" s="3" t="e">
        <f t="shared" si="5"/>
        <v>#REF!</v>
      </c>
    </row>
    <row r="33" spans="1:15" x14ac:dyDescent="0.25">
      <c r="B33" s="3">
        <f>Data!H28</f>
        <v>35.699999999999932</v>
      </c>
      <c r="C33">
        <v>27.327069999999999</v>
      </c>
      <c r="D33" s="3">
        <f>B4/C33</f>
        <v>1.4220697645228706</v>
      </c>
      <c r="E33" s="3">
        <f>Data!G28/Data!F28</f>
        <v>0.46714924066136621</v>
      </c>
      <c r="F33" s="3"/>
      <c r="G33" s="3">
        <f t="shared" si="0"/>
        <v>0.64740598965920526</v>
      </c>
      <c r="H33" s="10">
        <f t="shared" si="1"/>
        <v>-23.941118335298256</v>
      </c>
      <c r="I33" s="3">
        <f t="shared" si="2"/>
        <v>38.851268314087029</v>
      </c>
      <c r="J33" s="3" t="e">
        <f t="shared" si="3"/>
        <v>#REF!</v>
      </c>
      <c r="K33" s="21">
        <f t="shared" si="4"/>
        <v>540.03262956580977</v>
      </c>
      <c r="L33" s="3" t="e">
        <f t="shared" si="5"/>
        <v>#REF!</v>
      </c>
    </row>
    <row r="34" spans="1:15" x14ac:dyDescent="0.25">
      <c r="A34" t="str">
        <f>Data!A29</f>
        <v>Openwater_3_T1_1</v>
      </c>
      <c r="B34" s="3">
        <f>Data!H29</f>
        <v>41.18333333333328</v>
      </c>
      <c r="C34">
        <v>26.754239999999999</v>
      </c>
      <c r="D34" s="3"/>
      <c r="E34" s="3">
        <f>Data!G29/Data!F29</f>
        <v>0.39836713732103773</v>
      </c>
      <c r="F34" s="3"/>
      <c r="G34" s="3">
        <f t="shared" si="0"/>
        <v>6.5458566211272995E-2</v>
      </c>
      <c r="H34" s="10">
        <f t="shared" si="1"/>
        <v>-24.009798545880447</v>
      </c>
      <c r="I34" s="3">
        <f t="shared" si="2"/>
        <v>38.254163498815643</v>
      </c>
      <c r="J34" s="3" t="e">
        <f t="shared" si="3"/>
        <v>#REF!</v>
      </c>
      <c r="K34" s="3">
        <f t="shared" si="4"/>
        <v>531.73287263353745</v>
      </c>
      <c r="L34" s="3" t="e">
        <f t="shared" si="5"/>
        <v>#REF!</v>
      </c>
      <c r="M34" s="3">
        <f>AVERAGE(K34:K36)</f>
        <v>531.6729071128467</v>
      </c>
      <c r="N34" s="3" t="e">
        <f>AVERAGE(L34:L36)</f>
        <v>#REF!</v>
      </c>
      <c r="O34" s="4" t="str">
        <f>Data!A29</f>
        <v>Openwater_3_T1_1</v>
      </c>
    </row>
    <row r="35" spans="1:15" x14ac:dyDescent="0.25">
      <c r="B35" s="3">
        <f>Data!H30</f>
        <v>41.316666666666606</v>
      </c>
      <c r="C35">
        <v>26.7499</v>
      </c>
      <c r="D35" s="3"/>
      <c r="E35" s="3">
        <f>Data!G30/Data!F30</f>
        <v>0.39833083488162574</v>
      </c>
      <c r="F35" s="3"/>
      <c r="G35" s="3">
        <f t="shared" si="0"/>
        <v>6.0896865945064604E-2</v>
      </c>
      <c r="H35" s="10">
        <f t="shared" si="1"/>
        <v>-24.009832370684403</v>
      </c>
      <c r="I35" s="3">
        <f t="shared" si="2"/>
        <v>38.249482984588703</v>
      </c>
      <c r="J35" s="3" t="e">
        <f t="shared" si="3"/>
        <v>#REF!</v>
      </c>
      <c r="K35" s="3">
        <f t="shared" si="4"/>
        <v>531.66781348578297</v>
      </c>
      <c r="L35" s="3" t="e">
        <f t="shared" si="5"/>
        <v>#REF!</v>
      </c>
    </row>
    <row r="36" spans="1:15" x14ac:dyDescent="0.25">
      <c r="B36" s="3">
        <f>Data!H31</f>
        <v>41.533333333333303</v>
      </c>
      <c r="C36">
        <v>26.746770000000001</v>
      </c>
      <c r="D36" s="3"/>
      <c r="E36" s="3">
        <f>Data!G31/Data!F31</f>
        <v>0.39832398454093704</v>
      </c>
      <c r="F36" s="3"/>
      <c r="G36" s="3">
        <f t="shared" si="0"/>
        <v>5.740660301247047E-2</v>
      </c>
      <c r="H36" s="10">
        <f t="shared" si="1"/>
        <v>-24.009835194867478</v>
      </c>
      <c r="I36" s="3">
        <f t="shared" si="2"/>
        <v>38.245901814332349</v>
      </c>
      <c r="J36" s="3" t="e">
        <f t="shared" si="3"/>
        <v>#REF!</v>
      </c>
      <c r="K36" s="3">
        <f t="shared" si="4"/>
        <v>531.61803521921968</v>
      </c>
      <c r="L36" s="3" t="e">
        <f t="shared" si="5"/>
        <v>#REF!</v>
      </c>
    </row>
    <row r="37" spans="1:15" x14ac:dyDescent="0.25">
      <c r="A37" t="str">
        <f>Data!A32</f>
        <v>Openwater_4_T1_1</v>
      </c>
      <c r="B37" s="3">
        <f>Data!H32</f>
        <v>43.966666666666583</v>
      </c>
      <c r="C37">
        <v>26.723700000000001</v>
      </c>
      <c r="D37" s="3"/>
      <c r="E37" s="3">
        <f>Data!G32/Data!F32</f>
        <v>0.34573947469848859</v>
      </c>
      <c r="F37" s="3"/>
      <c r="G37" s="3">
        <f t="shared" si="0"/>
        <v>3.0290573154118761E-2</v>
      </c>
      <c r="H37" s="10">
        <f t="shared" si="1"/>
        <v>-24.062374487862847</v>
      </c>
      <c r="I37" s="3">
        <f t="shared" si="2"/>
        <v>38.218079520862027</v>
      </c>
      <c r="J37" s="3" t="e">
        <f t="shared" si="3"/>
        <v>#REF!</v>
      </c>
      <c r="K37" s="3">
        <f t="shared" si="4"/>
        <v>531.23130533998221</v>
      </c>
      <c r="L37" s="3" t="e">
        <f t="shared" si="5"/>
        <v>#REF!</v>
      </c>
      <c r="M37" s="3">
        <f>AVERAGE(K37:K39)</f>
        <v>531.20592449342575</v>
      </c>
      <c r="N37" s="3" t="e">
        <f>AVERAGE(L37:L39)</f>
        <v>#REF!</v>
      </c>
      <c r="O37" s="4" t="str">
        <f>Data!A32</f>
        <v>Openwater_4_T1_1</v>
      </c>
    </row>
    <row r="38" spans="1:15" x14ac:dyDescent="0.25">
      <c r="B38" s="3">
        <f>Data!H33</f>
        <v>44.049999999999955</v>
      </c>
      <c r="C38">
        <v>26.71687</v>
      </c>
      <c r="D38" s="3"/>
      <c r="E38" s="3">
        <f>Data!G33/Data!F33</f>
        <v>0.34565018282455989</v>
      </c>
      <c r="F38" s="3"/>
      <c r="G38" s="3">
        <f t="shared" si="0"/>
        <v>2.3322010487735412E-2</v>
      </c>
      <c r="H38" s="10">
        <f t="shared" si="1"/>
        <v>-24.062462231214617</v>
      </c>
      <c r="I38" s="3">
        <f t="shared" si="2"/>
        <v>38.210929455141375</v>
      </c>
      <c r="J38" s="3" t="e">
        <f t="shared" si="3"/>
        <v>#REF!</v>
      </c>
      <c r="K38" s="3">
        <f t="shared" si="4"/>
        <v>531.13191942646517</v>
      </c>
      <c r="L38" s="3" t="e">
        <f t="shared" si="5"/>
        <v>#REF!</v>
      </c>
    </row>
    <row r="39" spans="1:15" x14ac:dyDescent="0.25">
      <c r="B39" s="3">
        <f>Data!H34</f>
        <v>44.18333333333328</v>
      </c>
      <c r="C39">
        <v>26.72569</v>
      </c>
      <c r="D39" s="3"/>
      <c r="E39" s="3">
        <f>Data!G34/Data!F34</f>
        <v>0.3455184505994045</v>
      </c>
      <c r="F39" s="3"/>
      <c r="G39" s="3">
        <f t="shared" si="0"/>
        <v>3.1920310221522641E-2</v>
      </c>
      <c r="H39" s="10">
        <f t="shared" si="1"/>
        <v>-24.062591485804319</v>
      </c>
      <c r="I39" s="3">
        <f t="shared" si="2"/>
        <v>38.219751706030934</v>
      </c>
      <c r="J39" s="3" t="e">
        <f t="shared" si="3"/>
        <v>#REF!</v>
      </c>
      <c r="K39" s="3">
        <f t="shared" si="4"/>
        <v>531.25454871382999</v>
      </c>
      <c r="L39" s="3" t="e">
        <f t="shared" si="5"/>
        <v>#REF!</v>
      </c>
    </row>
    <row r="40" spans="1:15" x14ac:dyDescent="0.25">
      <c r="A40" t="str">
        <f>Data!A35</f>
        <v>SAVa_IN_T1_1</v>
      </c>
      <c r="B40" s="3">
        <f>Data!H35</f>
        <v>47.133333333333326</v>
      </c>
      <c r="C40">
        <v>27.817889999999998</v>
      </c>
      <c r="D40" s="3"/>
      <c r="E40" s="3">
        <f>Data!G35/Data!F35</f>
        <v>0.32348096854218633</v>
      </c>
      <c r="F40" s="3"/>
      <c r="G40" s="3">
        <f t="shared" si="0"/>
        <v>1.1192151918316</v>
      </c>
      <c r="H40" s="10">
        <f t="shared" si="1"/>
        <v>-24.084574150177065</v>
      </c>
      <c r="I40" s="3">
        <f t="shared" si="2"/>
        <v>39.335366250009407</v>
      </c>
      <c r="J40" s="3" t="e">
        <f t="shared" si="3"/>
        <v>#REF!</v>
      </c>
      <c r="K40" s="3">
        <f t="shared" si="4"/>
        <v>546.76159087513076</v>
      </c>
      <c r="L40" s="3" t="e">
        <f t="shared" si="5"/>
        <v>#REF!</v>
      </c>
      <c r="M40" s="3">
        <f>AVERAGE(K40:K42)</f>
        <v>546.67615192759263</v>
      </c>
      <c r="N40" s="3" t="e">
        <f>AVERAGE(L40:L42)</f>
        <v>#REF!</v>
      </c>
      <c r="O40" s="4" t="str">
        <f>Data!A35</f>
        <v>SAVa_IN_T1_1</v>
      </c>
    </row>
    <row r="41" spans="1:15" x14ac:dyDescent="0.25">
      <c r="B41" s="3">
        <f>Data!H36</f>
        <v>47.266666666666652</v>
      </c>
      <c r="C41">
        <v>27.811959999999999</v>
      </c>
      <c r="D41" s="3"/>
      <c r="E41" s="3">
        <f>Data!G36/Data!F36</f>
        <v>0.32359103781250947</v>
      </c>
      <c r="F41" s="3"/>
      <c r="G41" s="3">
        <f t="shared" si="0"/>
        <v>1.1130634915653914</v>
      </c>
      <c r="H41" s="10">
        <f t="shared" si="1"/>
        <v>-24.084461603271286</v>
      </c>
      <c r="I41" s="3">
        <f t="shared" si="2"/>
        <v>39.329054322671894</v>
      </c>
      <c r="J41" s="3" t="e">
        <f t="shared" si="3"/>
        <v>#REF!</v>
      </c>
      <c r="K41" s="3">
        <f t="shared" si="4"/>
        <v>546.67385508513939</v>
      </c>
      <c r="L41" s="3" t="e">
        <f t="shared" si="5"/>
        <v>#REF!</v>
      </c>
    </row>
    <row r="42" spans="1:15" x14ac:dyDescent="0.25">
      <c r="B42" s="3">
        <f>Data!H37</f>
        <v>47.350000000000023</v>
      </c>
      <c r="C42">
        <v>27.806429999999999</v>
      </c>
      <c r="D42" s="3"/>
      <c r="E42" s="3">
        <f>Data!G37/Data!F37</f>
        <v>0.3235092386904756</v>
      </c>
      <c r="F42" s="3"/>
      <c r="G42" s="3">
        <f t="shared" si="0"/>
        <v>1.1073949288990086</v>
      </c>
      <c r="H42" s="10">
        <f t="shared" si="1"/>
        <v>-24.084541853871158</v>
      </c>
      <c r="I42" s="3">
        <f t="shared" si="2"/>
        <v>39.323238116727183</v>
      </c>
      <c r="J42" s="3" t="e">
        <f t="shared" si="3"/>
        <v>#REF!</v>
      </c>
      <c r="K42" s="3">
        <f t="shared" si="4"/>
        <v>546.59300982250784</v>
      </c>
      <c r="L42" s="3" t="e">
        <f t="shared" si="5"/>
        <v>#REF!</v>
      </c>
    </row>
    <row r="43" spans="1:15" x14ac:dyDescent="0.25">
      <c r="A43">
        <f>Data!A38</f>
        <v>20</v>
      </c>
      <c r="B43" s="3">
        <f>Data!H38</f>
        <v>52.066666666666606</v>
      </c>
      <c r="C43">
        <v>26.697870000000002</v>
      </c>
      <c r="D43" s="3">
        <f>B3/C43</f>
        <v>1.430338824782651</v>
      </c>
      <c r="E43" s="3">
        <f>Data!G38/Data!F38</f>
        <v>0.46996745433249915</v>
      </c>
      <c r="F43" s="3"/>
      <c r="G43" s="3">
        <f t="shared" si="0"/>
        <v>-9.0077180182071004E-3</v>
      </c>
      <c r="H43" s="10">
        <f t="shared" si="1"/>
        <v>-23.937995991874871</v>
      </c>
      <c r="I43" s="3">
        <f t="shared" si="2"/>
        <v>38.177757667124958</v>
      </c>
      <c r="J43" s="3" t="e">
        <f t="shared" si="3"/>
        <v>#REF!</v>
      </c>
      <c r="K43" s="3">
        <f t="shared" si="4"/>
        <v>530.67083157303693</v>
      </c>
      <c r="L43" s="3" t="e">
        <f t="shared" si="5"/>
        <v>#REF!</v>
      </c>
      <c r="M43" s="3">
        <f>AVERAGE(K43:K45)</f>
        <v>530.6314670950178</v>
      </c>
      <c r="N43" s="3" t="e">
        <f>AVERAGE(L43:L45)</f>
        <v>#REF!</v>
      </c>
      <c r="O43" s="4">
        <f>Data!A38</f>
        <v>20</v>
      </c>
    </row>
    <row r="44" spans="1:15" x14ac:dyDescent="0.25">
      <c r="B44" s="3">
        <f>Data!H39</f>
        <v>52.149999999999977</v>
      </c>
      <c r="C44">
        <v>26.694320000000001</v>
      </c>
      <c r="D44" s="3">
        <f>B3/C44</f>
        <v>1.4305290413840845</v>
      </c>
      <c r="E44" s="3">
        <f>Data!G39/Data!F39</f>
        <v>0.47025172396225118</v>
      </c>
      <c r="F44" s="3"/>
      <c r="G44" s="3">
        <f t="shared" si="0"/>
        <v>-1.2696280684590278E-2</v>
      </c>
      <c r="H44" s="10">
        <f t="shared" si="1"/>
        <v>-23.937710173722959</v>
      </c>
      <c r="I44" s="3">
        <f t="shared" si="2"/>
        <v>38.173973032223614</v>
      </c>
      <c r="J44" s="3" t="e">
        <f t="shared" si="3"/>
        <v>#REF!</v>
      </c>
      <c r="K44" s="3">
        <f t="shared" si="4"/>
        <v>530.61822514790822</v>
      </c>
      <c r="L44" s="3" t="e">
        <f t="shared" si="5"/>
        <v>#REF!</v>
      </c>
    </row>
    <row r="45" spans="1:15" x14ac:dyDescent="0.25">
      <c r="B45" s="3">
        <f>Data!H40</f>
        <v>52.199999999999932</v>
      </c>
      <c r="C45">
        <v>26.6935</v>
      </c>
      <c r="D45" s="3">
        <f>B3/C45</f>
        <v>1.4305729859329048</v>
      </c>
      <c r="E45" s="3">
        <f>Data!G40/Data!F40</f>
        <v>0.47048195253526137</v>
      </c>
      <c r="F45" s="3"/>
      <c r="G45" s="3">
        <f t="shared" si="0"/>
        <v>-1.3599418284421461E-2</v>
      </c>
      <c r="H45" s="10">
        <f t="shared" si="1"/>
        <v>-23.937479016036651</v>
      </c>
      <c r="I45" s="3">
        <f t="shared" si="2"/>
        <v>38.173046371518566</v>
      </c>
      <c r="J45" s="3" t="e">
        <f t="shared" si="3"/>
        <v>#REF!</v>
      </c>
      <c r="K45" s="3">
        <f t="shared" si="4"/>
        <v>530.60534456410812</v>
      </c>
      <c r="L45" s="3" t="e">
        <f t="shared" si="5"/>
        <v>#REF!</v>
      </c>
    </row>
    <row r="46" spans="1:15" x14ac:dyDescent="0.25">
      <c r="A46">
        <f>Data!A41</f>
        <v>30</v>
      </c>
      <c r="B46" s="3">
        <f>Data!H41</f>
        <v>56.399999999999977</v>
      </c>
      <c r="C46">
        <v>27.3386</v>
      </c>
      <c r="D46" s="3">
        <f>B4/C46</f>
        <v>1.4214700094372059</v>
      </c>
      <c r="E46" s="3">
        <f>Data!G41/Data!F41</f>
        <v>0.46500369441010148</v>
      </c>
      <c r="F46" s="3"/>
      <c r="G46" s="3">
        <f t="shared" si="0"/>
        <v>0.62451702332992554</v>
      </c>
      <c r="H46" s="10">
        <f t="shared" si="1"/>
        <v>-23.942879228644941</v>
      </c>
      <c r="I46" s="3">
        <f t="shared" si="2"/>
        <v>38.827783182164254</v>
      </c>
      <c r="J46" s="3" t="e">
        <f t="shared" si="3"/>
        <v>#REF!</v>
      </c>
      <c r="K46" s="3">
        <f t="shared" si="4"/>
        <v>539.70618623208316</v>
      </c>
      <c r="L46" s="3" t="e">
        <f t="shared" si="5"/>
        <v>#REF!</v>
      </c>
      <c r="M46" s="3">
        <f>AVERAGE(K46:K48)</f>
        <v>539.67592366827819</v>
      </c>
      <c r="N46" s="3" t="e">
        <f>AVERAGE(L46:L48)</f>
        <v>#REF!</v>
      </c>
      <c r="O46" s="4">
        <f>Data!A41</f>
        <v>30</v>
      </c>
    </row>
    <row r="47" spans="1:15" x14ac:dyDescent="0.25">
      <c r="B47" s="3">
        <f>Data!H42</f>
        <v>56.483333333333348</v>
      </c>
      <c r="C47">
        <v>27.339860000000002</v>
      </c>
      <c r="D47" s="3">
        <f>B4/C47</f>
        <v>1.4214044987794376</v>
      </c>
      <c r="E47" s="3">
        <f>Data!G42/Data!F42</f>
        <v>0.46510918490438502</v>
      </c>
      <c r="F47" s="3"/>
      <c r="G47" s="3">
        <f t="shared" si="0"/>
        <v>0.62563846066354856</v>
      </c>
      <c r="H47" s="10">
        <f t="shared" si="1"/>
        <v>-23.942772189628496</v>
      </c>
      <c r="I47" s="3">
        <f t="shared" si="2"/>
        <v>38.828933828433918</v>
      </c>
      <c r="J47" s="3" t="e">
        <f t="shared" si="3"/>
        <v>#REF!</v>
      </c>
      <c r="K47" s="3">
        <f t="shared" si="4"/>
        <v>539.72218021523145</v>
      </c>
      <c r="L47" s="3" t="e">
        <f t="shared" si="5"/>
        <v>#REF!</v>
      </c>
    </row>
    <row r="48" spans="1:15" x14ac:dyDescent="0.25">
      <c r="B48" s="3">
        <f>Data!H43</f>
        <v>56.566666666666606</v>
      </c>
      <c r="C48">
        <v>27.331389999999999</v>
      </c>
      <c r="D48" s="3">
        <f>B4/C48</f>
        <v>1.4218449921500516</v>
      </c>
      <c r="E48" s="3">
        <f>Data!G43/Data!F43</f>
        <v>0.46514429013672559</v>
      </c>
      <c r="F48" s="3"/>
      <c r="G48" s="3">
        <f t="shared" si="0"/>
        <v>0.61702989799716335</v>
      </c>
      <c r="H48" s="10">
        <f t="shared" si="1"/>
        <v>-23.942735535873997</v>
      </c>
      <c r="I48" s="3">
        <f t="shared" si="2"/>
        <v>38.820101047303602</v>
      </c>
      <c r="J48" s="3" t="e">
        <f t="shared" si="3"/>
        <v>#REF!</v>
      </c>
      <c r="K48" s="3">
        <f t="shared" si="4"/>
        <v>539.59940455752007</v>
      </c>
      <c r="L48" s="3" t="e">
        <f t="shared" si="5"/>
        <v>#REF!</v>
      </c>
    </row>
    <row r="49" spans="2:14" x14ac:dyDescent="0.25">
      <c r="B49" s="3"/>
      <c r="C49" s="3"/>
      <c r="D49" s="3"/>
      <c r="E49" s="3"/>
      <c r="F49" s="3"/>
      <c r="G49" s="3"/>
      <c r="H49" s="10"/>
      <c r="I49" s="3"/>
      <c r="J49" s="3"/>
      <c r="K49" s="3"/>
      <c r="L49" s="3"/>
      <c r="M49" s="3"/>
      <c r="N49" s="3"/>
    </row>
    <row r="50" spans="2:14" x14ac:dyDescent="0.25">
      <c r="B50" s="3"/>
      <c r="C50" s="3"/>
      <c r="D50" s="3"/>
      <c r="E50" s="3"/>
      <c r="F50" s="3"/>
      <c r="G50" s="3"/>
      <c r="H50" s="10"/>
      <c r="I50" s="3"/>
      <c r="J50" s="3"/>
      <c r="K50" s="3"/>
      <c r="L50" s="3"/>
    </row>
    <row r="51" spans="2:14" x14ac:dyDescent="0.25">
      <c r="B51" s="3"/>
      <c r="C51" s="3"/>
      <c r="D51" s="3"/>
      <c r="E51" s="3"/>
      <c r="F51" s="3"/>
      <c r="G51" s="3"/>
      <c r="H51" s="10"/>
      <c r="I51" s="3"/>
      <c r="J51" s="3"/>
      <c r="K51" s="3"/>
      <c r="L51" s="3"/>
    </row>
    <row r="52" spans="2:14" x14ac:dyDescent="0.25">
      <c r="B52" s="3"/>
      <c r="C52" s="3"/>
      <c r="D52" s="3"/>
      <c r="E52" s="3"/>
      <c r="F52" s="3"/>
      <c r="G52" s="3"/>
      <c r="H52" s="10"/>
      <c r="I52" s="3"/>
      <c r="J52" s="3"/>
      <c r="K52" s="3"/>
      <c r="L52" s="3"/>
      <c r="M52" s="3"/>
      <c r="N52" s="3"/>
    </row>
    <row r="53" spans="2:14" x14ac:dyDescent="0.25">
      <c r="B53" s="3"/>
      <c r="C53" s="3"/>
      <c r="D53" s="3"/>
      <c r="E53" s="3"/>
      <c r="F53" s="3"/>
      <c r="G53" s="3"/>
      <c r="H53" s="10"/>
      <c r="I53" s="3"/>
      <c r="J53" s="3"/>
      <c r="K53" s="3"/>
      <c r="L53" s="3"/>
    </row>
    <row r="54" spans="2:14" x14ac:dyDescent="0.25">
      <c r="B54" s="3"/>
      <c r="C54" s="3"/>
      <c r="D54" s="3"/>
      <c r="E54" s="3"/>
      <c r="F54" s="3"/>
      <c r="G54" s="3"/>
      <c r="H54" s="10"/>
      <c r="I54" s="3"/>
      <c r="J54" s="3"/>
      <c r="K54" s="3"/>
      <c r="L54" s="3"/>
    </row>
    <row r="55" spans="2:14" x14ac:dyDescent="0.25">
      <c r="B55" s="3"/>
      <c r="C55" s="3"/>
      <c r="D55" s="3"/>
      <c r="E55" s="3"/>
      <c r="F55" s="3"/>
      <c r="G55" s="3"/>
      <c r="H55" s="10"/>
      <c r="I55" s="3"/>
      <c r="J55" s="3"/>
      <c r="K55" s="3"/>
      <c r="L55" s="3"/>
      <c r="M55" s="3"/>
      <c r="N55" s="3"/>
    </row>
    <row r="56" spans="2:14" x14ac:dyDescent="0.25">
      <c r="B56" s="3"/>
      <c r="C56" s="3"/>
      <c r="D56" s="3"/>
      <c r="E56" s="3"/>
      <c r="F56" s="3"/>
      <c r="G56" s="3"/>
      <c r="H56" s="10"/>
      <c r="I56" s="3"/>
      <c r="J56" s="3"/>
      <c r="K56" s="3"/>
      <c r="L56" s="3"/>
    </row>
    <row r="57" spans="2:14" x14ac:dyDescent="0.25">
      <c r="B57" s="3"/>
      <c r="C57" s="3"/>
      <c r="D57" s="3"/>
      <c r="E57" s="3"/>
      <c r="F57" s="3"/>
      <c r="G57" s="3"/>
      <c r="H57" s="10"/>
      <c r="I57" s="3"/>
      <c r="J57" s="3"/>
      <c r="K57" s="3"/>
      <c r="L57" s="3"/>
    </row>
    <row r="58" spans="2:14" x14ac:dyDescent="0.25">
      <c r="B58" s="3"/>
      <c r="C58" s="3"/>
      <c r="D58" s="3"/>
      <c r="E58" s="3"/>
      <c r="F58" s="3"/>
      <c r="G58" s="3"/>
      <c r="H58" s="10"/>
      <c r="I58" s="3"/>
      <c r="J58" s="3"/>
      <c r="K58" s="3"/>
      <c r="L58" s="3"/>
      <c r="M58" s="3"/>
      <c r="N58" s="3"/>
    </row>
    <row r="59" spans="2:14" x14ac:dyDescent="0.25">
      <c r="B59" s="3"/>
      <c r="C59" s="3"/>
      <c r="D59" s="3"/>
      <c r="E59" s="3"/>
      <c r="F59" s="3"/>
      <c r="G59" s="3"/>
      <c r="H59" s="10"/>
      <c r="I59" s="3"/>
      <c r="J59" s="3"/>
      <c r="K59" s="3"/>
      <c r="L59" s="3"/>
    </row>
    <row r="60" spans="2:14" x14ac:dyDescent="0.25">
      <c r="B60" s="3"/>
      <c r="C60" s="3"/>
      <c r="D60" s="3"/>
      <c r="E60" s="3"/>
      <c r="F60" s="3"/>
      <c r="G60" s="3"/>
      <c r="H60" s="10"/>
      <c r="I60" s="3"/>
      <c r="J60" s="3"/>
      <c r="K60" s="3"/>
      <c r="L60" s="3"/>
    </row>
    <row r="61" spans="2:14" x14ac:dyDescent="0.25">
      <c r="B61" s="3"/>
      <c r="C61" s="3"/>
      <c r="D61" s="3"/>
      <c r="E61" s="3"/>
      <c r="F61" s="3"/>
      <c r="G61" s="3"/>
      <c r="H61" s="10"/>
      <c r="I61" s="3"/>
      <c r="J61" s="3"/>
      <c r="K61" s="3"/>
      <c r="L61" s="3"/>
      <c r="M61" s="3"/>
      <c r="N61" s="3"/>
    </row>
    <row r="62" spans="2:14" x14ac:dyDescent="0.25">
      <c r="B62" s="3"/>
      <c r="C62" s="3"/>
      <c r="D62" s="3"/>
      <c r="E62" s="3"/>
      <c r="F62" s="3"/>
      <c r="G62" s="3"/>
      <c r="H62" s="10"/>
      <c r="I62" s="3"/>
      <c r="J62" s="3"/>
      <c r="K62" s="3"/>
      <c r="L62" s="3"/>
    </row>
    <row r="63" spans="2:14" x14ac:dyDescent="0.25">
      <c r="B63" s="3"/>
      <c r="C63" s="3"/>
      <c r="D63" s="3"/>
      <c r="E63" s="3"/>
      <c r="F63" s="3"/>
      <c r="G63" s="3"/>
      <c r="H63" s="10"/>
      <c r="I63" s="3"/>
      <c r="J63" s="3"/>
      <c r="K63" s="3"/>
      <c r="L63" s="3"/>
    </row>
    <row r="64" spans="2:14" x14ac:dyDescent="0.25">
      <c r="B64" s="3"/>
      <c r="C64" s="3"/>
      <c r="D64" s="3"/>
      <c r="E64" s="3"/>
      <c r="F64" s="3"/>
      <c r="G64" s="3"/>
      <c r="H64" s="10"/>
      <c r="I64" s="3"/>
      <c r="J64" s="3"/>
      <c r="K64" s="3"/>
      <c r="L64" s="3"/>
      <c r="M64" s="3"/>
      <c r="N64" s="3"/>
    </row>
    <row r="65" spans="2:14" x14ac:dyDescent="0.25">
      <c r="B65" s="3"/>
      <c r="C65" s="3"/>
      <c r="D65" s="3"/>
      <c r="E65" s="3"/>
      <c r="F65" s="3"/>
      <c r="G65" s="3"/>
      <c r="H65" s="10"/>
      <c r="I65" s="3"/>
      <c r="J65" s="3"/>
      <c r="K65" s="3"/>
      <c r="L65" s="3"/>
    </row>
    <row r="66" spans="2:14" x14ac:dyDescent="0.25">
      <c r="B66" s="3"/>
      <c r="C66" s="3"/>
      <c r="D66" s="3"/>
      <c r="E66" s="3"/>
      <c r="F66" s="3"/>
      <c r="G66" s="3"/>
      <c r="H66" s="10"/>
      <c r="I66" s="3"/>
      <c r="J66" s="3"/>
      <c r="K66" s="3"/>
      <c r="L66" s="3"/>
    </row>
    <row r="67" spans="2:14" x14ac:dyDescent="0.25">
      <c r="B67" s="3"/>
      <c r="C67" s="3"/>
      <c r="D67" s="3"/>
      <c r="E67" s="3"/>
      <c r="F67" s="3"/>
      <c r="G67" s="3"/>
      <c r="H67" s="10"/>
      <c r="I67" s="3"/>
      <c r="J67" s="3"/>
      <c r="K67" s="3"/>
      <c r="L67" s="3"/>
      <c r="M67" s="3"/>
      <c r="N67" s="3"/>
    </row>
    <row r="68" spans="2:14" x14ac:dyDescent="0.25">
      <c r="B68" s="3"/>
      <c r="C68" s="3"/>
      <c r="D68" s="3"/>
      <c r="E68" s="3"/>
      <c r="F68" s="3"/>
      <c r="G68" s="3"/>
      <c r="H68" s="10"/>
      <c r="I68" s="3"/>
      <c r="J68" s="3"/>
      <c r="K68" s="3"/>
      <c r="L68" s="3"/>
    </row>
    <row r="69" spans="2:14" x14ac:dyDescent="0.25">
      <c r="B69" s="3"/>
      <c r="C69" s="3"/>
      <c r="D69" s="3"/>
      <c r="E69" s="3"/>
      <c r="F69" s="3"/>
      <c r="G69" s="3"/>
      <c r="H69" s="10"/>
      <c r="I69" s="3"/>
      <c r="J69" s="3"/>
      <c r="K69" s="3"/>
      <c r="L69" s="3"/>
    </row>
    <row r="70" spans="2:14" x14ac:dyDescent="0.25">
      <c r="B70" s="3"/>
      <c r="C70" s="3"/>
      <c r="D70" s="3"/>
      <c r="E70" s="3"/>
      <c r="F70" s="3"/>
      <c r="G70" s="3"/>
      <c r="H70" s="10"/>
      <c r="I70" s="3"/>
      <c r="J70" s="3"/>
      <c r="K70" s="3"/>
      <c r="L70" s="3"/>
      <c r="M70" s="3"/>
      <c r="N70" s="3"/>
    </row>
    <row r="71" spans="2:14" x14ac:dyDescent="0.25">
      <c r="B71" s="3"/>
      <c r="C71" s="3"/>
      <c r="D71" s="3"/>
      <c r="E71" s="3"/>
      <c r="F71" s="3"/>
      <c r="G71" s="3"/>
      <c r="H71" s="10"/>
      <c r="I71" s="3"/>
      <c r="J71" s="3"/>
      <c r="K71" s="3"/>
      <c r="L71" s="3"/>
    </row>
    <row r="72" spans="2:14" x14ac:dyDescent="0.25">
      <c r="B72" s="3"/>
      <c r="C72" s="3"/>
      <c r="D72" s="3"/>
      <c r="E72" s="3"/>
      <c r="F72" s="3"/>
      <c r="G72" s="3"/>
      <c r="H72" s="10"/>
      <c r="I72" s="3"/>
      <c r="J72" s="3"/>
      <c r="K72" s="3"/>
      <c r="L72" s="3"/>
    </row>
    <row r="73" spans="2:14" x14ac:dyDescent="0.25">
      <c r="B73" s="3"/>
      <c r="C73" s="3"/>
      <c r="D73" s="3"/>
      <c r="E73" s="3"/>
      <c r="F73" s="3"/>
      <c r="G73" s="3"/>
      <c r="H73" s="10"/>
      <c r="I73" s="3"/>
      <c r="J73" s="3"/>
      <c r="K73" s="3"/>
      <c r="L73" s="3"/>
      <c r="M73" s="3"/>
      <c r="N73" s="3"/>
    </row>
    <row r="74" spans="2:14" x14ac:dyDescent="0.25">
      <c r="B74" s="3"/>
      <c r="C74" s="3"/>
      <c r="D74" s="3"/>
      <c r="E74" s="3"/>
      <c r="F74" s="3"/>
      <c r="G74" s="3"/>
      <c r="H74" s="10"/>
      <c r="I74" s="3"/>
      <c r="J74" s="3"/>
      <c r="K74" s="3"/>
      <c r="L74" s="3"/>
    </row>
    <row r="75" spans="2:14" x14ac:dyDescent="0.25">
      <c r="B75" s="3"/>
      <c r="C75" s="3"/>
      <c r="D75" s="3"/>
      <c r="E75" s="3"/>
      <c r="F75" s="3"/>
      <c r="G75" s="3"/>
      <c r="H75" s="10"/>
      <c r="I75" s="3"/>
      <c r="J75" s="3"/>
      <c r="K75" s="3"/>
      <c r="L75" s="3"/>
    </row>
    <row r="76" spans="2:14" x14ac:dyDescent="0.25">
      <c r="B76" s="3"/>
      <c r="C76" s="3"/>
      <c r="D76" s="3"/>
      <c r="E76" s="3"/>
      <c r="F76" s="3"/>
      <c r="G76" s="3"/>
      <c r="H76" s="10"/>
      <c r="I76" s="3"/>
      <c r="J76" s="3"/>
      <c r="K76" s="3"/>
      <c r="L76" s="3"/>
      <c r="M76" s="3"/>
      <c r="N76" s="3"/>
    </row>
    <row r="77" spans="2:14" x14ac:dyDescent="0.25">
      <c r="B77" s="3"/>
      <c r="C77" s="3"/>
      <c r="D77" s="3"/>
      <c r="E77" s="3"/>
      <c r="F77" s="3"/>
      <c r="G77" s="3"/>
      <c r="H77" s="10"/>
      <c r="I77" s="3"/>
      <c r="J77" s="3"/>
      <c r="K77" s="3"/>
      <c r="L77" s="3"/>
    </row>
    <row r="78" spans="2:14" x14ac:dyDescent="0.25">
      <c r="B78" s="3"/>
      <c r="C78" s="3"/>
      <c r="D78" s="3"/>
      <c r="E78" s="3"/>
      <c r="F78" s="3"/>
      <c r="G78" s="3"/>
      <c r="H78" s="10"/>
      <c r="I78" s="3"/>
      <c r="J78" s="3"/>
      <c r="K78" s="3"/>
      <c r="L78" s="3"/>
    </row>
    <row r="79" spans="2:14" x14ac:dyDescent="0.25">
      <c r="B79" s="3"/>
      <c r="C79" s="3"/>
      <c r="D79" s="3"/>
      <c r="E79" s="3"/>
      <c r="F79" s="3"/>
      <c r="G79" s="3"/>
      <c r="H79" s="10"/>
      <c r="I79" s="3"/>
      <c r="J79" s="3"/>
      <c r="K79" s="3"/>
      <c r="L79" s="3"/>
      <c r="M79" s="3"/>
      <c r="N79" s="3"/>
    </row>
    <row r="80" spans="2:14" x14ac:dyDescent="0.25">
      <c r="B80" s="3"/>
      <c r="C80" s="3"/>
      <c r="D80" s="3"/>
      <c r="E80" s="3"/>
      <c r="F80" s="3"/>
      <c r="G80" s="3"/>
      <c r="H80" s="10"/>
      <c r="I80" s="3"/>
      <c r="J80" s="3"/>
      <c r="K80" s="3"/>
      <c r="L80" s="3"/>
    </row>
    <row r="81" spans="2:14" x14ac:dyDescent="0.25">
      <c r="B81" s="3"/>
      <c r="C81" s="3"/>
      <c r="D81" s="3"/>
      <c r="E81" s="3"/>
      <c r="F81" s="3"/>
      <c r="G81" s="3"/>
      <c r="H81" s="10"/>
      <c r="I81" s="3"/>
      <c r="J81" s="3"/>
      <c r="K81" s="3"/>
      <c r="L81" s="3"/>
    </row>
    <row r="82" spans="2:14" x14ac:dyDescent="0.25">
      <c r="B82" s="3"/>
      <c r="C82" s="3"/>
      <c r="D82" s="3"/>
      <c r="E82" s="3"/>
      <c r="F82" s="3"/>
      <c r="G82" s="3"/>
      <c r="H82" s="10"/>
      <c r="I82" s="3"/>
      <c r="J82" s="3"/>
      <c r="K82" s="3"/>
      <c r="L82" s="3"/>
      <c r="M82" s="3"/>
      <c r="N82" s="3"/>
    </row>
    <row r="83" spans="2:14" x14ac:dyDescent="0.25">
      <c r="B83" s="3"/>
      <c r="C83" s="3"/>
      <c r="D83" s="3"/>
      <c r="E83" s="3"/>
      <c r="F83" s="3"/>
      <c r="G83" s="3"/>
      <c r="H83" s="10"/>
      <c r="I83" s="3"/>
      <c r="J83" s="3"/>
      <c r="K83" s="3"/>
      <c r="L83" s="3"/>
    </row>
    <row r="84" spans="2:14" x14ac:dyDescent="0.25">
      <c r="B84" s="3"/>
      <c r="C84" s="3"/>
      <c r="D84" s="3"/>
      <c r="E84" s="3"/>
      <c r="F84" s="3"/>
      <c r="G84" s="3"/>
      <c r="H84" s="10"/>
      <c r="I84" s="3"/>
      <c r="J84" s="3"/>
      <c r="K84" s="3"/>
      <c r="L84" s="3"/>
    </row>
    <row r="85" spans="2:14" x14ac:dyDescent="0.25">
      <c r="B85" s="3"/>
      <c r="C85" s="3"/>
      <c r="D85" s="3"/>
      <c r="E85" s="3"/>
      <c r="F85" s="3"/>
      <c r="G85" s="3"/>
      <c r="H85" s="10"/>
      <c r="I85" s="3"/>
      <c r="J85" s="3"/>
      <c r="K85" s="3"/>
      <c r="L85" s="3"/>
      <c r="M85" s="3"/>
      <c r="N85" s="3"/>
    </row>
    <row r="86" spans="2:14" x14ac:dyDescent="0.25">
      <c r="B86" s="3"/>
      <c r="C86" s="3"/>
      <c r="D86" s="3"/>
      <c r="E86" s="3"/>
      <c r="F86" s="3"/>
      <c r="G86" s="3"/>
      <c r="H86" s="10"/>
      <c r="I86" s="3"/>
      <c r="J86" s="3"/>
      <c r="K86" s="3"/>
      <c r="L86" s="3"/>
    </row>
    <row r="87" spans="2:14" x14ac:dyDescent="0.25">
      <c r="B87" s="3"/>
      <c r="C87" s="3"/>
      <c r="D87" s="3"/>
      <c r="E87" s="3"/>
      <c r="F87" s="3"/>
      <c r="G87" s="3"/>
      <c r="H87" s="10"/>
      <c r="I87" s="3"/>
      <c r="J87" s="3"/>
      <c r="K87" s="3"/>
      <c r="L87" s="3"/>
    </row>
    <row r="88" spans="2:14" x14ac:dyDescent="0.25">
      <c r="B88" s="3"/>
      <c r="C88" s="3"/>
      <c r="D88" s="3"/>
      <c r="E88" s="3"/>
      <c r="F88" s="3"/>
      <c r="G88" s="3"/>
      <c r="H88" s="10"/>
      <c r="I88" s="3"/>
      <c r="J88" s="3"/>
      <c r="K88" s="3"/>
      <c r="L88" s="3"/>
      <c r="M88" s="3"/>
      <c r="N88" s="3"/>
    </row>
    <row r="89" spans="2:14" x14ac:dyDescent="0.25">
      <c r="B89" s="3"/>
      <c r="C89" s="3"/>
      <c r="D89" s="3"/>
      <c r="E89" s="3"/>
      <c r="F89" s="3"/>
      <c r="G89" s="3"/>
      <c r="H89" s="10"/>
      <c r="I89" s="3"/>
      <c r="J89" s="3"/>
      <c r="K89" s="3"/>
      <c r="L89" s="3"/>
    </row>
    <row r="90" spans="2:14" x14ac:dyDescent="0.25">
      <c r="B90" s="3"/>
      <c r="C90" s="3"/>
      <c r="D90" s="3"/>
      <c r="E90" s="3"/>
      <c r="F90" s="3"/>
      <c r="G90" s="3"/>
      <c r="H90" s="10"/>
      <c r="I90" s="3"/>
      <c r="J90" s="3"/>
      <c r="K90" s="3"/>
      <c r="L90" s="3"/>
    </row>
    <row r="91" spans="2:14" x14ac:dyDescent="0.25">
      <c r="B91" s="3"/>
      <c r="C91" s="3"/>
      <c r="D91" s="3"/>
      <c r="E91" s="3"/>
      <c r="F91" s="3"/>
      <c r="G91" s="3"/>
      <c r="H91" s="10"/>
      <c r="I91" s="3"/>
      <c r="J91" s="3"/>
      <c r="K91" s="3"/>
      <c r="L91" s="3"/>
      <c r="M91" s="3"/>
      <c r="N91" s="3"/>
    </row>
    <row r="92" spans="2:14" x14ac:dyDescent="0.25">
      <c r="B92" s="3"/>
      <c r="C92" s="3"/>
      <c r="D92" s="3"/>
      <c r="E92" s="3"/>
      <c r="F92" s="3"/>
      <c r="G92" s="3"/>
      <c r="H92" s="10"/>
      <c r="I92" s="3"/>
      <c r="J92" s="3"/>
      <c r="K92" s="3"/>
      <c r="L92" s="3"/>
    </row>
    <row r="93" spans="2:14" x14ac:dyDescent="0.25">
      <c r="B93" s="3"/>
      <c r="C93" s="3"/>
      <c r="D93" s="3"/>
      <c r="E93" s="3"/>
      <c r="F93" s="3"/>
      <c r="G93" s="3"/>
      <c r="H93" s="10"/>
      <c r="I93" s="3"/>
      <c r="J93" s="3"/>
      <c r="K93" s="3"/>
      <c r="L93" s="3"/>
    </row>
    <row r="94" spans="2:14" x14ac:dyDescent="0.25">
      <c r="B94" s="3"/>
      <c r="C94" s="3"/>
      <c r="D94" s="3"/>
      <c r="E94" s="3"/>
      <c r="F94" s="3"/>
      <c r="G94" s="3"/>
      <c r="H94" s="10"/>
      <c r="I94" s="3"/>
      <c r="J94" s="3"/>
      <c r="K94" s="3"/>
      <c r="L94" s="3"/>
      <c r="M94" s="3"/>
      <c r="N94" s="3"/>
    </row>
    <row r="95" spans="2:14" x14ac:dyDescent="0.25">
      <c r="B95" s="3"/>
      <c r="C95" s="3"/>
      <c r="D95" s="3"/>
      <c r="E95" s="3"/>
      <c r="F95" s="3"/>
      <c r="G95" s="3"/>
      <c r="H95" s="10"/>
      <c r="I95" s="3"/>
      <c r="J95" s="3"/>
      <c r="K95" s="3"/>
      <c r="L95" s="3"/>
    </row>
    <row r="96" spans="2:14" x14ac:dyDescent="0.25">
      <c r="B96" s="3"/>
      <c r="C96" s="3"/>
      <c r="D96" s="3"/>
      <c r="E96" s="3"/>
      <c r="F96" s="3"/>
      <c r="G96" s="3"/>
      <c r="H96" s="10"/>
      <c r="I96" s="3"/>
      <c r="J96" s="3"/>
      <c r="K96" s="3"/>
      <c r="L96" s="3"/>
    </row>
    <row r="97" spans="2:14" x14ac:dyDescent="0.25">
      <c r="B97" s="3"/>
      <c r="C97" s="3"/>
      <c r="D97" s="3"/>
      <c r="E97" s="3"/>
      <c r="F97" s="3"/>
      <c r="G97" s="3"/>
      <c r="H97" s="10"/>
      <c r="I97" s="3"/>
      <c r="J97" s="3"/>
      <c r="K97" s="3"/>
      <c r="L97" s="3"/>
      <c r="M97" s="3"/>
      <c r="N97" s="3"/>
    </row>
    <row r="98" spans="2:14" x14ac:dyDescent="0.25">
      <c r="B98" s="3"/>
      <c r="C98" s="3"/>
      <c r="D98" s="3"/>
      <c r="E98" s="3"/>
      <c r="F98" s="3"/>
      <c r="G98" s="3"/>
      <c r="H98" s="10"/>
      <c r="I98" s="3"/>
      <c r="J98" s="3"/>
      <c r="K98" s="3"/>
      <c r="L98" s="3"/>
    </row>
    <row r="99" spans="2:14" x14ac:dyDescent="0.25">
      <c r="B99" s="3"/>
      <c r="C99" s="3"/>
      <c r="D99" s="3"/>
      <c r="E99" s="3"/>
      <c r="F99" s="3"/>
      <c r="G99" s="3"/>
      <c r="H99" s="10"/>
      <c r="I99" s="3"/>
      <c r="J99" s="3"/>
      <c r="K99" s="3"/>
      <c r="L99" s="3"/>
    </row>
    <row r="100" spans="2:14" x14ac:dyDescent="0.25">
      <c r="B100" s="3"/>
      <c r="C100" s="3"/>
      <c r="D100" s="3"/>
      <c r="E100" s="3"/>
      <c r="F100" s="3"/>
      <c r="G100" s="3"/>
      <c r="H100" s="10"/>
      <c r="I100" s="3"/>
      <c r="J100" s="3"/>
      <c r="K100" s="3"/>
      <c r="L100" s="3"/>
      <c r="M100" s="3"/>
      <c r="N100" s="3"/>
    </row>
    <row r="101" spans="2:14" x14ac:dyDescent="0.25">
      <c r="B101" s="3"/>
      <c r="C101" s="3"/>
      <c r="D101" s="3"/>
      <c r="E101" s="3"/>
      <c r="F101" s="3"/>
      <c r="G101" s="3"/>
      <c r="H101" s="10"/>
      <c r="I101" s="3"/>
      <c r="J101" s="3"/>
      <c r="K101" s="3"/>
      <c r="L101" s="3"/>
    </row>
    <row r="102" spans="2:14" x14ac:dyDescent="0.25">
      <c r="B102" s="3"/>
      <c r="C102" s="3"/>
      <c r="D102" s="3"/>
      <c r="E102" s="3"/>
      <c r="F102" s="3"/>
      <c r="G102" s="3"/>
      <c r="H102" s="10"/>
      <c r="I102" s="3"/>
      <c r="J102" s="3"/>
      <c r="K102" s="3"/>
      <c r="L102" s="3"/>
    </row>
    <row r="103" spans="2:14" x14ac:dyDescent="0.25">
      <c r="B103" s="3"/>
      <c r="C103" s="3"/>
      <c r="D103" s="3"/>
      <c r="E103" s="3"/>
      <c r="F103" s="3"/>
      <c r="G103" s="3"/>
      <c r="H103" s="10"/>
      <c r="I103" s="3"/>
      <c r="J103" s="3"/>
      <c r="K103" s="3"/>
      <c r="L103" s="3"/>
      <c r="M103" s="3"/>
      <c r="N103" s="3"/>
    </row>
    <row r="104" spans="2:14" x14ac:dyDescent="0.25">
      <c r="B104" s="3"/>
      <c r="C104" s="3"/>
      <c r="D104" s="3"/>
      <c r="E104" s="3"/>
      <c r="F104" s="3"/>
      <c r="G104" s="3"/>
      <c r="H104" s="10"/>
      <c r="I104" s="3"/>
      <c r="J104" s="3"/>
      <c r="K104" s="3"/>
      <c r="L104" s="3"/>
    </row>
    <row r="105" spans="2:14" x14ac:dyDescent="0.25">
      <c r="B105" s="3"/>
      <c r="C105" s="3"/>
      <c r="D105" s="3"/>
      <c r="E105" s="3"/>
      <c r="F105" s="3"/>
      <c r="G105" s="3"/>
      <c r="H105" s="10"/>
      <c r="I105" s="3"/>
      <c r="J105" s="3"/>
      <c r="K105" s="3"/>
      <c r="L105" s="3"/>
    </row>
    <row r="106" spans="2:14" x14ac:dyDescent="0.25">
      <c r="B106" s="3"/>
      <c r="C106" s="3"/>
      <c r="D106" s="3"/>
      <c r="E106" s="3"/>
      <c r="F106" s="3"/>
      <c r="G106" s="3"/>
      <c r="H106" s="10"/>
      <c r="I106" s="3"/>
      <c r="J106" s="3"/>
      <c r="K106" s="3"/>
      <c r="L106" s="3"/>
      <c r="M106" s="3"/>
      <c r="N106" s="3"/>
    </row>
    <row r="107" spans="2:14" x14ac:dyDescent="0.25">
      <c r="B107" s="3"/>
      <c r="C107" s="3"/>
      <c r="D107" s="3"/>
      <c r="E107" s="3"/>
      <c r="F107" s="3"/>
      <c r="G107" s="3"/>
      <c r="H107" s="10"/>
      <c r="I107" s="3"/>
      <c r="J107" s="3"/>
      <c r="K107" s="3"/>
      <c r="L107" s="3"/>
    </row>
    <row r="108" spans="2:14" x14ac:dyDescent="0.25">
      <c r="B108" s="3"/>
      <c r="C108" s="3"/>
      <c r="D108" s="3"/>
      <c r="E108" s="3"/>
      <c r="F108" s="3"/>
      <c r="G108" s="3"/>
      <c r="H108" s="10"/>
      <c r="I108" s="3"/>
      <c r="J108" s="3"/>
      <c r="K108" s="3"/>
      <c r="L108" s="3"/>
    </row>
    <row r="109" spans="2:14" x14ac:dyDescent="0.25">
      <c r="B109" s="3"/>
      <c r="C109" s="3"/>
      <c r="D109" s="3"/>
      <c r="E109" s="3"/>
      <c r="F109" s="3"/>
      <c r="G109" s="3"/>
      <c r="H109" s="10"/>
      <c r="I109" s="3"/>
      <c r="J109" s="3"/>
      <c r="K109" s="3"/>
      <c r="L109" s="3"/>
      <c r="M109" s="3"/>
      <c r="N109" s="3"/>
    </row>
    <row r="110" spans="2:14" x14ac:dyDescent="0.25">
      <c r="B110" s="3"/>
      <c r="C110" s="3"/>
      <c r="D110" s="3"/>
      <c r="E110" s="3"/>
      <c r="F110" s="3"/>
      <c r="G110" s="3"/>
      <c r="H110" s="10"/>
      <c r="I110" s="3"/>
      <c r="J110" s="3"/>
      <c r="K110" s="3"/>
      <c r="L110" s="3"/>
    </row>
    <row r="111" spans="2:14" x14ac:dyDescent="0.25">
      <c r="B111" s="3"/>
      <c r="C111" s="3"/>
      <c r="D111" s="3"/>
      <c r="E111" s="3"/>
      <c r="F111" s="3"/>
      <c r="G111" s="3"/>
      <c r="H111" s="10"/>
      <c r="I111" s="3"/>
      <c r="J111" s="3"/>
      <c r="K111" s="3"/>
      <c r="L111" s="3"/>
    </row>
    <row r="112" spans="2:14" x14ac:dyDescent="0.25">
      <c r="B112" s="3"/>
      <c r="C112" s="3"/>
      <c r="D112" s="3"/>
      <c r="E112" s="3"/>
      <c r="F112" s="3"/>
      <c r="G112" s="3"/>
      <c r="H112" s="10"/>
      <c r="I112" s="3"/>
      <c r="J112" s="3"/>
      <c r="K112" s="3"/>
      <c r="L112" s="3"/>
      <c r="M112" s="3"/>
      <c r="N112" s="3"/>
    </row>
    <row r="113" spans="2:14" x14ac:dyDescent="0.25">
      <c r="B113" s="3"/>
      <c r="C113" s="3"/>
      <c r="D113" s="3"/>
      <c r="E113" s="3"/>
      <c r="F113" s="3"/>
      <c r="G113" s="3"/>
      <c r="H113" s="10"/>
      <c r="I113" s="3"/>
      <c r="J113" s="3"/>
      <c r="K113" s="3"/>
      <c r="L113" s="3"/>
    </row>
    <row r="114" spans="2:14" x14ac:dyDescent="0.25">
      <c r="B114" s="3"/>
      <c r="C114" s="3"/>
      <c r="D114" s="3"/>
      <c r="E114" s="3"/>
      <c r="F114" s="3"/>
      <c r="G114" s="3"/>
      <c r="H114" s="10"/>
      <c r="I114" s="3"/>
      <c r="J114" s="3"/>
      <c r="K114" s="3"/>
      <c r="L114" s="3"/>
    </row>
    <row r="115" spans="2:14" x14ac:dyDescent="0.25">
      <c r="B115" s="3"/>
      <c r="C115" s="3"/>
      <c r="D115" s="3"/>
      <c r="E115" s="3"/>
      <c r="F115" s="3"/>
      <c r="G115" s="3"/>
      <c r="H115" s="10"/>
      <c r="I115" s="3"/>
      <c r="J115" s="3"/>
      <c r="K115" s="3"/>
      <c r="L115" s="3"/>
      <c r="M115" s="3"/>
      <c r="N115" s="3"/>
    </row>
    <row r="116" spans="2:14" x14ac:dyDescent="0.25">
      <c r="B116" s="3"/>
      <c r="C116" s="3"/>
      <c r="D116" s="3"/>
      <c r="E116" s="3"/>
      <c r="F116" s="3"/>
      <c r="G116" s="3"/>
      <c r="H116" s="10"/>
      <c r="I116" s="3"/>
      <c r="J116" s="3"/>
      <c r="K116" s="3"/>
      <c r="L116" s="3"/>
    </row>
    <row r="117" spans="2:14" x14ac:dyDescent="0.25">
      <c r="B117" s="3"/>
      <c r="C117" s="3"/>
      <c r="D117" s="3"/>
      <c r="E117" s="3"/>
      <c r="F117" s="3"/>
      <c r="G117" s="3"/>
      <c r="H117" s="10"/>
      <c r="I117" s="3"/>
      <c r="J117" s="3"/>
      <c r="K117" s="3"/>
      <c r="L117" s="3"/>
    </row>
    <row r="118" spans="2:14" x14ac:dyDescent="0.25">
      <c r="B118" s="3"/>
      <c r="C118" s="3"/>
      <c r="D118" s="3"/>
      <c r="E118" s="3"/>
      <c r="F118" s="3"/>
      <c r="G118" s="3"/>
      <c r="H118" s="10"/>
      <c r="I118" s="3"/>
      <c r="J118" s="3"/>
      <c r="K118" s="3"/>
      <c r="L118" s="3"/>
      <c r="M118" s="3"/>
      <c r="N118" s="3"/>
    </row>
    <row r="119" spans="2:14" x14ac:dyDescent="0.25">
      <c r="B119" s="3"/>
      <c r="C119" s="3"/>
      <c r="D119" s="3"/>
      <c r="E119" s="3"/>
      <c r="F119" s="3"/>
      <c r="G119" s="3"/>
      <c r="H119" s="10"/>
      <c r="I119" s="3"/>
      <c r="J119" s="3"/>
      <c r="K119" s="3"/>
      <c r="L119" s="3"/>
    </row>
    <row r="120" spans="2:14" x14ac:dyDescent="0.25">
      <c r="B120" s="3"/>
      <c r="C120" s="3"/>
      <c r="D120" s="3"/>
      <c r="E120" s="3"/>
      <c r="F120" s="3"/>
      <c r="G120" s="3"/>
      <c r="H120" s="10"/>
      <c r="I120" s="3"/>
      <c r="J120" s="3"/>
      <c r="K120" s="3"/>
      <c r="L120" s="3"/>
    </row>
    <row r="121" spans="2:14" x14ac:dyDescent="0.25">
      <c r="B121" s="3"/>
      <c r="C121" s="3"/>
      <c r="D121" s="3"/>
      <c r="E121" s="3"/>
      <c r="F121" s="3"/>
      <c r="G121" s="3"/>
      <c r="H121" s="10"/>
      <c r="I121" s="3"/>
      <c r="J121" s="3"/>
      <c r="K121" s="3"/>
      <c r="L121" s="3"/>
      <c r="M121" s="3"/>
      <c r="N121" s="3"/>
    </row>
    <row r="122" spans="2:14" x14ac:dyDescent="0.25">
      <c r="B122" s="3"/>
      <c r="C122" s="3"/>
      <c r="D122" s="3"/>
      <c r="E122" s="3"/>
      <c r="F122" s="3"/>
      <c r="G122" s="3"/>
      <c r="H122" s="10"/>
      <c r="I122" s="3"/>
      <c r="J122" s="3"/>
      <c r="K122" s="3"/>
      <c r="L122" s="3"/>
    </row>
    <row r="123" spans="2:14" x14ac:dyDescent="0.25">
      <c r="B123" s="3"/>
      <c r="C123" s="3"/>
      <c r="D123" s="3"/>
      <c r="E123" s="3"/>
      <c r="F123" s="3"/>
      <c r="G123" s="3"/>
      <c r="H123" s="10"/>
      <c r="I123" s="3"/>
      <c r="J123" s="3"/>
      <c r="K123" s="3"/>
      <c r="L123" s="3"/>
    </row>
    <row r="124" spans="2:14" x14ac:dyDescent="0.25">
      <c r="B124" s="3"/>
      <c r="C124" s="3"/>
      <c r="D124" s="3"/>
      <c r="E124" s="3"/>
      <c r="F124" s="3"/>
      <c r="G124" s="3"/>
      <c r="H124" s="10"/>
      <c r="I124" s="3"/>
      <c r="J124" s="3"/>
      <c r="K124" s="3"/>
      <c r="L124" s="3"/>
      <c r="M124" s="3"/>
      <c r="N124" s="3"/>
    </row>
    <row r="125" spans="2:14" x14ac:dyDescent="0.25">
      <c r="B125" s="3"/>
      <c r="C125" s="3"/>
      <c r="D125" s="3"/>
      <c r="E125" s="3"/>
      <c r="F125" s="3"/>
      <c r="G125" s="3"/>
      <c r="H125" s="10"/>
      <c r="I125" s="3"/>
      <c r="J125" s="3"/>
      <c r="K125" s="3"/>
      <c r="L125" s="3"/>
    </row>
    <row r="126" spans="2:14" x14ac:dyDescent="0.25">
      <c r="B126" s="3"/>
      <c r="C126" s="3"/>
      <c r="D126" s="3"/>
      <c r="E126" s="3"/>
      <c r="F126" s="3"/>
      <c r="G126" s="3"/>
      <c r="H126" s="10"/>
      <c r="I126" s="3"/>
      <c r="J126" s="3"/>
      <c r="K126" s="3"/>
      <c r="L126" s="3"/>
    </row>
    <row r="127" spans="2:14" x14ac:dyDescent="0.25">
      <c r="B127" s="3"/>
      <c r="C127" s="3"/>
      <c r="D127" s="3"/>
      <c r="E127" s="3"/>
      <c r="F127" s="3"/>
      <c r="G127" s="3"/>
      <c r="H127" s="10"/>
      <c r="I127" s="3"/>
      <c r="J127" s="3"/>
      <c r="K127" s="3"/>
      <c r="L127" s="3"/>
      <c r="M127" s="3"/>
      <c r="N127" s="3"/>
    </row>
    <row r="128" spans="2:14" x14ac:dyDescent="0.25">
      <c r="B128" s="3"/>
      <c r="C128" s="3"/>
      <c r="D128" s="3"/>
      <c r="E128" s="3"/>
      <c r="F128" s="3"/>
      <c r="G128" s="3"/>
      <c r="H128" s="10"/>
      <c r="I128" s="3"/>
      <c r="J128" s="3"/>
      <c r="K128" s="3"/>
      <c r="L128" s="3"/>
    </row>
    <row r="129" spans="2:14" x14ac:dyDescent="0.25">
      <c r="B129" s="3"/>
      <c r="C129" s="3"/>
      <c r="D129" s="3"/>
      <c r="E129" s="3"/>
      <c r="F129" s="3"/>
      <c r="G129" s="3"/>
      <c r="H129" s="10"/>
      <c r="I129" s="3"/>
      <c r="J129" s="3"/>
      <c r="K129" s="3"/>
      <c r="L129" s="3"/>
    </row>
    <row r="130" spans="2:14" x14ac:dyDescent="0.25">
      <c r="B130" s="3"/>
      <c r="C130" s="3"/>
      <c r="D130" s="3"/>
      <c r="E130" s="3"/>
      <c r="F130" s="3"/>
      <c r="G130" s="3"/>
      <c r="H130" s="10"/>
      <c r="I130" s="3"/>
      <c r="J130" s="3"/>
      <c r="K130" s="3"/>
      <c r="L130" s="3"/>
      <c r="M130" s="3"/>
      <c r="N130" s="3"/>
    </row>
    <row r="131" spans="2:14" x14ac:dyDescent="0.25">
      <c r="B131" s="3"/>
      <c r="C131" s="3"/>
      <c r="D131" s="3"/>
      <c r="E131" s="3"/>
      <c r="F131" s="3"/>
      <c r="G131" s="3"/>
      <c r="H131" s="10"/>
      <c r="I131" s="3"/>
      <c r="J131" s="3"/>
      <c r="K131" s="3"/>
      <c r="L131" s="3"/>
    </row>
    <row r="132" spans="2:14" x14ac:dyDescent="0.25">
      <c r="B132" s="3"/>
      <c r="C132" s="3"/>
      <c r="D132" s="3"/>
      <c r="E132" s="3"/>
      <c r="F132" s="3"/>
      <c r="G132" s="3"/>
      <c r="H132" s="10"/>
      <c r="I132" s="3"/>
      <c r="J132" s="3"/>
      <c r="K132" s="3"/>
      <c r="L132" s="3"/>
    </row>
    <row r="133" spans="2:14" x14ac:dyDescent="0.25">
      <c r="B133" s="3"/>
      <c r="C133" s="3"/>
      <c r="D133" s="3"/>
      <c r="E133" s="3"/>
      <c r="F133" s="3"/>
      <c r="G133" s="3"/>
      <c r="H133" s="10"/>
      <c r="I133" s="3"/>
      <c r="J133" s="3"/>
      <c r="K133" s="3"/>
      <c r="L133" s="3"/>
      <c r="M133" s="3"/>
      <c r="N133" s="3"/>
    </row>
    <row r="134" spans="2:14" x14ac:dyDescent="0.25">
      <c r="B134" s="3"/>
      <c r="C134" s="3"/>
      <c r="D134" s="3"/>
      <c r="E134" s="3"/>
      <c r="F134" s="3"/>
      <c r="G134" s="3"/>
      <c r="H134" s="10"/>
      <c r="I134" s="3"/>
      <c r="J134" s="3"/>
      <c r="K134" s="3"/>
      <c r="L134" s="3"/>
    </row>
    <row r="135" spans="2:14" x14ac:dyDescent="0.25">
      <c r="B135" s="3"/>
      <c r="C135" s="3"/>
      <c r="D135" s="3"/>
      <c r="E135" s="3"/>
      <c r="F135" s="3"/>
      <c r="G135" s="3"/>
      <c r="H135" s="10"/>
      <c r="I135" s="3"/>
      <c r="J135" s="3"/>
      <c r="K135" s="3"/>
      <c r="L135" s="3"/>
    </row>
    <row r="136" spans="2:14" x14ac:dyDescent="0.25">
      <c r="B136" s="3"/>
      <c r="C136" s="3"/>
      <c r="D136" s="3"/>
      <c r="E136" s="3"/>
      <c r="F136" s="3"/>
      <c r="G136" s="3"/>
      <c r="H136" s="10"/>
      <c r="I136" s="3"/>
      <c r="J136" s="3"/>
      <c r="K136" s="3"/>
      <c r="L136" s="3"/>
      <c r="M136" s="3"/>
      <c r="N136" s="3"/>
    </row>
    <row r="137" spans="2:14" x14ac:dyDescent="0.25">
      <c r="B137" s="3"/>
      <c r="C137" s="3"/>
      <c r="D137" s="3"/>
      <c r="E137" s="3"/>
      <c r="F137" s="3"/>
      <c r="G137" s="3"/>
      <c r="H137" s="10"/>
      <c r="I137" s="3"/>
      <c r="J137" s="3"/>
      <c r="K137" s="3"/>
      <c r="L137" s="3"/>
    </row>
    <row r="138" spans="2:14" x14ac:dyDescent="0.25">
      <c r="B138" s="3"/>
      <c r="C138" s="3"/>
      <c r="D138" s="3"/>
      <c r="E138" s="3"/>
      <c r="F138" s="3"/>
      <c r="G138" s="3"/>
      <c r="H138" s="10"/>
      <c r="I138" s="3"/>
      <c r="J138" s="3"/>
      <c r="K138" s="3"/>
      <c r="L138" s="3"/>
    </row>
    <row r="139" spans="2:14" x14ac:dyDescent="0.25">
      <c r="B139" s="3"/>
      <c r="C139" s="3"/>
      <c r="D139" s="3"/>
      <c r="E139" s="3"/>
      <c r="F139" s="3"/>
      <c r="G139" s="3"/>
      <c r="H139" s="10"/>
      <c r="I139" s="3"/>
      <c r="J139" s="3"/>
      <c r="K139" s="3"/>
      <c r="L139" s="3"/>
      <c r="M139" s="3"/>
      <c r="N139" s="3"/>
    </row>
    <row r="140" spans="2:14" x14ac:dyDescent="0.25">
      <c r="B140" s="3"/>
      <c r="C140" s="3"/>
      <c r="D140" s="3"/>
      <c r="E140" s="3"/>
      <c r="F140" s="3"/>
      <c r="G140" s="3"/>
      <c r="H140" s="10"/>
      <c r="I140" s="3"/>
      <c r="J140" s="3"/>
      <c r="K140" s="3"/>
      <c r="L140" s="3"/>
    </row>
    <row r="141" spans="2:14" x14ac:dyDescent="0.25">
      <c r="B141" s="3"/>
      <c r="C141" s="3"/>
      <c r="D141" s="3"/>
      <c r="E141" s="3"/>
      <c r="F141" s="3"/>
      <c r="G141" s="3"/>
      <c r="H141" s="10"/>
      <c r="I141" s="3"/>
      <c r="J141" s="3"/>
      <c r="K141" s="3"/>
      <c r="L141" s="3"/>
    </row>
    <row r="142" spans="2:14" x14ac:dyDescent="0.25">
      <c r="B142" s="3"/>
      <c r="C142" s="3"/>
      <c r="D142" s="3"/>
      <c r="E142" s="3"/>
      <c r="F142" s="3"/>
      <c r="G142" s="3"/>
      <c r="H142" s="10"/>
      <c r="I142" s="3"/>
      <c r="J142" s="3"/>
      <c r="K142" s="3"/>
      <c r="L142" s="3"/>
      <c r="M142" s="3"/>
      <c r="N142" s="3"/>
    </row>
    <row r="143" spans="2:14" x14ac:dyDescent="0.25">
      <c r="B143" s="3"/>
      <c r="C143" s="3"/>
      <c r="D143" s="3"/>
      <c r="E143" s="3"/>
      <c r="F143" s="3"/>
      <c r="G143" s="3"/>
      <c r="H143" s="10"/>
      <c r="I143" s="3"/>
      <c r="J143" s="3"/>
      <c r="K143" s="3"/>
      <c r="L143" s="3"/>
    </row>
    <row r="144" spans="2:14" x14ac:dyDescent="0.25">
      <c r="B144" s="3"/>
      <c r="C144" s="3"/>
      <c r="D144" s="3"/>
      <c r="E144" s="3"/>
      <c r="F144" s="3"/>
      <c r="G144" s="3"/>
      <c r="H144" s="10"/>
      <c r="I144" s="3"/>
      <c r="J144" s="3"/>
      <c r="K144" s="3"/>
      <c r="L144" s="3"/>
    </row>
    <row r="145" spans="2:14" x14ac:dyDescent="0.25">
      <c r="B145" s="3"/>
      <c r="C145" s="3"/>
      <c r="D145" s="3"/>
      <c r="E145" s="3"/>
      <c r="F145" s="3"/>
      <c r="G145" s="3"/>
      <c r="H145" s="10"/>
      <c r="I145" s="3"/>
      <c r="J145" s="3"/>
      <c r="K145" s="3"/>
      <c r="L145" s="3"/>
      <c r="M145" s="3"/>
      <c r="N145" s="3"/>
    </row>
    <row r="146" spans="2:14" x14ac:dyDescent="0.25">
      <c r="B146" s="3"/>
      <c r="C146" s="3"/>
      <c r="D146" s="3"/>
      <c r="E146" s="3"/>
      <c r="F146" s="3"/>
      <c r="G146" s="3"/>
      <c r="H146" s="10"/>
      <c r="I146" s="3"/>
      <c r="J146" s="3"/>
      <c r="K146" s="3"/>
      <c r="L146" s="3"/>
    </row>
    <row r="147" spans="2:14" x14ac:dyDescent="0.25">
      <c r="B147" s="3"/>
      <c r="C147" s="3"/>
      <c r="D147" s="3"/>
      <c r="E147" s="3"/>
      <c r="F147" s="3"/>
      <c r="G147" s="3"/>
      <c r="H147" s="10"/>
      <c r="I147" s="3"/>
      <c r="J147" s="3"/>
      <c r="K147" s="3"/>
      <c r="L147" s="3"/>
    </row>
    <row r="148" spans="2:14" x14ac:dyDescent="0.25">
      <c r="B148" s="3"/>
      <c r="C148" s="3"/>
      <c r="D148" s="3"/>
      <c r="E148" s="3"/>
      <c r="F148" s="3"/>
      <c r="G148" s="3"/>
      <c r="H148" s="10"/>
      <c r="I148" s="3"/>
      <c r="J148" s="3"/>
      <c r="K148" s="3"/>
      <c r="L148" s="3"/>
      <c r="M148" s="3"/>
      <c r="N148" s="3"/>
    </row>
    <row r="149" spans="2:14" x14ac:dyDescent="0.25">
      <c r="B149" s="3"/>
      <c r="C149" s="3"/>
      <c r="D149" s="3"/>
      <c r="E149" s="3"/>
      <c r="F149" s="3"/>
      <c r="G149" s="3"/>
      <c r="H149" s="10"/>
      <c r="I149" s="3"/>
      <c r="J149" s="3"/>
      <c r="K149" s="3"/>
      <c r="L149" s="3"/>
    </row>
    <row r="150" spans="2:14" x14ac:dyDescent="0.25">
      <c r="B150" s="3"/>
      <c r="C150" s="3"/>
      <c r="D150" s="3"/>
      <c r="E150" s="3"/>
      <c r="F150" s="3"/>
      <c r="G150" s="3"/>
      <c r="H150" s="10"/>
      <c r="I150" s="3"/>
      <c r="J150" s="3"/>
      <c r="K150" s="3"/>
      <c r="L150" s="3"/>
    </row>
    <row r="151" spans="2:14" x14ac:dyDescent="0.25">
      <c r="B151" s="3"/>
      <c r="C151" s="3"/>
      <c r="D151" s="3"/>
      <c r="E151" s="3"/>
      <c r="F151" s="3"/>
      <c r="G151" s="3"/>
      <c r="H151" s="10"/>
      <c r="I151" s="3"/>
      <c r="J151" s="3"/>
      <c r="K151" s="3"/>
      <c r="L151" s="3"/>
      <c r="M151" s="3"/>
      <c r="N151" s="3"/>
    </row>
    <row r="152" spans="2:14" x14ac:dyDescent="0.25">
      <c r="B152" s="3"/>
      <c r="C152" s="3"/>
      <c r="D152" s="3"/>
      <c r="E152" s="3"/>
      <c r="F152" s="3"/>
      <c r="G152" s="3"/>
      <c r="H152" s="10"/>
      <c r="I152" s="3"/>
      <c r="J152" s="3"/>
      <c r="K152" s="3"/>
      <c r="L152" s="3"/>
    </row>
    <row r="153" spans="2:14" x14ac:dyDescent="0.25">
      <c r="B153" s="3"/>
      <c r="C153" s="3"/>
      <c r="D153" s="3"/>
      <c r="E153" s="3"/>
      <c r="F153" s="3"/>
      <c r="G153" s="3"/>
      <c r="H153" s="10"/>
      <c r="I153" s="3"/>
      <c r="J153" s="3"/>
      <c r="K153" s="3"/>
      <c r="L153" s="3"/>
    </row>
    <row r="154" spans="2:14" x14ac:dyDescent="0.25">
      <c r="B154" s="3"/>
      <c r="C154" s="3"/>
      <c r="D154" s="3"/>
      <c r="E154" s="3"/>
      <c r="F154" s="3"/>
      <c r="G154" s="3"/>
      <c r="H154" s="10"/>
      <c r="I154" s="3"/>
      <c r="J154" s="3"/>
      <c r="K154" s="3"/>
      <c r="L154" s="3"/>
      <c r="M154" s="3"/>
      <c r="N154" s="3"/>
    </row>
    <row r="155" spans="2:14" x14ac:dyDescent="0.25">
      <c r="B155" s="3"/>
      <c r="C155" s="3"/>
      <c r="D155" s="3"/>
      <c r="E155" s="3"/>
      <c r="F155" s="3"/>
      <c r="G155" s="3"/>
      <c r="H155" s="10"/>
      <c r="I155" s="3"/>
      <c r="J155" s="3"/>
      <c r="K155" s="3"/>
      <c r="L155" s="3"/>
    </row>
    <row r="156" spans="2:14" x14ac:dyDescent="0.25">
      <c r="B156" s="3"/>
      <c r="C156" s="3"/>
      <c r="D156" s="3"/>
      <c r="E156" s="3"/>
      <c r="F156" s="3"/>
      <c r="G156" s="3"/>
      <c r="H156" s="10"/>
      <c r="I156" s="3"/>
      <c r="J156" s="3"/>
      <c r="K156" s="3"/>
      <c r="L156" s="3"/>
    </row>
    <row r="157" spans="2:14" x14ac:dyDescent="0.25">
      <c r="B157" s="3"/>
      <c r="C157" s="3"/>
      <c r="D157" s="3"/>
      <c r="E157" s="3"/>
      <c r="F157" s="3"/>
      <c r="G157" s="3"/>
      <c r="H157" s="10"/>
      <c r="I157" s="3"/>
      <c r="J157" s="3"/>
      <c r="K157" s="3"/>
      <c r="L157" s="3"/>
      <c r="M157" s="3"/>
      <c r="N157" s="3"/>
    </row>
    <row r="158" spans="2:14" x14ac:dyDescent="0.25">
      <c r="B158" s="3"/>
      <c r="C158" s="3"/>
      <c r="D158" s="3"/>
      <c r="E158" s="3"/>
      <c r="F158" s="3"/>
      <c r="G158" s="3"/>
      <c r="H158" s="10"/>
      <c r="I158" s="3"/>
      <c r="J158" s="3"/>
      <c r="K158" s="3"/>
      <c r="L158" s="3"/>
    </row>
    <row r="159" spans="2:14" x14ac:dyDescent="0.25">
      <c r="B159" s="3"/>
      <c r="C159" s="3"/>
      <c r="D159" s="3"/>
      <c r="E159" s="3"/>
      <c r="F159" s="3"/>
      <c r="G159" s="3"/>
      <c r="H159" s="10"/>
      <c r="I159" s="3"/>
      <c r="J159" s="3"/>
      <c r="K159" s="3"/>
      <c r="L159" s="3"/>
    </row>
    <row r="160" spans="2:14" x14ac:dyDescent="0.25">
      <c r="B160" s="3"/>
      <c r="C160" s="3"/>
      <c r="D160" s="3"/>
      <c r="E160" s="3"/>
      <c r="F160" s="3"/>
      <c r="G160" s="3"/>
      <c r="H160" s="10"/>
      <c r="I160" s="3"/>
      <c r="J160" s="3"/>
      <c r="K160" s="3"/>
      <c r="L160" s="3"/>
      <c r="M160" s="3"/>
      <c r="N160" s="3"/>
    </row>
    <row r="161" spans="2:14" x14ac:dyDescent="0.25">
      <c r="B161" s="3"/>
      <c r="C161" s="3"/>
      <c r="D161" s="3"/>
      <c r="E161" s="3"/>
      <c r="F161" s="3"/>
      <c r="G161" s="3"/>
      <c r="H161" s="10"/>
      <c r="I161" s="3"/>
      <c r="J161" s="3"/>
      <c r="K161" s="3"/>
      <c r="L161" s="3"/>
    </row>
    <row r="162" spans="2:14" x14ac:dyDescent="0.25">
      <c r="B162" s="3"/>
      <c r="C162" s="3"/>
      <c r="D162" s="3"/>
      <c r="E162" s="3"/>
      <c r="F162" s="3"/>
      <c r="G162" s="3"/>
      <c r="H162" s="10"/>
      <c r="I162" s="3"/>
      <c r="J162" s="3"/>
      <c r="K162" s="3"/>
      <c r="L162" s="3"/>
    </row>
    <row r="163" spans="2:14" x14ac:dyDescent="0.25">
      <c r="B163" s="3"/>
      <c r="C163" s="3"/>
      <c r="D163" s="3"/>
      <c r="E163" s="3"/>
      <c r="F163" s="3"/>
      <c r="G163" s="3"/>
      <c r="H163" s="10"/>
      <c r="I163" s="3"/>
      <c r="J163" s="3"/>
      <c r="K163" s="3"/>
      <c r="L163" s="3"/>
      <c r="M163" s="3"/>
      <c r="N163" s="3"/>
    </row>
    <row r="164" spans="2:14" x14ac:dyDescent="0.25">
      <c r="B164" s="3"/>
      <c r="C164" s="3"/>
      <c r="D164" s="3"/>
      <c r="E164" s="3"/>
      <c r="F164" s="3"/>
      <c r="G164" s="3"/>
      <c r="H164" s="10"/>
      <c r="I164" s="3"/>
      <c r="J164" s="3"/>
      <c r="K164" s="3"/>
      <c r="L164" s="3"/>
    </row>
    <row r="165" spans="2:14" x14ac:dyDescent="0.25">
      <c r="B165" s="3"/>
      <c r="C165" s="3"/>
      <c r="D165" s="3"/>
      <c r="E165" s="3"/>
      <c r="F165" s="3"/>
      <c r="G165" s="3"/>
      <c r="H165" s="10"/>
      <c r="I165" s="3"/>
      <c r="J165" s="3"/>
      <c r="K165" s="3"/>
      <c r="L165" s="3"/>
    </row>
    <row r="166" spans="2:14" x14ac:dyDescent="0.25">
      <c r="B166" s="3"/>
      <c r="C166" s="3"/>
      <c r="D166" s="3"/>
      <c r="E166" s="3"/>
      <c r="F166" s="3"/>
      <c r="G166" s="3"/>
      <c r="H166" s="10"/>
      <c r="I166" s="3"/>
      <c r="J166" s="3"/>
      <c r="K166" s="3"/>
      <c r="L166" s="3"/>
      <c r="M166" s="3"/>
      <c r="N166" s="3"/>
    </row>
    <row r="167" spans="2:14" x14ac:dyDescent="0.25">
      <c r="B167" s="3"/>
      <c r="C167" s="3"/>
      <c r="D167" s="3"/>
      <c r="E167" s="3"/>
      <c r="F167" s="3"/>
      <c r="G167" s="3"/>
      <c r="H167" s="10"/>
      <c r="I167" s="3"/>
      <c r="J167" s="3"/>
      <c r="K167" s="3"/>
      <c r="L167" s="3"/>
    </row>
    <row r="168" spans="2:14" x14ac:dyDescent="0.25">
      <c r="B168" s="3"/>
      <c r="C168" s="3"/>
      <c r="D168" s="3"/>
      <c r="E168" s="3"/>
      <c r="F168" s="3"/>
      <c r="G168" s="3"/>
      <c r="H168" s="10"/>
      <c r="I168" s="3"/>
      <c r="J168" s="3"/>
      <c r="K168" s="3"/>
      <c r="L168" s="3"/>
    </row>
    <row r="169" spans="2:14" x14ac:dyDescent="0.25">
      <c r="B169" s="3"/>
      <c r="C169" s="3"/>
      <c r="D169" s="3"/>
      <c r="E169" s="3"/>
      <c r="F169" s="3"/>
      <c r="G169" s="3"/>
      <c r="H169" s="10"/>
      <c r="I169" s="3"/>
      <c r="J169" s="3"/>
      <c r="K169" s="3"/>
      <c r="L169" s="3"/>
      <c r="M169" s="3"/>
      <c r="N169" s="3"/>
    </row>
    <row r="170" spans="2:14" x14ac:dyDescent="0.25">
      <c r="B170" s="3"/>
      <c r="C170" s="3"/>
      <c r="D170" s="3"/>
      <c r="E170" s="3"/>
      <c r="F170" s="3"/>
      <c r="G170" s="3"/>
      <c r="H170" s="10"/>
      <c r="I170" s="3"/>
      <c r="J170" s="3"/>
      <c r="K170" s="3"/>
      <c r="L170" s="3"/>
    </row>
    <row r="171" spans="2:14" x14ac:dyDescent="0.25">
      <c r="B171" s="3"/>
      <c r="C171" s="3"/>
      <c r="D171" s="3"/>
      <c r="E171" s="3"/>
      <c r="F171" s="3"/>
      <c r="G171" s="3"/>
      <c r="H171" s="10"/>
      <c r="I171" s="3"/>
      <c r="J171" s="3"/>
      <c r="K171" s="3"/>
      <c r="L171" s="3"/>
    </row>
    <row r="172" spans="2:14" x14ac:dyDescent="0.25">
      <c r="B172" s="3"/>
      <c r="C172" s="3"/>
      <c r="D172" s="3"/>
      <c r="E172" s="3"/>
      <c r="F172" s="3"/>
      <c r="G172" s="3"/>
      <c r="H172" s="10"/>
      <c r="I172" s="3"/>
      <c r="J172" s="3"/>
      <c r="K172" s="3"/>
      <c r="L172" s="3"/>
      <c r="M172" s="3"/>
      <c r="N172" s="3"/>
    </row>
    <row r="173" spans="2:14" x14ac:dyDescent="0.25">
      <c r="B173" s="3"/>
      <c r="C173" s="3"/>
      <c r="D173" s="3"/>
      <c r="E173" s="3"/>
      <c r="F173" s="3"/>
      <c r="G173" s="3"/>
      <c r="H173" s="10"/>
      <c r="I173" s="3"/>
      <c r="J173" s="3"/>
      <c r="K173" s="3"/>
      <c r="L173" s="3"/>
    </row>
    <row r="174" spans="2:14" x14ac:dyDescent="0.25">
      <c r="B174" s="3"/>
      <c r="C174" s="3"/>
      <c r="D174" s="3"/>
      <c r="E174" s="3"/>
      <c r="F174" s="3"/>
      <c r="G174" s="3"/>
      <c r="H174" s="10"/>
      <c r="I174" s="3"/>
      <c r="J174" s="3"/>
      <c r="K174" s="3"/>
      <c r="L174" s="3"/>
    </row>
    <row r="175" spans="2:14" x14ac:dyDescent="0.25">
      <c r="B175" s="3"/>
      <c r="C175" s="3"/>
      <c r="D175" s="3"/>
      <c r="E175" s="3"/>
      <c r="F175" s="3"/>
      <c r="G175" s="3"/>
      <c r="H175" s="10"/>
      <c r="I175" s="3"/>
      <c r="J175" s="3"/>
      <c r="K175" s="3"/>
      <c r="L175" s="3"/>
      <c r="M175" s="3"/>
      <c r="N175" s="3"/>
    </row>
    <row r="176" spans="2:14" x14ac:dyDescent="0.25">
      <c r="B176" s="3"/>
      <c r="C176" s="3"/>
      <c r="D176" s="3"/>
      <c r="E176" s="3"/>
      <c r="F176" s="3"/>
      <c r="G176" s="3"/>
      <c r="H176" s="10"/>
      <c r="I176" s="3"/>
      <c r="J176" s="3"/>
      <c r="K176" s="3"/>
      <c r="L176" s="3"/>
    </row>
    <row r="177" spans="2:14" x14ac:dyDescent="0.25">
      <c r="B177" s="3"/>
      <c r="C177" s="3"/>
      <c r="D177" s="3"/>
      <c r="E177" s="3"/>
      <c r="F177" s="3"/>
      <c r="G177" s="3"/>
      <c r="H177" s="10"/>
      <c r="I177" s="3"/>
      <c r="J177" s="3"/>
      <c r="K177" s="3"/>
      <c r="L177" s="3"/>
    </row>
    <row r="178" spans="2:14" x14ac:dyDescent="0.25">
      <c r="B178" s="3"/>
      <c r="C178" s="3"/>
      <c r="D178" s="3"/>
      <c r="E178" s="3"/>
      <c r="F178" s="3"/>
      <c r="G178" s="3"/>
      <c r="H178" s="10"/>
      <c r="I178" s="3"/>
      <c r="J178" s="3"/>
      <c r="K178" s="3"/>
      <c r="L178" s="3"/>
      <c r="M178" s="3"/>
      <c r="N178" s="3"/>
    </row>
    <row r="179" spans="2:14" x14ac:dyDescent="0.25">
      <c r="B179" s="3"/>
      <c r="C179" s="3"/>
      <c r="D179" s="3"/>
      <c r="E179" s="3"/>
      <c r="F179" s="3"/>
      <c r="G179" s="3"/>
      <c r="H179" s="10"/>
      <c r="I179" s="3"/>
      <c r="J179" s="3"/>
      <c r="K179" s="3"/>
      <c r="L179" s="3"/>
    </row>
    <row r="180" spans="2:14" x14ac:dyDescent="0.25">
      <c r="B180" s="3"/>
      <c r="C180" s="3"/>
      <c r="D180" s="3"/>
      <c r="E180" s="3"/>
      <c r="F180" s="3"/>
      <c r="G180" s="3"/>
      <c r="H180" s="10"/>
      <c r="I180" s="3"/>
      <c r="J180" s="3"/>
      <c r="K180" s="3"/>
      <c r="L180" s="3"/>
    </row>
    <row r="181" spans="2:14" x14ac:dyDescent="0.25">
      <c r="B181" s="3"/>
      <c r="C181" s="3"/>
      <c r="D181" s="3"/>
      <c r="E181" s="3"/>
      <c r="F181" s="3"/>
      <c r="G181" s="3"/>
      <c r="H181" s="10"/>
      <c r="I181" s="3"/>
      <c r="J181" s="3"/>
      <c r="K181" s="3"/>
      <c r="L181" s="3"/>
      <c r="M181" s="3"/>
      <c r="N181" s="3"/>
    </row>
    <row r="182" spans="2:14" x14ac:dyDescent="0.25">
      <c r="B182" s="3"/>
      <c r="C182" s="3"/>
      <c r="D182" s="3"/>
      <c r="E182" s="3"/>
      <c r="F182" s="3"/>
      <c r="G182" s="3"/>
      <c r="H182" s="10"/>
      <c r="I182" s="3"/>
      <c r="J182" s="3"/>
      <c r="K182" s="3"/>
      <c r="L182" s="3"/>
    </row>
    <row r="183" spans="2:14" x14ac:dyDescent="0.25">
      <c r="B183" s="3"/>
      <c r="C183" s="3"/>
      <c r="D183" s="3"/>
      <c r="E183" s="3"/>
      <c r="F183" s="3"/>
      <c r="G183" s="3"/>
      <c r="H183" s="10"/>
      <c r="I183" s="3"/>
      <c r="J183" s="3"/>
      <c r="K183" s="3"/>
      <c r="L183" s="3"/>
    </row>
    <row r="184" spans="2:14" x14ac:dyDescent="0.25">
      <c r="B184" s="3"/>
      <c r="C184" s="3"/>
      <c r="D184" s="3"/>
      <c r="E184" s="3"/>
      <c r="F184" s="3"/>
      <c r="G184" s="3"/>
      <c r="H184" s="10"/>
      <c r="I184" s="3"/>
      <c r="J184" s="3"/>
      <c r="K184" s="3"/>
      <c r="L184" s="3"/>
      <c r="M184" s="3"/>
      <c r="N184" s="3"/>
    </row>
    <row r="185" spans="2:14" x14ac:dyDescent="0.25">
      <c r="B185" s="3"/>
      <c r="C185" s="3"/>
      <c r="D185" s="3"/>
      <c r="E185" s="3"/>
      <c r="F185" s="3"/>
      <c r="G185" s="3"/>
      <c r="H185" s="10"/>
      <c r="I185" s="3"/>
      <c r="J185" s="3"/>
      <c r="K185" s="3"/>
      <c r="L185" s="3"/>
    </row>
    <row r="186" spans="2:14" x14ac:dyDescent="0.25">
      <c r="B186" s="3"/>
      <c r="C186" s="3"/>
      <c r="D186" s="3"/>
      <c r="E186" s="3"/>
      <c r="F186" s="3"/>
      <c r="G186" s="3"/>
      <c r="H186" s="10"/>
      <c r="I186" s="3"/>
      <c r="J186" s="3"/>
      <c r="K186" s="3"/>
      <c r="L186" s="3"/>
    </row>
    <row r="187" spans="2:14" x14ac:dyDescent="0.25">
      <c r="B187" s="3"/>
      <c r="C187" s="3"/>
      <c r="D187" s="3"/>
      <c r="E187" s="3"/>
      <c r="F187" s="3"/>
      <c r="G187" s="3"/>
      <c r="H187" s="10"/>
      <c r="I187" s="3"/>
      <c r="J187" s="3"/>
      <c r="K187" s="3"/>
      <c r="L187" s="3"/>
      <c r="M187" s="3"/>
      <c r="N187" s="3"/>
    </row>
    <row r="188" spans="2:14" x14ac:dyDescent="0.25">
      <c r="B188" s="3"/>
      <c r="C188" s="3"/>
      <c r="D188" s="3"/>
      <c r="E188" s="3"/>
      <c r="F188" s="3"/>
      <c r="G188" s="3"/>
      <c r="H188" s="10"/>
      <c r="I188" s="3"/>
      <c r="J188" s="3"/>
      <c r="K188" s="3"/>
      <c r="L188" s="3"/>
    </row>
    <row r="189" spans="2:14" x14ac:dyDescent="0.25">
      <c r="B189" s="3"/>
      <c r="C189" s="3"/>
      <c r="D189" s="3"/>
      <c r="E189" s="3"/>
      <c r="F189" s="3"/>
      <c r="G189" s="3"/>
      <c r="H189" s="10"/>
      <c r="I189" s="3"/>
      <c r="J189" s="3"/>
      <c r="K189" s="3"/>
      <c r="L189" s="3"/>
    </row>
    <row r="190" spans="2:14" x14ac:dyDescent="0.25">
      <c r="B190" s="3"/>
      <c r="C190" s="3"/>
      <c r="D190" s="3"/>
      <c r="E190" s="3"/>
      <c r="F190" s="3"/>
      <c r="G190" s="3"/>
      <c r="H190" s="10"/>
      <c r="I190" s="3"/>
      <c r="J190" s="3"/>
      <c r="K190" s="3"/>
      <c r="L190" s="3"/>
      <c r="M190" s="3"/>
      <c r="N190" s="3"/>
    </row>
    <row r="191" spans="2:14" x14ac:dyDescent="0.25">
      <c r="B191" s="3"/>
      <c r="C191" s="3"/>
      <c r="D191" s="3"/>
      <c r="E191" s="3"/>
      <c r="F191" s="3"/>
      <c r="G191" s="3"/>
      <c r="H191" s="10"/>
      <c r="I191" s="3"/>
      <c r="J191" s="3"/>
      <c r="K191" s="3"/>
      <c r="L191" s="3"/>
    </row>
    <row r="192" spans="2:14" x14ac:dyDescent="0.25">
      <c r="B192" s="3"/>
      <c r="C192" s="3"/>
      <c r="D192" s="3"/>
      <c r="E192" s="3"/>
      <c r="F192" s="3"/>
      <c r="G192" s="3"/>
      <c r="H192" s="10"/>
      <c r="I192" s="3"/>
      <c r="J192" s="3"/>
      <c r="K192" s="3"/>
      <c r="L192" s="3"/>
    </row>
    <row r="193" spans="2:14" x14ac:dyDescent="0.25">
      <c r="B193" s="3"/>
      <c r="C193" s="3"/>
      <c r="D193" s="3"/>
      <c r="E193" s="3"/>
      <c r="F193" s="3"/>
      <c r="G193" s="3"/>
      <c r="H193" s="10"/>
      <c r="I193" s="3"/>
      <c r="J193" s="3"/>
      <c r="K193" s="3"/>
      <c r="L193" s="3"/>
      <c r="M193" s="3"/>
      <c r="N193" s="3"/>
    </row>
    <row r="194" spans="2:14" x14ac:dyDescent="0.25">
      <c r="B194" s="3"/>
      <c r="C194" s="3"/>
      <c r="D194" s="3"/>
      <c r="E194" s="3"/>
      <c r="F194" s="3"/>
      <c r="G194" s="3"/>
      <c r="H194" s="10"/>
      <c r="I194" s="3"/>
      <c r="J194" s="3"/>
      <c r="K194" s="3"/>
      <c r="L194" s="3"/>
    </row>
    <row r="195" spans="2:14" x14ac:dyDescent="0.25">
      <c r="B195" s="3"/>
      <c r="C195" s="3"/>
      <c r="D195" s="3"/>
      <c r="E195" s="3"/>
      <c r="F195" s="3"/>
      <c r="G195" s="3"/>
      <c r="H195" s="10"/>
      <c r="I195" s="3"/>
      <c r="J195" s="3"/>
      <c r="K195" s="3"/>
      <c r="L195" s="3"/>
    </row>
    <row r="196" spans="2:14" x14ac:dyDescent="0.25">
      <c r="B196" s="3"/>
      <c r="C196" s="3"/>
      <c r="D196" s="3"/>
      <c r="E196" s="3"/>
      <c r="F196" s="3"/>
      <c r="G196" s="3"/>
      <c r="H196" s="10"/>
      <c r="I196" s="3"/>
      <c r="J196" s="3"/>
      <c r="K196" s="3"/>
      <c r="L196" s="3"/>
      <c r="M196" s="3"/>
      <c r="N196" s="3"/>
    </row>
    <row r="197" spans="2:14" x14ac:dyDescent="0.25">
      <c r="B197" s="3"/>
      <c r="C197" s="3"/>
      <c r="D197" s="3"/>
      <c r="E197" s="3"/>
      <c r="F197" s="3"/>
      <c r="G197" s="3"/>
      <c r="H197" s="10"/>
      <c r="I197" s="3"/>
      <c r="J197" s="3"/>
      <c r="K197" s="3"/>
      <c r="L197" s="3"/>
    </row>
    <row r="198" spans="2:14" x14ac:dyDescent="0.25">
      <c r="B198" s="3"/>
      <c r="C198" s="3"/>
      <c r="D198" s="3"/>
      <c r="E198" s="3"/>
      <c r="F198" s="3"/>
      <c r="G198" s="3"/>
      <c r="H198" s="10"/>
      <c r="I198" s="3"/>
      <c r="J198" s="3"/>
      <c r="K198" s="3"/>
      <c r="L198" s="3"/>
    </row>
    <row r="199" spans="2:14" x14ac:dyDescent="0.25">
      <c r="B199" s="3"/>
      <c r="C199" s="3"/>
      <c r="D199" s="3"/>
      <c r="E199" s="3"/>
      <c r="F199" s="3"/>
      <c r="G199" s="3"/>
      <c r="H199" s="10"/>
      <c r="I199" s="3"/>
      <c r="J199" s="3"/>
      <c r="K199" s="3"/>
      <c r="L199" s="3"/>
      <c r="M199" s="3"/>
      <c r="N199" s="3"/>
    </row>
    <row r="200" spans="2:14" x14ac:dyDescent="0.25">
      <c r="B200" s="3"/>
      <c r="C200" s="3"/>
      <c r="D200" s="3"/>
      <c r="E200" s="3"/>
      <c r="F200" s="3"/>
      <c r="G200" s="3"/>
      <c r="H200" s="10"/>
      <c r="I200" s="3"/>
      <c r="J200" s="3"/>
      <c r="K200" s="3"/>
      <c r="L200" s="3"/>
    </row>
    <row r="201" spans="2:14" x14ac:dyDescent="0.25">
      <c r="B201" s="3"/>
      <c r="C201" s="3"/>
      <c r="D201" s="3"/>
      <c r="E201" s="3"/>
      <c r="F201" s="3"/>
      <c r="G201" s="3"/>
      <c r="H201" s="10"/>
      <c r="I201" s="3"/>
      <c r="J201" s="3"/>
      <c r="K201" s="3"/>
      <c r="L201" s="3"/>
    </row>
    <row r="202" spans="2:14" x14ac:dyDescent="0.25">
      <c r="B202" s="3"/>
      <c r="C202" s="3"/>
      <c r="D202" s="3"/>
      <c r="E202" s="3"/>
      <c r="F202" s="3"/>
      <c r="G202" s="3"/>
      <c r="H202" s="10"/>
      <c r="I202" s="3"/>
      <c r="J202" s="3"/>
      <c r="K202" s="3"/>
      <c r="L202" s="3"/>
      <c r="M202" s="3"/>
      <c r="N202" s="3"/>
    </row>
    <row r="203" spans="2:14" x14ac:dyDescent="0.25">
      <c r="B203" s="3"/>
      <c r="C203" s="3"/>
      <c r="D203" s="3"/>
      <c r="E203" s="3"/>
      <c r="F203" s="3"/>
      <c r="G203" s="3"/>
      <c r="H203" s="10"/>
      <c r="I203" s="3"/>
      <c r="J203" s="3"/>
      <c r="K203" s="3"/>
      <c r="L203" s="3"/>
    </row>
    <row r="204" spans="2:14" x14ac:dyDescent="0.25">
      <c r="B204" s="3"/>
      <c r="C204" s="3"/>
      <c r="D204" s="3"/>
      <c r="E204" s="3"/>
      <c r="F204" s="3"/>
      <c r="G204" s="3"/>
      <c r="H204" s="10"/>
      <c r="I204" s="3"/>
      <c r="J204" s="3"/>
      <c r="K204" s="3"/>
      <c r="L204" s="3"/>
    </row>
    <row r="205" spans="2:14" x14ac:dyDescent="0.25">
      <c r="B205" s="3"/>
      <c r="C205" s="3"/>
      <c r="D205" s="3"/>
      <c r="E205" s="3"/>
      <c r="F205" s="3"/>
      <c r="G205" s="3"/>
      <c r="H205" s="10"/>
      <c r="I205" s="3"/>
      <c r="J205" s="3"/>
      <c r="K205" s="3"/>
      <c r="L205" s="3"/>
      <c r="M205" s="3"/>
      <c r="N205" s="3"/>
    </row>
    <row r="206" spans="2:14" x14ac:dyDescent="0.25">
      <c r="B206" s="3"/>
      <c r="C206" s="3"/>
      <c r="D206" s="3"/>
      <c r="E206" s="3"/>
      <c r="F206" s="3"/>
      <c r="G206" s="3"/>
      <c r="H206" s="10"/>
      <c r="I206" s="3"/>
      <c r="J206" s="3"/>
      <c r="K206" s="3"/>
      <c r="L206" s="3"/>
    </row>
    <row r="207" spans="2:14" x14ac:dyDescent="0.25">
      <c r="B207" s="3"/>
      <c r="C207" s="3"/>
      <c r="D207" s="3"/>
      <c r="E207" s="3"/>
      <c r="F207" s="3"/>
      <c r="G207" s="3"/>
      <c r="H207" s="10"/>
      <c r="I207" s="3"/>
      <c r="J207" s="3"/>
      <c r="K207" s="3"/>
      <c r="L207" s="3"/>
    </row>
    <row r="208" spans="2:14" x14ac:dyDescent="0.25">
      <c r="B208" s="3"/>
      <c r="C208" s="3"/>
      <c r="D208" s="3"/>
      <c r="E208" s="3"/>
      <c r="F208" s="3"/>
      <c r="G208" s="3"/>
      <c r="H208" s="10"/>
      <c r="I208" s="3"/>
      <c r="J208" s="3"/>
      <c r="K208" s="3"/>
      <c r="L208" s="3"/>
      <c r="M208" s="3"/>
      <c r="N208" s="3"/>
    </row>
    <row r="209" spans="2:14" x14ac:dyDescent="0.25">
      <c r="B209" s="3"/>
      <c r="C209" s="3"/>
      <c r="D209" s="3"/>
      <c r="E209" s="3"/>
      <c r="F209" s="3"/>
      <c r="G209" s="3"/>
      <c r="H209" s="10"/>
      <c r="I209" s="3"/>
      <c r="J209" s="3"/>
      <c r="K209" s="3"/>
      <c r="L209" s="3"/>
    </row>
    <row r="210" spans="2:14" x14ac:dyDescent="0.25">
      <c r="B210" s="3"/>
      <c r="C210" s="3"/>
      <c r="D210" s="3"/>
      <c r="E210" s="3"/>
      <c r="F210" s="3"/>
      <c r="G210" s="3"/>
      <c r="H210" s="10"/>
      <c r="I210" s="3"/>
      <c r="J210" s="3"/>
      <c r="K210" s="3"/>
      <c r="L210" s="3"/>
    </row>
    <row r="211" spans="2:14" x14ac:dyDescent="0.25">
      <c r="B211" s="3"/>
      <c r="C211" s="3"/>
      <c r="D211" s="3"/>
      <c r="E211" s="3"/>
      <c r="F211" s="3"/>
      <c r="G211" s="3"/>
      <c r="H211" s="10"/>
      <c r="I211" s="3"/>
      <c r="J211" s="3"/>
      <c r="K211" s="3"/>
      <c r="L211" s="3"/>
      <c r="M211" s="3"/>
      <c r="N211" s="3"/>
    </row>
    <row r="212" spans="2:14" x14ac:dyDescent="0.25">
      <c r="B212" s="3"/>
      <c r="C212" s="3"/>
      <c r="D212" s="3"/>
      <c r="E212" s="3"/>
      <c r="F212" s="3"/>
      <c r="G212" s="3"/>
      <c r="H212" s="10"/>
      <c r="I212" s="3"/>
      <c r="J212" s="3"/>
      <c r="K212" s="3"/>
      <c r="L212" s="3"/>
    </row>
    <row r="213" spans="2:14" x14ac:dyDescent="0.25">
      <c r="B213" s="3"/>
      <c r="C213" s="3"/>
      <c r="D213" s="3"/>
      <c r="E213" s="3"/>
      <c r="F213" s="3"/>
      <c r="G213" s="3"/>
      <c r="H213" s="10"/>
      <c r="I213" s="3"/>
      <c r="J213" s="3"/>
      <c r="K213" s="3"/>
      <c r="L213" s="3"/>
    </row>
    <row r="214" spans="2:14" x14ac:dyDescent="0.25">
      <c r="B214" s="3"/>
      <c r="C214" s="3"/>
      <c r="D214" s="3"/>
      <c r="E214" s="3"/>
      <c r="F214" s="3"/>
      <c r="G214" s="3"/>
      <c r="H214" s="10"/>
      <c r="I214" s="3"/>
      <c r="J214" s="3"/>
      <c r="K214" s="3"/>
      <c r="L214" s="3"/>
      <c r="M214" s="3"/>
      <c r="N214" s="3"/>
    </row>
    <row r="215" spans="2:14" x14ac:dyDescent="0.25">
      <c r="B215" s="3"/>
      <c r="C215" s="3"/>
      <c r="D215" s="3"/>
      <c r="E215" s="3"/>
      <c r="F215" s="3"/>
      <c r="G215" s="3"/>
      <c r="H215" s="10"/>
      <c r="I215" s="3"/>
      <c r="J215" s="3"/>
      <c r="K215" s="3"/>
      <c r="L215" s="3"/>
    </row>
    <row r="216" spans="2:14" x14ac:dyDescent="0.25">
      <c r="B216" s="3"/>
      <c r="C216" s="3"/>
      <c r="D216" s="3"/>
      <c r="E216" s="3"/>
      <c r="F216" s="3"/>
      <c r="G216" s="3"/>
      <c r="H216" s="10"/>
      <c r="I216" s="3"/>
      <c r="J216" s="3"/>
      <c r="K216" s="3"/>
      <c r="L216" s="3"/>
    </row>
    <row r="217" spans="2:14" x14ac:dyDescent="0.25">
      <c r="B217" s="3"/>
      <c r="C217" s="3"/>
      <c r="D217" s="3"/>
      <c r="E217" s="3"/>
      <c r="F217" s="3"/>
      <c r="G217" s="3"/>
      <c r="H217" s="10"/>
      <c r="I217" s="3"/>
      <c r="J217" s="3"/>
      <c r="K217" s="3"/>
      <c r="L217" s="3"/>
      <c r="M217" s="3"/>
      <c r="N217" s="3"/>
    </row>
    <row r="218" spans="2:14" x14ac:dyDescent="0.25">
      <c r="B218" s="3"/>
      <c r="C218" s="3"/>
      <c r="D218" s="3"/>
      <c r="E218" s="3"/>
      <c r="F218" s="3"/>
      <c r="G218" s="3"/>
      <c r="H218" s="10"/>
      <c r="I218" s="3"/>
      <c r="J218" s="3"/>
      <c r="K218" s="3"/>
      <c r="L218" s="3"/>
    </row>
    <row r="219" spans="2:14" x14ac:dyDescent="0.25">
      <c r="B219" s="3"/>
      <c r="C219" s="3"/>
      <c r="D219" s="3"/>
      <c r="E219" s="3"/>
      <c r="F219" s="3"/>
      <c r="G219" s="3"/>
      <c r="H219" s="10"/>
      <c r="I219" s="3"/>
      <c r="J219" s="3"/>
      <c r="K219" s="3"/>
      <c r="L219" s="3"/>
    </row>
    <row r="220" spans="2:14" x14ac:dyDescent="0.25">
      <c r="B220" s="3"/>
      <c r="C220" s="3"/>
      <c r="D220" s="3"/>
      <c r="E220" s="3"/>
      <c r="F220" s="3"/>
      <c r="G220" s="3"/>
      <c r="H220" s="10"/>
      <c r="I220" s="3"/>
      <c r="J220" s="3"/>
      <c r="K220" s="3"/>
      <c r="L220" s="3"/>
      <c r="M220" s="3"/>
      <c r="N220" s="3"/>
    </row>
    <row r="221" spans="2:14" x14ac:dyDescent="0.25">
      <c r="B221" s="3"/>
      <c r="C221" s="3"/>
      <c r="D221" s="3"/>
      <c r="E221" s="3"/>
      <c r="F221" s="3"/>
      <c r="G221" s="3"/>
      <c r="H221" s="10"/>
      <c r="I221" s="3"/>
      <c r="J221" s="3"/>
      <c r="K221" s="3"/>
      <c r="L221" s="3"/>
    </row>
    <row r="222" spans="2:14" x14ac:dyDescent="0.25">
      <c r="B222" s="3"/>
      <c r="C222" s="3"/>
      <c r="D222" s="3"/>
      <c r="E222" s="3"/>
      <c r="F222" s="3"/>
      <c r="G222" s="3"/>
      <c r="H222" s="10"/>
      <c r="I222" s="3"/>
      <c r="J222" s="3"/>
      <c r="K222" s="3"/>
      <c r="L222" s="3"/>
    </row>
    <row r="223" spans="2:14" x14ac:dyDescent="0.25">
      <c r="B223" s="3"/>
      <c r="C223" s="3"/>
      <c r="D223" s="3"/>
      <c r="E223" s="3"/>
      <c r="F223" s="3"/>
      <c r="G223" s="3"/>
      <c r="H223" s="10"/>
      <c r="I223" s="3"/>
      <c r="J223" s="3"/>
      <c r="K223" s="3"/>
      <c r="L223" s="3"/>
      <c r="M223" s="3"/>
      <c r="N223" s="3"/>
    </row>
    <row r="224" spans="2:14" x14ac:dyDescent="0.25">
      <c r="B224" s="3"/>
      <c r="C224" s="3"/>
      <c r="D224" s="3"/>
      <c r="E224" s="3"/>
      <c r="F224" s="3"/>
      <c r="G224" s="3"/>
      <c r="H224" s="10"/>
      <c r="I224" s="3"/>
      <c r="J224" s="3"/>
      <c r="K224" s="3"/>
      <c r="L224" s="3"/>
    </row>
    <row r="225" spans="2:14" x14ac:dyDescent="0.25">
      <c r="B225" s="3"/>
      <c r="C225" s="3"/>
      <c r="D225" s="3"/>
      <c r="E225" s="3"/>
      <c r="F225" s="3"/>
      <c r="G225" s="3"/>
      <c r="H225" s="10"/>
      <c r="I225" s="3"/>
      <c r="J225" s="3"/>
      <c r="K225" s="3"/>
      <c r="L225" s="3"/>
    </row>
    <row r="226" spans="2:14" x14ac:dyDescent="0.25">
      <c r="B226" s="3"/>
      <c r="C226" s="3"/>
      <c r="D226" s="3"/>
      <c r="E226" s="3"/>
      <c r="F226" s="3"/>
      <c r="G226" s="3"/>
      <c r="H226" s="10"/>
      <c r="I226" s="3"/>
      <c r="J226" s="3"/>
      <c r="K226" s="3"/>
      <c r="L226" s="3"/>
      <c r="M226" s="3"/>
      <c r="N226" s="3"/>
    </row>
    <row r="227" spans="2:14" x14ac:dyDescent="0.25">
      <c r="B227" s="3"/>
      <c r="C227" s="3"/>
      <c r="D227" s="3"/>
      <c r="E227" s="3"/>
      <c r="F227" s="3"/>
      <c r="G227" s="3"/>
      <c r="H227" s="10"/>
      <c r="I227" s="3"/>
      <c r="J227" s="3"/>
      <c r="K227" s="3"/>
      <c r="L227" s="3"/>
    </row>
    <row r="228" spans="2:14" x14ac:dyDescent="0.25">
      <c r="B228" s="3"/>
      <c r="C228" s="3"/>
      <c r="D228" s="3"/>
      <c r="E228" s="3"/>
      <c r="F228" s="3"/>
      <c r="G228" s="3"/>
      <c r="H228" s="10"/>
      <c r="I228" s="3"/>
      <c r="J228" s="3"/>
      <c r="K228" s="3"/>
      <c r="L228" s="3"/>
    </row>
    <row r="229" spans="2:14" x14ac:dyDescent="0.25">
      <c r="B229" s="3"/>
      <c r="C229" s="3"/>
      <c r="D229" s="3"/>
      <c r="E229" s="3"/>
      <c r="F229" s="3"/>
      <c r="G229" s="3"/>
      <c r="H229" s="10"/>
      <c r="I229" s="3"/>
      <c r="J229" s="3"/>
      <c r="K229" s="3"/>
      <c r="L229" s="3"/>
      <c r="M229" s="3"/>
      <c r="N229" s="3"/>
    </row>
    <row r="230" spans="2:14" x14ac:dyDescent="0.25">
      <c r="B230" s="3"/>
      <c r="C230" s="3"/>
      <c r="D230" s="3"/>
      <c r="E230" s="3"/>
      <c r="F230" s="3"/>
      <c r="G230" s="3"/>
      <c r="H230" s="10"/>
      <c r="I230" s="3"/>
      <c r="J230" s="3"/>
      <c r="K230" s="3"/>
      <c r="L230" s="3"/>
    </row>
    <row r="231" spans="2:14" x14ac:dyDescent="0.25">
      <c r="B231" s="3"/>
      <c r="C231" s="3"/>
      <c r="D231" s="3"/>
      <c r="E231" s="3"/>
      <c r="F231" s="3"/>
      <c r="G231" s="3"/>
      <c r="H231" s="10"/>
      <c r="I231" s="3"/>
      <c r="J231" s="3"/>
      <c r="K231" s="3"/>
      <c r="L231" s="3"/>
    </row>
    <row r="232" spans="2:14" x14ac:dyDescent="0.25">
      <c r="B232" s="3"/>
      <c r="C232" s="3"/>
      <c r="D232" s="3"/>
      <c r="E232" s="3"/>
      <c r="F232" s="3"/>
      <c r="G232" s="3"/>
      <c r="H232" s="10"/>
      <c r="I232" s="3"/>
      <c r="J232" s="3"/>
      <c r="K232" s="3"/>
      <c r="L232" s="3"/>
      <c r="M232" s="3"/>
      <c r="N232" s="3"/>
    </row>
    <row r="233" spans="2:14" x14ac:dyDescent="0.25">
      <c r="B233" s="3"/>
      <c r="C233" s="3"/>
      <c r="D233" s="3"/>
      <c r="E233" s="3"/>
      <c r="F233" s="3"/>
      <c r="G233" s="3"/>
      <c r="H233" s="10"/>
      <c r="I233" s="3"/>
      <c r="J233" s="3"/>
      <c r="K233" s="3"/>
      <c r="L233" s="3"/>
    </row>
    <row r="234" spans="2:14" x14ac:dyDescent="0.25">
      <c r="B234" s="3"/>
      <c r="C234" s="3"/>
      <c r="D234" s="3"/>
      <c r="E234" s="3"/>
      <c r="F234" s="3"/>
      <c r="G234" s="3"/>
      <c r="H234" s="10"/>
      <c r="I234" s="3"/>
      <c r="J234" s="3"/>
      <c r="K234" s="3"/>
      <c r="L234" s="3"/>
    </row>
    <row r="235" spans="2:14" x14ac:dyDescent="0.25">
      <c r="B235" s="3"/>
      <c r="C235" s="3"/>
      <c r="D235" s="3"/>
      <c r="E235" s="3"/>
      <c r="F235" s="3"/>
      <c r="G235" s="3"/>
      <c r="H235" s="10"/>
      <c r="I235" s="3"/>
      <c r="J235" s="3"/>
      <c r="K235" s="3"/>
      <c r="L235" s="3"/>
      <c r="M235" s="3"/>
      <c r="N235" s="3"/>
    </row>
    <row r="236" spans="2:14" x14ac:dyDescent="0.25">
      <c r="B236" s="3"/>
      <c r="C236" s="3"/>
      <c r="D236" s="3"/>
      <c r="E236" s="3"/>
      <c r="F236" s="3"/>
      <c r="G236" s="3"/>
      <c r="H236" s="10"/>
      <c r="I236" s="3"/>
      <c r="J236" s="3"/>
      <c r="K236" s="3"/>
      <c r="L236" s="3"/>
    </row>
    <row r="237" spans="2:14" x14ac:dyDescent="0.25">
      <c r="B237" s="3"/>
      <c r="C237" s="3"/>
      <c r="D237" s="3"/>
      <c r="E237" s="3"/>
      <c r="F237" s="3"/>
      <c r="G237" s="3"/>
      <c r="H237" s="10"/>
      <c r="I237" s="3"/>
      <c r="J237" s="3"/>
      <c r="K237" s="3"/>
      <c r="L237" s="3"/>
    </row>
    <row r="238" spans="2:14" x14ac:dyDescent="0.25">
      <c r="B238" s="3"/>
      <c r="C238" s="3"/>
      <c r="D238" s="3"/>
      <c r="E238" s="3"/>
      <c r="F238" s="3"/>
      <c r="G238" s="3"/>
      <c r="H238" s="10"/>
      <c r="I238" s="3"/>
      <c r="J238" s="3"/>
      <c r="K238" s="3"/>
      <c r="L238" s="3"/>
      <c r="M238" s="3"/>
      <c r="N238" s="3"/>
    </row>
    <row r="239" spans="2:14" x14ac:dyDescent="0.25">
      <c r="B239" s="3"/>
      <c r="C239" s="3"/>
      <c r="D239" s="3"/>
      <c r="E239" s="3"/>
      <c r="F239" s="3"/>
      <c r="G239" s="3"/>
      <c r="H239" s="10"/>
      <c r="I239" s="3"/>
      <c r="J239" s="3"/>
      <c r="K239" s="3"/>
      <c r="L239" s="3"/>
    </row>
    <row r="240" spans="2:14" x14ac:dyDescent="0.25">
      <c r="B240" s="3"/>
      <c r="C240" s="3"/>
      <c r="D240" s="3"/>
      <c r="E240" s="3"/>
      <c r="F240" s="3"/>
      <c r="G240" s="3"/>
      <c r="H240" s="10"/>
      <c r="I240" s="3"/>
      <c r="J240" s="3"/>
      <c r="K240" s="3"/>
      <c r="L240" s="3"/>
    </row>
    <row r="241" spans="2:14" x14ac:dyDescent="0.25">
      <c r="B241" s="3"/>
      <c r="C241" s="3"/>
      <c r="D241" s="3"/>
      <c r="E241" s="3"/>
      <c r="F241" s="3"/>
      <c r="G241" s="3"/>
      <c r="H241" s="10"/>
      <c r="I241" s="3"/>
      <c r="J241" s="3"/>
      <c r="K241" s="3"/>
      <c r="L241" s="3"/>
      <c r="M241" s="3"/>
      <c r="N241" s="3"/>
    </row>
    <row r="242" spans="2:14" x14ac:dyDescent="0.25">
      <c r="B242" s="3"/>
      <c r="C242" s="3"/>
      <c r="D242" s="3"/>
      <c r="E242" s="3"/>
      <c r="F242" s="3"/>
      <c r="G242" s="3"/>
      <c r="H242" s="10"/>
      <c r="I242" s="3"/>
      <c r="J242" s="3"/>
      <c r="K242" s="3"/>
      <c r="L242" s="3"/>
    </row>
    <row r="243" spans="2:14" x14ac:dyDescent="0.25">
      <c r="B243" s="3"/>
      <c r="C243" s="3"/>
      <c r="D243" s="3"/>
      <c r="E243" s="3"/>
      <c r="F243" s="3"/>
      <c r="G243" s="3"/>
      <c r="H243" s="10"/>
      <c r="I243" s="3"/>
      <c r="J243" s="3"/>
      <c r="K243" s="3"/>
      <c r="L243" s="3"/>
    </row>
    <row r="244" spans="2:14" x14ac:dyDescent="0.25">
      <c r="B244" s="3"/>
      <c r="C244" s="3"/>
      <c r="D244" s="3"/>
      <c r="E244" s="3"/>
      <c r="F244" s="3"/>
      <c r="G244" s="3"/>
      <c r="H244" s="10"/>
      <c r="I244" s="3"/>
      <c r="J244" s="3"/>
      <c r="K244" s="3"/>
      <c r="L244" s="3"/>
      <c r="M244" s="3"/>
      <c r="N244" s="3"/>
    </row>
    <row r="245" spans="2:14" x14ac:dyDescent="0.25">
      <c r="B245" s="3"/>
      <c r="C245" s="3"/>
      <c r="D245" s="3"/>
      <c r="E245" s="3"/>
      <c r="F245" s="3"/>
      <c r="G245" s="3"/>
      <c r="H245" s="10"/>
      <c r="I245" s="3"/>
      <c r="J245" s="3"/>
      <c r="K245" s="3"/>
      <c r="L245" s="3"/>
    </row>
    <row r="246" spans="2:14" x14ac:dyDescent="0.25">
      <c r="B246" s="3"/>
      <c r="C246" s="3"/>
      <c r="D246" s="3"/>
      <c r="E246" s="3"/>
      <c r="F246" s="3"/>
      <c r="G246" s="3"/>
      <c r="H246" s="10"/>
      <c r="I246" s="3"/>
      <c r="J246" s="3"/>
      <c r="K246" s="3"/>
      <c r="L246" s="3"/>
    </row>
    <row r="247" spans="2:14" x14ac:dyDescent="0.25">
      <c r="B247" s="3"/>
      <c r="C247" s="3"/>
      <c r="D247" s="3"/>
      <c r="E247" s="3"/>
      <c r="F247" s="3"/>
      <c r="G247" s="3"/>
      <c r="H247" s="10"/>
      <c r="I247" s="3"/>
      <c r="J247" s="3"/>
      <c r="K247" s="3"/>
      <c r="L247" s="3"/>
      <c r="M247" s="3"/>
      <c r="N247" s="3"/>
    </row>
    <row r="248" spans="2:14" x14ac:dyDescent="0.25">
      <c r="B248" s="3"/>
      <c r="C248" s="3"/>
      <c r="D248" s="3"/>
      <c r="E248" s="3"/>
      <c r="F248" s="3"/>
      <c r="G248" s="3"/>
      <c r="H248" s="10"/>
      <c r="I248" s="3"/>
      <c r="J248" s="3"/>
      <c r="K248" s="3"/>
      <c r="L248" s="3"/>
    </row>
    <row r="249" spans="2:14" x14ac:dyDescent="0.25">
      <c r="B249" s="3"/>
      <c r="C249" s="3"/>
      <c r="D249" s="3"/>
      <c r="E249" s="3"/>
      <c r="F249" s="3"/>
      <c r="G249" s="3"/>
      <c r="H249" s="10"/>
      <c r="I249" s="3"/>
      <c r="J249" s="3"/>
      <c r="K249" s="3"/>
      <c r="L249" s="3"/>
    </row>
    <row r="250" spans="2:14" x14ac:dyDescent="0.25">
      <c r="B250" s="3"/>
      <c r="C250" s="3"/>
      <c r="D250" s="3"/>
      <c r="E250" s="3"/>
      <c r="F250" s="3"/>
      <c r="G250" s="3"/>
      <c r="H250" s="10"/>
      <c r="I250" s="3"/>
      <c r="J250" s="3"/>
      <c r="K250" s="3"/>
      <c r="L250" s="3"/>
      <c r="M250" s="3"/>
      <c r="N250" s="3"/>
    </row>
    <row r="251" spans="2:14" x14ac:dyDescent="0.25">
      <c r="B251" s="3"/>
      <c r="C251" s="3"/>
      <c r="D251" s="3"/>
      <c r="E251" s="3"/>
      <c r="F251" s="3"/>
      <c r="G251" s="3"/>
      <c r="H251" s="10"/>
      <c r="I251" s="3"/>
      <c r="J251" s="3"/>
      <c r="K251" s="3"/>
      <c r="L251" s="3"/>
    </row>
    <row r="252" spans="2:14" x14ac:dyDescent="0.25">
      <c r="B252" s="3"/>
      <c r="C252" s="3"/>
      <c r="D252" s="3"/>
      <c r="E252" s="3"/>
      <c r="F252" s="3"/>
      <c r="G252" s="3"/>
      <c r="H252" s="10"/>
      <c r="I252" s="3"/>
      <c r="J252" s="3"/>
      <c r="K252" s="3"/>
      <c r="L252" s="3"/>
    </row>
    <row r="253" spans="2:14" x14ac:dyDescent="0.25">
      <c r="B253" s="3"/>
      <c r="C253" s="3"/>
      <c r="D253" s="3"/>
      <c r="E253" s="3"/>
      <c r="F253" s="3"/>
      <c r="G253" s="3"/>
      <c r="H253" s="10"/>
      <c r="I253" s="3"/>
      <c r="J253" s="3"/>
      <c r="K253" s="3"/>
      <c r="L253" s="3"/>
      <c r="M253" s="3"/>
      <c r="N253" s="3"/>
    </row>
    <row r="254" spans="2:14" x14ac:dyDescent="0.25">
      <c r="B254" s="3"/>
      <c r="C254" s="3"/>
      <c r="D254" s="3"/>
      <c r="E254" s="3"/>
      <c r="F254" s="3"/>
      <c r="G254" s="3"/>
      <c r="H254" s="10"/>
      <c r="I254" s="3"/>
      <c r="J254" s="3"/>
      <c r="K254" s="3"/>
      <c r="L254" s="3"/>
    </row>
    <row r="255" spans="2:14" x14ac:dyDescent="0.25">
      <c r="B255" s="3"/>
      <c r="C255" s="3"/>
      <c r="D255" s="3"/>
      <c r="E255" s="3"/>
      <c r="F255" s="3"/>
      <c r="G255" s="3"/>
      <c r="H255" s="10"/>
      <c r="I255" s="3"/>
      <c r="J255" s="3"/>
      <c r="K255" s="3"/>
      <c r="L255" s="3"/>
    </row>
    <row r="256" spans="2:14" x14ac:dyDescent="0.25">
      <c r="B256" s="3"/>
      <c r="C256" s="3"/>
      <c r="D256" s="3"/>
      <c r="E256" s="3"/>
      <c r="F256" s="3"/>
      <c r="G256" s="3"/>
      <c r="H256" s="10"/>
      <c r="I256" s="3"/>
      <c r="J256" s="3"/>
      <c r="K256" s="3"/>
      <c r="L256" s="3"/>
      <c r="M256" s="3"/>
      <c r="N256" s="3"/>
    </row>
    <row r="257" spans="2:14" x14ac:dyDescent="0.25">
      <c r="B257" s="3"/>
      <c r="C257" s="3"/>
      <c r="D257" s="3"/>
      <c r="E257" s="3"/>
      <c r="F257" s="3"/>
      <c r="G257" s="3"/>
      <c r="H257" s="10"/>
      <c r="I257" s="3"/>
      <c r="J257" s="3"/>
      <c r="K257" s="3"/>
      <c r="L257" s="3"/>
    </row>
    <row r="258" spans="2:14" x14ac:dyDescent="0.25">
      <c r="B258" s="3"/>
      <c r="C258" s="3"/>
      <c r="D258" s="3"/>
      <c r="E258" s="3"/>
      <c r="F258" s="3"/>
      <c r="G258" s="3"/>
      <c r="H258" s="10"/>
      <c r="I258" s="3"/>
      <c r="J258" s="3"/>
      <c r="K258" s="3"/>
      <c r="L258" s="3"/>
    </row>
    <row r="259" spans="2:14" x14ac:dyDescent="0.25">
      <c r="B259" s="3"/>
      <c r="C259" s="3"/>
      <c r="D259" s="3"/>
      <c r="E259" s="3"/>
      <c r="F259" s="3"/>
      <c r="G259" s="3"/>
      <c r="H259" s="10"/>
      <c r="I259" s="3"/>
      <c r="J259" s="3"/>
      <c r="K259" s="3"/>
      <c r="L259" s="3"/>
      <c r="M259" s="3"/>
      <c r="N259" s="3"/>
    </row>
    <row r="260" spans="2:14" x14ac:dyDescent="0.25">
      <c r="B260" s="3"/>
      <c r="C260" s="3"/>
      <c r="D260" s="3"/>
      <c r="E260" s="3"/>
      <c r="F260" s="3"/>
      <c r="G260" s="3"/>
      <c r="H260" s="10"/>
      <c r="I260" s="3"/>
      <c r="J260" s="3"/>
      <c r="K260" s="3"/>
      <c r="L260" s="3"/>
    </row>
    <row r="261" spans="2:14" x14ac:dyDescent="0.25">
      <c r="B261" s="3"/>
      <c r="C261" s="3"/>
      <c r="D261" s="3"/>
      <c r="E261" s="3"/>
      <c r="F261" s="3"/>
      <c r="G261" s="3"/>
      <c r="H261" s="10"/>
      <c r="I261" s="3"/>
      <c r="J261" s="3"/>
      <c r="K261" s="3"/>
      <c r="L261" s="3"/>
    </row>
    <row r="262" spans="2:14" x14ac:dyDescent="0.25">
      <c r="B262" s="3"/>
      <c r="C262" s="3"/>
      <c r="D262" s="3"/>
      <c r="E262" s="3"/>
      <c r="F262" s="3"/>
      <c r="G262" s="3"/>
      <c r="H262" s="10"/>
      <c r="I262" s="3"/>
      <c r="J262" s="3"/>
      <c r="K262" s="3"/>
      <c r="L262" s="3"/>
      <c r="M262" s="3"/>
      <c r="N262" s="3"/>
    </row>
    <row r="263" spans="2:14" x14ac:dyDescent="0.25">
      <c r="B263" s="3"/>
      <c r="C263" s="3"/>
      <c r="D263" s="3"/>
      <c r="E263" s="3"/>
      <c r="F263" s="3"/>
      <c r="G263" s="3"/>
      <c r="H263" s="10"/>
      <c r="I263" s="3"/>
      <c r="J263" s="3"/>
      <c r="K263" s="3"/>
      <c r="L263" s="3"/>
    </row>
    <row r="264" spans="2:14" x14ac:dyDescent="0.25">
      <c r="B264" s="3"/>
      <c r="C264" s="3"/>
      <c r="D264" s="3"/>
      <c r="E264" s="3"/>
      <c r="F264" s="3"/>
      <c r="G264" s="3"/>
      <c r="H264" s="10"/>
      <c r="I264" s="3"/>
      <c r="J264" s="3"/>
      <c r="K264" s="3"/>
      <c r="L264" s="3"/>
    </row>
    <row r="265" spans="2:14" x14ac:dyDescent="0.25">
      <c r="B265" s="3"/>
      <c r="C265" s="3"/>
      <c r="D265" s="3"/>
      <c r="E265" s="3"/>
      <c r="F265" s="3"/>
      <c r="G265" s="3"/>
      <c r="H265" s="10"/>
      <c r="I265" s="3"/>
      <c r="J265" s="3"/>
      <c r="K265" s="3"/>
      <c r="L265" s="3"/>
      <c r="M265" s="3"/>
      <c r="N265" s="3"/>
    </row>
    <row r="266" spans="2:14" x14ac:dyDescent="0.25">
      <c r="B266" s="3"/>
      <c r="C266" s="3"/>
      <c r="D266" s="3"/>
      <c r="E266" s="3"/>
      <c r="F266" s="3"/>
      <c r="G266" s="3"/>
      <c r="H266" s="10"/>
      <c r="I266" s="3"/>
      <c r="J266" s="3"/>
      <c r="K266" s="3"/>
      <c r="L266" s="3"/>
    </row>
    <row r="267" spans="2:14" x14ac:dyDescent="0.25">
      <c r="B267" s="3"/>
      <c r="C267" s="3"/>
      <c r="D267" s="3"/>
      <c r="E267" s="3"/>
      <c r="F267" s="3"/>
      <c r="G267" s="3"/>
      <c r="H267" s="10"/>
      <c r="I267" s="3"/>
      <c r="J267" s="3"/>
      <c r="K267" s="3"/>
      <c r="L267" s="3"/>
    </row>
    <row r="268" spans="2:14" x14ac:dyDescent="0.25">
      <c r="B268" s="3"/>
      <c r="C268" s="3"/>
      <c r="D268" s="3"/>
      <c r="E268" s="3"/>
      <c r="F268" s="3"/>
      <c r="G268" s="3"/>
      <c r="H268" s="10"/>
      <c r="I268" s="3"/>
      <c r="J268" s="3"/>
      <c r="K268" s="3"/>
      <c r="L268" s="3"/>
      <c r="M268" s="3"/>
      <c r="N268" s="3"/>
    </row>
    <row r="269" spans="2:14" x14ac:dyDescent="0.25">
      <c r="B269" s="3"/>
      <c r="C269" s="3"/>
      <c r="D269" s="3"/>
      <c r="E269" s="3"/>
      <c r="F269" s="3"/>
      <c r="G269" s="3"/>
      <c r="H269" s="10"/>
      <c r="I269" s="3"/>
      <c r="J269" s="3"/>
      <c r="K269" s="3"/>
      <c r="L269" s="3"/>
    </row>
    <row r="270" spans="2:14" x14ac:dyDescent="0.25">
      <c r="B270" s="3"/>
      <c r="C270" s="3"/>
      <c r="D270" s="3"/>
      <c r="E270" s="3"/>
      <c r="F270" s="3"/>
      <c r="G270" s="3"/>
      <c r="H270" s="10"/>
      <c r="I270" s="3"/>
      <c r="J270" s="3"/>
      <c r="K270" s="3"/>
      <c r="L270" s="3"/>
    </row>
    <row r="271" spans="2:14" x14ac:dyDescent="0.25">
      <c r="B271" s="3"/>
      <c r="C271" s="3"/>
      <c r="D271" s="3"/>
      <c r="E271" s="3"/>
      <c r="F271" s="3"/>
      <c r="G271" s="3"/>
      <c r="H271" s="10"/>
      <c r="I271" s="3"/>
      <c r="J271" s="3"/>
      <c r="K271" s="3"/>
      <c r="L271" s="3"/>
      <c r="M271" s="3"/>
      <c r="N271" s="3"/>
    </row>
    <row r="272" spans="2:14" x14ac:dyDescent="0.25">
      <c r="B272" s="3"/>
      <c r="C272" s="3"/>
      <c r="D272" s="3"/>
      <c r="E272" s="3"/>
      <c r="F272" s="3"/>
      <c r="G272" s="3"/>
      <c r="H272" s="10"/>
      <c r="I272" s="3"/>
      <c r="J272" s="3"/>
      <c r="K272" s="3"/>
      <c r="L272" s="3"/>
    </row>
    <row r="273" spans="2:14" x14ac:dyDescent="0.25">
      <c r="B273" s="3"/>
      <c r="C273" s="3"/>
      <c r="D273" s="3"/>
      <c r="E273" s="3"/>
      <c r="F273" s="3"/>
      <c r="G273" s="3"/>
      <c r="H273" s="10"/>
      <c r="I273" s="3"/>
      <c r="J273" s="3"/>
      <c r="K273" s="3"/>
      <c r="L273" s="3"/>
    </row>
    <row r="274" spans="2:14" x14ac:dyDescent="0.25">
      <c r="B274" s="3"/>
      <c r="C274" s="3"/>
      <c r="D274" s="3"/>
      <c r="E274" s="3"/>
      <c r="F274" s="3"/>
      <c r="G274" s="3"/>
      <c r="H274" s="10"/>
      <c r="I274" s="3"/>
      <c r="J274" s="3"/>
      <c r="K274" s="3"/>
      <c r="L274" s="3"/>
      <c r="M274" s="3"/>
      <c r="N274" s="3"/>
    </row>
    <row r="275" spans="2:14" x14ac:dyDescent="0.25">
      <c r="B275" s="3"/>
      <c r="C275" s="3"/>
      <c r="D275" s="3"/>
      <c r="E275" s="3"/>
      <c r="F275" s="3"/>
      <c r="G275" s="3"/>
      <c r="H275" s="10"/>
      <c r="I275" s="3"/>
      <c r="J275" s="3"/>
      <c r="K275" s="3"/>
      <c r="L275" s="3"/>
    </row>
    <row r="276" spans="2:14" x14ac:dyDescent="0.25">
      <c r="B276" s="3"/>
      <c r="C276" s="3"/>
      <c r="D276" s="3"/>
      <c r="E276" s="3"/>
      <c r="F276" s="3"/>
      <c r="G276" s="3"/>
      <c r="H276" s="10"/>
      <c r="I276" s="3"/>
      <c r="J276" s="3"/>
      <c r="K276" s="3"/>
      <c r="L276" s="3"/>
    </row>
    <row r="277" spans="2:14" x14ac:dyDescent="0.25">
      <c r="B277" s="3"/>
      <c r="C277" s="3"/>
      <c r="D277" s="3"/>
      <c r="E277" s="3"/>
      <c r="F277" s="3"/>
      <c r="G277" s="3"/>
      <c r="H277" s="10"/>
      <c r="I277" s="3"/>
      <c r="J277" s="3"/>
      <c r="K277" s="3"/>
      <c r="L277" s="3"/>
      <c r="M277" s="3"/>
      <c r="N277" s="3"/>
    </row>
    <row r="278" spans="2:14" x14ac:dyDescent="0.25">
      <c r="B278" s="3"/>
      <c r="C278" s="3"/>
      <c r="D278" s="3"/>
      <c r="E278" s="3"/>
      <c r="F278" s="3"/>
      <c r="G278" s="3"/>
      <c r="H278" s="10"/>
      <c r="I278" s="3"/>
      <c r="J278" s="3"/>
      <c r="K278" s="3"/>
      <c r="L278" s="3"/>
    </row>
    <row r="279" spans="2:14" x14ac:dyDescent="0.25">
      <c r="B279" s="3"/>
      <c r="C279" s="3"/>
      <c r="D279" s="3"/>
      <c r="E279" s="3"/>
      <c r="F279" s="3"/>
      <c r="G279" s="3"/>
      <c r="H279" s="10"/>
      <c r="I279" s="3"/>
      <c r="J279" s="3"/>
      <c r="K279" s="3"/>
      <c r="L279" s="3"/>
    </row>
    <row r="280" spans="2:14" x14ac:dyDescent="0.25">
      <c r="B280" s="3"/>
      <c r="C280" s="3"/>
      <c r="D280" s="3"/>
      <c r="E280" s="3"/>
      <c r="F280" s="3"/>
      <c r="G280" s="3"/>
      <c r="H280" s="10"/>
      <c r="I280" s="3"/>
      <c r="J280" s="3"/>
      <c r="K280" s="3"/>
      <c r="L280" s="3"/>
      <c r="M280" s="3"/>
      <c r="N280" s="3"/>
    </row>
    <row r="281" spans="2:14" x14ac:dyDescent="0.25">
      <c r="B281" s="3"/>
      <c r="C281" s="3"/>
      <c r="D281" s="3"/>
      <c r="E281" s="3"/>
      <c r="F281" s="3"/>
      <c r="G281" s="3"/>
      <c r="H281" s="10"/>
      <c r="I281" s="3"/>
      <c r="J281" s="3"/>
      <c r="K281" s="3"/>
      <c r="L281" s="3"/>
    </row>
    <row r="282" spans="2:14" x14ac:dyDescent="0.25">
      <c r="B282" s="3"/>
      <c r="C282" s="3"/>
      <c r="D282" s="3"/>
      <c r="E282" s="3"/>
      <c r="F282" s="3"/>
      <c r="G282" s="3"/>
      <c r="H282" s="10"/>
      <c r="I282" s="3"/>
      <c r="J282" s="3"/>
      <c r="K282" s="3"/>
      <c r="L282" s="3"/>
    </row>
    <row r="283" spans="2:14" x14ac:dyDescent="0.25">
      <c r="B283" s="3"/>
      <c r="C283" s="3"/>
      <c r="D283" s="3"/>
      <c r="E283" s="3"/>
      <c r="F283" s="3"/>
      <c r="G283" s="3"/>
      <c r="H283" s="10"/>
      <c r="I283" s="3"/>
      <c r="J283" s="3"/>
      <c r="K283" s="3"/>
      <c r="L283" s="3"/>
      <c r="M283" s="3"/>
      <c r="N283" s="3"/>
    </row>
    <row r="284" spans="2:14" x14ac:dyDescent="0.25">
      <c r="B284" s="3"/>
      <c r="C284" s="3"/>
      <c r="D284" s="3"/>
      <c r="E284" s="3"/>
      <c r="F284" s="3"/>
      <c r="G284" s="3"/>
      <c r="H284" s="10"/>
      <c r="I284" s="3"/>
      <c r="J284" s="3"/>
      <c r="K284" s="3"/>
      <c r="L284" s="3"/>
    </row>
    <row r="285" spans="2:14" x14ac:dyDescent="0.25">
      <c r="B285" s="3"/>
      <c r="C285" s="3"/>
      <c r="D285" s="3"/>
      <c r="E285" s="3"/>
      <c r="F285" s="3"/>
      <c r="G285" s="3"/>
      <c r="H285" s="10"/>
      <c r="I285" s="3"/>
      <c r="J285" s="3"/>
      <c r="K285" s="3"/>
      <c r="L285" s="3"/>
    </row>
    <row r="286" spans="2:14" x14ac:dyDescent="0.25">
      <c r="B286" s="3"/>
      <c r="C286" s="3"/>
      <c r="D286" s="3"/>
      <c r="E286" s="3"/>
      <c r="F286" s="3"/>
      <c r="G286" s="3"/>
      <c r="H286" s="10"/>
      <c r="I286" s="3"/>
      <c r="J286" s="3"/>
      <c r="K286" s="3"/>
      <c r="L286" s="3"/>
      <c r="M286" s="3"/>
      <c r="N286" s="3"/>
    </row>
    <row r="287" spans="2:14" x14ac:dyDescent="0.25">
      <c r="B287" s="3"/>
      <c r="C287" s="3"/>
      <c r="D287" s="3"/>
      <c r="E287" s="3"/>
      <c r="F287" s="3"/>
      <c r="G287" s="3"/>
      <c r="H287" s="10"/>
      <c r="I287" s="3"/>
      <c r="J287" s="3"/>
      <c r="K287" s="3"/>
      <c r="L287" s="3"/>
    </row>
    <row r="288" spans="2:14" x14ac:dyDescent="0.25">
      <c r="B288" s="3"/>
      <c r="C288" s="3"/>
      <c r="D288" s="3"/>
      <c r="E288" s="3"/>
      <c r="F288" s="3"/>
      <c r="G288" s="3"/>
      <c r="H288" s="10"/>
      <c r="I288" s="3"/>
      <c r="J288" s="3"/>
      <c r="K288" s="3"/>
      <c r="L288" s="3"/>
    </row>
    <row r="289" spans="2:14" x14ac:dyDescent="0.25">
      <c r="B289" s="3"/>
      <c r="C289" s="3"/>
      <c r="D289" s="3"/>
      <c r="E289" s="3"/>
      <c r="F289" s="3"/>
      <c r="G289" s="3"/>
      <c r="H289" s="10"/>
      <c r="I289" s="3"/>
      <c r="J289" s="3"/>
      <c r="K289" s="3"/>
      <c r="L289" s="3"/>
      <c r="M289" s="3"/>
      <c r="N289" s="3"/>
    </row>
    <row r="290" spans="2:14" x14ac:dyDescent="0.25">
      <c r="B290" s="3"/>
      <c r="C290" s="3"/>
      <c r="D290" s="3"/>
      <c r="E290" s="3"/>
      <c r="F290" s="3"/>
      <c r="G290" s="3"/>
      <c r="H290" s="10"/>
      <c r="I290" s="3"/>
      <c r="J290" s="3"/>
      <c r="K290" s="3"/>
      <c r="L290" s="3"/>
    </row>
    <row r="291" spans="2:14" x14ac:dyDescent="0.25">
      <c r="B291" s="3"/>
      <c r="C291" s="3"/>
      <c r="D291" s="3"/>
      <c r="E291" s="3"/>
      <c r="F291" s="3"/>
      <c r="G291" s="3"/>
      <c r="H291" s="10"/>
      <c r="I291" s="3"/>
      <c r="J291" s="3"/>
      <c r="K291" s="3"/>
      <c r="L291" s="3"/>
    </row>
    <row r="292" spans="2:14" x14ac:dyDescent="0.25">
      <c r="B292" s="3"/>
      <c r="C292" s="3"/>
      <c r="D292" s="3"/>
      <c r="E292" s="3"/>
      <c r="F292" s="3"/>
      <c r="G292" s="3"/>
      <c r="H292" s="10"/>
      <c r="I292" s="3"/>
      <c r="J292" s="3"/>
      <c r="K292" s="3"/>
      <c r="L292" s="3"/>
      <c r="M292" s="3"/>
      <c r="N292" s="3"/>
    </row>
    <row r="293" spans="2:14" x14ac:dyDescent="0.25">
      <c r="B293" s="3"/>
      <c r="C293" s="3"/>
      <c r="D293" s="3"/>
      <c r="E293" s="3"/>
      <c r="F293" s="3"/>
      <c r="G293" s="3"/>
      <c r="H293" s="10"/>
      <c r="I293" s="3"/>
      <c r="J293" s="3"/>
      <c r="K293" s="3"/>
      <c r="L293" s="3"/>
    </row>
    <row r="294" spans="2:14" x14ac:dyDescent="0.25">
      <c r="B294" s="3"/>
      <c r="C294" s="3"/>
      <c r="D294" s="3"/>
      <c r="E294" s="3"/>
      <c r="F294" s="3"/>
      <c r="G294" s="3"/>
      <c r="H294" s="10"/>
      <c r="I294" s="3"/>
      <c r="J294" s="3"/>
      <c r="K294" s="3"/>
      <c r="L294" s="3"/>
    </row>
    <row r="295" spans="2:14" x14ac:dyDescent="0.25">
      <c r="B295" s="3"/>
      <c r="C295" s="3"/>
      <c r="D295" s="3"/>
      <c r="E295" s="3"/>
      <c r="F295" s="3"/>
      <c r="G295" s="3"/>
      <c r="H295" s="10"/>
      <c r="I295" s="3"/>
      <c r="J295" s="3"/>
      <c r="K295" s="3"/>
      <c r="L295" s="3"/>
      <c r="M295" s="3"/>
      <c r="N295" s="3"/>
    </row>
    <row r="296" spans="2:14" x14ac:dyDescent="0.25">
      <c r="B296" s="3"/>
      <c r="C296" s="3"/>
      <c r="D296" s="3"/>
      <c r="E296" s="3"/>
      <c r="F296" s="3"/>
      <c r="G296" s="3"/>
      <c r="H296" s="10"/>
      <c r="I296" s="3"/>
      <c r="J296" s="3"/>
      <c r="K296" s="3"/>
      <c r="L296" s="3"/>
    </row>
    <row r="297" spans="2:14" x14ac:dyDescent="0.25">
      <c r="B297" s="3"/>
      <c r="C297" s="3"/>
      <c r="D297" s="3"/>
      <c r="E297" s="3"/>
      <c r="F297" s="3"/>
      <c r="G297" s="3"/>
      <c r="H297" s="10"/>
      <c r="I297" s="3"/>
      <c r="J297" s="3"/>
      <c r="K297" s="3"/>
      <c r="L297" s="3"/>
    </row>
    <row r="298" spans="2:14" x14ac:dyDescent="0.25">
      <c r="B298" s="3"/>
      <c r="C298" s="3"/>
      <c r="D298" s="3"/>
      <c r="E298" s="3"/>
      <c r="F298" s="3"/>
      <c r="G298" s="3"/>
      <c r="H298" s="10"/>
      <c r="I298" s="3"/>
      <c r="J298" s="3"/>
      <c r="K298" s="3"/>
      <c r="L298" s="3"/>
      <c r="M298" s="3"/>
      <c r="N298" s="3"/>
    </row>
    <row r="299" spans="2:14" x14ac:dyDescent="0.25">
      <c r="B299" s="3"/>
      <c r="C299" s="3"/>
      <c r="D299" s="3"/>
      <c r="E299" s="3"/>
      <c r="F299" s="3"/>
      <c r="G299" s="3"/>
      <c r="H299" s="10"/>
      <c r="I299" s="3"/>
      <c r="J299" s="3"/>
      <c r="K299" s="3"/>
      <c r="L299" s="3"/>
    </row>
    <row r="300" spans="2:14" x14ac:dyDescent="0.25">
      <c r="B300" s="3"/>
      <c r="C300" s="3"/>
      <c r="D300" s="3"/>
      <c r="E300" s="3"/>
      <c r="F300" s="3"/>
      <c r="G300" s="3"/>
      <c r="H300" s="10"/>
      <c r="I300" s="3"/>
      <c r="J300" s="3"/>
      <c r="K300" s="3"/>
      <c r="L300" s="3"/>
    </row>
    <row r="301" spans="2:14" x14ac:dyDescent="0.25">
      <c r="B301" s="3"/>
      <c r="C301" s="3"/>
      <c r="D301" s="3"/>
      <c r="E301" s="3"/>
      <c r="F301" s="3"/>
      <c r="G301" s="3"/>
      <c r="H301" s="10"/>
      <c r="I301" s="3"/>
      <c r="J301" s="3"/>
      <c r="K301" s="3"/>
      <c r="L301" s="3"/>
      <c r="M301" s="3"/>
      <c r="N301" s="3"/>
    </row>
    <row r="302" spans="2:14" x14ac:dyDescent="0.25">
      <c r="B302" s="3"/>
      <c r="C302" s="3"/>
      <c r="D302" s="3"/>
      <c r="E302" s="3"/>
      <c r="F302" s="3"/>
      <c r="G302" s="3"/>
      <c r="H302" s="10"/>
      <c r="I302" s="3"/>
      <c r="J302" s="3"/>
      <c r="K302" s="3"/>
      <c r="L302" s="3"/>
    </row>
    <row r="303" spans="2:14" x14ac:dyDescent="0.25">
      <c r="B303" s="3"/>
      <c r="C303" s="3"/>
      <c r="D303" s="3"/>
      <c r="E303" s="3"/>
      <c r="F303" s="3"/>
      <c r="G303" s="3"/>
      <c r="H303" s="10"/>
      <c r="I303" s="3"/>
      <c r="J303" s="3"/>
      <c r="K303" s="3"/>
      <c r="L303" s="3"/>
    </row>
    <row r="304" spans="2:14" x14ac:dyDescent="0.25">
      <c r="B304" s="3"/>
      <c r="C304" s="3"/>
      <c r="D304" s="3"/>
      <c r="E304" s="3"/>
      <c r="F304" s="3"/>
      <c r="G304" s="3"/>
      <c r="H304" s="10"/>
      <c r="I304" s="3"/>
      <c r="J304" s="3"/>
      <c r="K304" s="3"/>
      <c r="L304" s="3"/>
      <c r="M304" s="3"/>
      <c r="N304" s="3"/>
    </row>
    <row r="305" spans="2:14" x14ac:dyDescent="0.25">
      <c r="B305" s="3"/>
      <c r="C305" s="3"/>
      <c r="D305" s="3"/>
      <c r="E305" s="3"/>
      <c r="F305" s="3"/>
      <c r="G305" s="3"/>
      <c r="H305" s="10"/>
      <c r="I305" s="3"/>
      <c r="J305" s="3"/>
      <c r="K305" s="3"/>
      <c r="L305" s="3"/>
    </row>
    <row r="306" spans="2:14" x14ac:dyDescent="0.25">
      <c r="B306" s="3"/>
      <c r="C306" s="3"/>
      <c r="D306" s="3"/>
      <c r="E306" s="3"/>
      <c r="F306" s="3"/>
      <c r="G306" s="3"/>
      <c r="H306" s="10"/>
      <c r="I306" s="3"/>
      <c r="J306" s="3"/>
      <c r="K306" s="3"/>
      <c r="L306" s="3"/>
    </row>
    <row r="307" spans="2:14" x14ac:dyDescent="0.25">
      <c r="B307" s="3"/>
      <c r="C307" s="3"/>
      <c r="D307" s="3"/>
      <c r="E307" s="3"/>
      <c r="F307" s="3"/>
      <c r="G307" s="3"/>
      <c r="H307" s="10"/>
      <c r="I307" s="3"/>
      <c r="J307" s="3"/>
      <c r="K307" s="3"/>
      <c r="L307" s="3"/>
      <c r="M307" s="3"/>
      <c r="N307" s="3"/>
    </row>
    <row r="308" spans="2:14" x14ac:dyDescent="0.25">
      <c r="B308" s="3"/>
      <c r="C308" s="3"/>
      <c r="D308" s="3"/>
      <c r="E308" s="3"/>
      <c r="F308" s="3"/>
      <c r="G308" s="3"/>
      <c r="H308" s="10"/>
      <c r="I308" s="3"/>
      <c r="J308" s="3"/>
      <c r="K308" s="3"/>
      <c r="L308" s="3"/>
    </row>
    <row r="309" spans="2:14" x14ac:dyDescent="0.25">
      <c r="B309" s="3"/>
      <c r="C309" s="3"/>
      <c r="D309" s="3"/>
      <c r="E309" s="3"/>
      <c r="F309" s="3"/>
      <c r="G309" s="3"/>
      <c r="H309" s="10"/>
      <c r="I309" s="3"/>
      <c r="J309" s="3"/>
      <c r="K309" s="3"/>
      <c r="L309" s="3"/>
    </row>
    <row r="310" spans="2:14" x14ac:dyDescent="0.25">
      <c r="B310" s="3"/>
      <c r="C310" s="3"/>
      <c r="D310" s="3"/>
      <c r="E310" s="3"/>
      <c r="F310" s="3"/>
      <c r="G310" s="3"/>
      <c r="H310" s="10"/>
      <c r="I310" s="3"/>
      <c r="J310" s="3"/>
      <c r="K310" s="3"/>
      <c r="L310" s="3"/>
      <c r="M310" s="3"/>
      <c r="N310" s="3"/>
    </row>
    <row r="311" spans="2:14" x14ac:dyDescent="0.25">
      <c r="B311" s="3"/>
      <c r="C311" s="3"/>
      <c r="D311" s="3"/>
      <c r="E311" s="3"/>
      <c r="F311" s="3"/>
      <c r="G311" s="3"/>
      <c r="H311" s="10"/>
      <c r="I311" s="3"/>
      <c r="J311" s="3"/>
      <c r="K311" s="3"/>
      <c r="L311" s="3"/>
    </row>
    <row r="312" spans="2:14" x14ac:dyDescent="0.25">
      <c r="B312" s="3"/>
      <c r="C312" s="3"/>
      <c r="D312" s="3"/>
      <c r="E312" s="3"/>
      <c r="F312" s="3"/>
      <c r="G312" s="3"/>
      <c r="H312" s="10"/>
      <c r="I312" s="3"/>
      <c r="J312" s="3"/>
      <c r="K312" s="3"/>
      <c r="L312" s="3"/>
    </row>
    <row r="313" spans="2:14" x14ac:dyDescent="0.25">
      <c r="B313" s="3"/>
      <c r="C313" s="3"/>
      <c r="D313" s="3"/>
      <c r="E313" s="3"/>
      <c r="F313" s="3"/>
      <c r="G313" s="3"/>
      <c r="H313" s="10"/>
      <c r="I313" s="3"/>
      <c r="J313" s="3"/>
      <c r="K313" s="3"/>
      <c r="L313" s="3"/>
      <c r="M313" s="3"/>
      <c r="N313" s="3"/>
    </row>
    <row r="314" spans="2:14" x14ac:dyDescent="0.25">
      <c r="B314" s="3"/>
      <c r="C314" s="3"/>
      <c r="D314" s="3"/>
      <c r="E314" s="3"/>
      <c r="F314" s="3"/>
      <c r="G314" s="3"/>
      <c r="H314" s="10"/>
      <c r="I314" s="3"/>
      <c r="J314" s="3"/>
      <c r="K314" s="3"/>
      <c r="L314" s="3"/>
    </row>
    <row r="315" spans="2:14" x14ac:dyDescent="0.25">
      <c r="B315" s="3"/>
      <c r="C315" s="3"/>
      <c r="D315" s="3"/>
      <c r="E315" s="3"/>
      <c r="F315" s="3"/>
      <c r="G315" s="3"/>
      <c r="H315" s="10"/>
      <c r="I315" s="3"/>
      <c r="J315" s="3"/>
      <c r="K315" s="3"/>
      <c r="L315" s="3"/>
    </row>
    <row r="316" spans="2:14" x14ac:dyDescent="0.25">
      <c r="B316" s="3"/>
      <c r="C316" s="3"/>
      <c r="D316" s="3"/>
      <c r="E316" s="3"/>
      <c r="F316" s="3"/>
      <c r="G316" s="3"/>
      <c r="H316" s="10"/>
      <c r="I316" s="3"/>
      <c r="J316" s="3"/>
      <c r="K316" s="3"/>
      <c r="L316" s="3"/>
      <c r="M316" s="3"/>
      <c r="N316" s="3"/>
    </row>
    <row r="317" spans="2:14" x14ac:dyDescent="0.25">
      <c r="B317" s="3"/>
      <c r="C317" s="3"/>
      <c r="D317" s="3"/>
      <c r="E317" s="3"/>
      <c r="F317" s="3"/>
      <c r="G317" s="3"/>
      <c r="H317" s="10"/>
      <c r="I317" s="3"/>
      <c r="J317" s="3"/>
      <c r="K317" s="3"/>
      <c r="L317" s="3"/>
    </row>
    <row r="318" spans="2:14" x14ac:dyDescent="0.25">
      <c r="B318" s="3"/>
      <c r="C318" s="3"/>
      <c r="D318" s="3"/>
      <c r="E318" s="3"/>
      <c r="F318" s="3"/>
      <c r="G318" s="3"/>
      <c r="H318" s="10"/>
      <c r="I318" s="3"/>
      <c r="J318" s="3"/>
      <c r="K318" s="3"/>
      <c r="L318" s="3"/>
    </row>
    <row r="319" spans="2:14" x14ac:dyDescent="0.25">
      <c r="B319" s="3"/>
      <c r="C319" s="3"/>
      <c r="D319" s="3"/>
      <c r="E319" s="3"/>
      <c r="F319" s="3"/>
      <c r="G319" s="3"/>
      <c r="H319" s="10"/>
      <c r="I319" s="3"/>
      <c r="J319" s="3"/>
      <c r="K319" s="3"/>
      <c r="L319" s="3"/>
      <c r="M319" s="3"/>
      <c r="N319" s="3"/>
    </row>
    <row r="320" spans="2:14" x14ac:dyDescent="0.25">
      <c r="B320" s="3"/>
      <c r="C320" s="3"/>
      <c r="D320" s="3"/>
      <c r="E320" s="3"/>
      <c r="F320" s="3"/>
      <c r="G320" s="3"/>
      <c r="H320" s="10"/>
      <c r="I320" s="3"/>
      <c r="J320" s="3"/>
      <c r="K320" s="3"/>
      <c r="L320" s="3"/>
    </row>
    <row r="321" spans="2:14" x14ac:dyDescent="0.25">
      <c r="B321" s="3"/>
      <c r="C321" s="3"/>
      <c r="D321" s="3"/>
      <c r="E321" s="3"/>
      <c r="F321" s="3"/>
      <c r="G321" s="3"/>
      <c r="H321" s="10"/>
      <c r="I321" s="3"/>
      <c r="J321" s="3"/>
      <c r="K321" s="3"/>
      <c r="L321" s="3"/>
    </row>
    <row r="322" spans="2:14" x14ac:dyDescent="0.25">
      <c r="B322" s="3"/>
      <c r="C322" s="3"/>
      <c r="D322" s="3"/>
      <c r="E322" s="3"/>
      <c r="F322" s="3"/>
      <c r="G322" s="3"/>
      <c r="H322" s="10"/>
      <c r="I322" s="3"/>
      <c r="J322" s="3"/>
      <c r="K322" s="3"/>
      <c r="L322" s="3"/>
      <c r="M322" s="3"/>
      <c r="N322" s="3"/>
    </row>
    <row r="323" spans="2:14" x14ac:dyDescent="0.25">
      <c r="B323" s="3"/>
      <c r="C323" s="3"/>
      <c r="D323" s="3"/>
      <c r="E323" s="3"/>
      <c r="F323" s="3"/>
      <c r="G323" s="3"/>
      <c r="H323" s="10"/>
      <c r="I323" s="3"/>
      <c r="J323" s="3"/>
      <c r="K323" s="3"/>
      <c r="L323" s="3"/>
    </row>
    <row r="324" spans="2:14" x14ac:dyDescent="0.25">
      <c r="B324" s="3"/>
      <c r="C324" s="3"/>
      <c r="D324" s="3"/>
      <c r="E324" s="3"/>
      <c r="F324" s="3"/>
      <c r="G324" s="3"/>
      <c r="H324" s="10"/>
      <c r="I324" s="3"/>
      <c r="J324" s="3"/>
      <c r="K324" s="3"/>
      <c r="L324" s="3"/>
    </row>
    <row r="325" spans="2:14" x14ac:dyDescent="0.25">
      <c r="B325" s="3"/>
      <c r="C325" s="3"/>
      <c r="D325" s="3"/>
      <c r="E325" s="3"/>
      <c r="F325" s="3"/>
      <c r="G325" s="3"/>
      <c r="H325" s="10"/>
      <c r="I325" s="3"/>
      <c r="J325" s="3"/>
      <c r="K325" s="3"/>
      <c r="L325" s="3"/>
      <c r="M325" s="3"/>
      <c r="N325" s="3"/>
    </row>
    <row r="326" spans="2:14" x14ac:dyDescent="0.25">
      <c r="B326" s="3"/>
      <c r="C326" s="3"/>
      <c r="D326" s="3"/>
      <c r="E326" s="3"/>
      <c r="F326" s="3"/>
      <c r="G326" s="3"/>
      <c r="H326" s="10"/>
      <c r="I326" s="3"/>
      <c r="J326" s="3"/>
      <c r="K326" s="3"/>
      <c r="L326" s="3"/>
    </row>
    <row r="327" spans="2:14" x14ac:dyDescent="0.25">
      <c r="B327" s="3"/>
      <c r="C327" s="3"/>
      <c r="D327" s="3"/>
      <c r="E327" s="3"/>
      <c r="F327" s="3"/>
      <c r="G327" s="3"/>
      <c r="H327" s="10"/>
      <c r="I327" s="3"/>
      <c r="J327" s="3"/>
      <c r="K327" s="3"/>
      <c r="L327" s="3"/>
    </row>
    <row r="328" spans="2:14" x14ac:dyDescent="0.25">
      <c r="B328" s="3"/>
      <c r="C328" s="3"/>
      <c r="D328" s="3"/>
      <c r="E328" s="3"/>
      <c r="F328" s="3"/>
      <c r="G328" s="3"/>
      <c r="H328" s="10"/>
      <c r="I328" s="3"/>
      <c r="J328" s="3"/>
      <c r="K328" s="3"/>
      <c r="L328" s="3"/>
      <c r="M328" s="3"/>
      <c r="N328" s="3"/>
    </row>
    <row r="329" spans="2:14" x14ac:dyDescent="0.25">
      <c r="B329" s="3"/>
      <c r="C329" s="3"/>
      <c r="D329" s="3"/>
      <c r="E329" s="3"/>
      <c r="F329" s="3"/>
      <c r="G329" s="3"/>
      <c r="H329" s="10"/>
      <c r="I329" s="3"/>
      <c r="J329" s="3"/>
      <c r="K329" s="3"/>
      <c r="L329" s="3"/>
    </row>
    <row r="330" spans="2:14" x14ac:dyDescent="0.25">
      <c r="B330" s="3"/>
      <c r="C330" s="3"/>
      <c r="D330" s="3"/>
      <c r="E330" s="3"/>
      <c r="F330" s="3"/>
      <c r="G330" s="3"/>
      <c r="H330" s="10"/>
      <c r="I330" s="3"/>
      <c r="J330" s="3"/>
      <c r="K330" s="3"/>
      <c r="L330" s="3"/>
    </row>
    <row r="331" spans="2:14" x14ac:dyDescent="0.25">
      <c r="B331" s="3"/>
      <c r="C331" s="3"/>
      <c r="D331" s="3"/>
      <c r="E331" s="3"/>
      <c r="F331" s="3"/>
      <c r="G331" s="3"/>
      <c r="H331" s="10"/>
      <c r="I331" s="3"/>
      <c r="J331" s="3"/>
      <c r="K331" s="3"/>
      <c r="L331" s="3"/>
      <c r="M331" s="3"/>
      <c r="N331" s="3"/>
    </row>
    <row r="332" spans="2:14" x14ac:dyDescent="0.25">
      <c r="B332" s="3"/>
      <c r="C332" s="3"/>
      <c r="D332" s="3"/>
      <c r="E332" s="3"/>
      <c r="F332" s="3"/>
      <c r="G332" s="3"/>
      <c r="H332" s="10"/>
      <c r="I332" s="3"/>
      <c r="J332" s="3"/>
      <c r="K332" s="3"/>
      <c r="L332" s="3"/>
    </row>
    <row r="333" spans="2:14" x14ac:dyDescent="0.25">
      <c r="B333" s="3"/>
      <c r="C333" s="3"/>
      <c r="D333" s="3"/>
      <c r="E333" s="3"/>
      <c r="F333" s="3"/>
      <c r="G333" s="3"/>
      <c r="H333" s="10"/>
      <c r="I333" s="3"/>
      <c r="J333" s="3"/>
      <c r="K333" s="3"/>
      <c r="L333" s="3"/>
    </row>
    <row r="334" spans="2:14" x14ac:dyDescent="0.25">
      <c r="B334" s="3"/>
      <c r="C334" s="3"/>
      <c r="D334" s="3"/>
      <c r="E334" s="3"/>
      <c r="F334" s="3"/>
      <c r="G334" s="3"/>
      <c r="H334" s="10"/>
      <c r="I334" s="3"/>
      <c r="J334" s="3"/>
      <c r="K334" s="3"/>
      <c r="L334" s="3"/>
      <c r="M334" s="3"/>
      <c r="N334" s="3"/>
    </row>
    <row r="335" spans="2:14" x14ac:dyDescent="0.25">
      <c r="B335" s="3"/>
      <c r="C335" s="3"/>
      <c r="D335" s="3"/>
      <c r="E335" s="3"/>
      <c r="F335" s="3"/>
      <c r="G335" s="3"/>
      <c r="H335" s="10"/>
      <c r="I335" s="3"/>
      <c r="J335" s="3"/>
      <c r="K335" s="3"/>
      <c r="L335" s="3"/>
    </row>
    <row r="336" spans="2:14" x14ac:dyDescent="0.25">
      <c r="B336" s="3"/>
      <c r="C336" s="3"/>
      <c r="D336" s="3"/>
      <c r="E336" s="3"/>
      <c r="F336" s="3"/>
      <c r="G336" s="3"/>
      <c r="H336" s="10"/>
      <c r="I336" s="3"/>
      <c r="J336" s="3"/>
      <c r="K336" s="3"/>
      <c r="L336" s="3"/>
    </row>
    <row r="337" spans="2:14" x14ac:dyDescent="0.25">
      <c r="B337" s="3"/>
      <c r="C337" s="3"/>
      <c r="D337" s="3"/>
      <c r="E337" s="3"/>
      <c r="F337" s="3"/>
      <c r="G337" s="3"/>
      <c r="H337" s="10"/>
      <c r="I337" s="3"/>
      <c r="J337" s="3"/>
      <c r="K337" s="3"/>
      <c r="L337" s="3"/>
      <c r="M337" s="3"/>
      <c r="N337" s="3"/>
    </row>
    <row r="338" spans="2:14" x14ac:dyDescent="0.25">
      <c r="B338" s="3"/>
      <c r="C338" s="3"/>
      <c r="D338" s="3"/>
      <c r="E338" s="3"/>
      <c r="F338" s="3"/>
      <c r="G338" s="3"/>
      <c r="H338" s="10"/>
      <c r="I338" s="3"/>
      <c r="J338" s="3"/>
      <c r="K338" s="3"/>
      <c r="L338" s="3"/>
    </row>
    <row r="339" spans="2:14" x14ac:dyDescent="0.25">
      <c r="B339" s="3"/>
      <c r="C339" s="3"/>
      <c r="D339" s="3"/>
      <c r="E339" s="3"/>
      <c r="F339" s="3"/>
      <c r="G339" s="3"/>
      <c r="H339" s="10"/>
      <c r="I339" s="3"/>
      <c r="J339" s="3"/>
      <c r="K339" s="3"/>
      <c r="L339" s="3"/>
    </row>
    <row r="340" spans="2:14" x14ac:dyDescent="0.25">
      <c r="B340" s="3"/>
      <c r="C340" s="3"/>
      <c r="D340" s="3"/>
      <c r="E340" s="3"/>
      <c r="F340" s="3"/>
      <c r="G340" s="3"/>
      <c r="H340" s="10"/>
      <c r="I340" s="3"/>
      <c r="J340" s="3"/>
      <c r="K340" s="3"/>
      <c r="L340" s="3"/>
      <c r="M340" s="3"/>
      <c r="N340" s="3"/>
    </row>
    <row r="341" spans="2:14" x14ac:dyDescent="0.25">
      <c r="B341" s="3"/>
      <c r="C341" s="3"/>
      <c r="D341" s="3"/>
      <c r="E341" s="3"/>
      <c r="F341" s="3"/>
      <c r="G341" s="3"/>
      <c r="H341" s="10"/>
      <c r="I341" s="3"/>
      <c r="J341" s="3"/>
      <c r="K341" s="3"/>
      <c r="L341" s="3"/>
    </row>
    <row r="342" spans="2:14" x14ac:dyDescent="0.25">
      <c r="B342" s="3"/>
      <c r="C342" s="3"/>
      <c r="D342" s="3"/>
      <c r="E342" s="3"/>
      <c r="F342" s="3"/>
      <c r="G342" s="3"/>
      <c r="H342" s="10"/>
      <c r="I342" s="3"/>
      <c r="J342" s="3"/>
      <c r="K342" s="3"/>
      <c r="L342" s="3"/>
    </row>
    <row r="343" spans="2:14" x14ac:dyDescent="0.25">
      <c r="B343" s="3"/>
      <c r="C343" s="3"/>
      <c r="D343" s="3"/>
      <c r="E343" s="3"/>
      <c r="F343" s="3"/>
      <c r="G343" s="3"/>
      <c r="H343" s="10"/>
      <c r="I343" s="3"/>
      <c r="J343" s="3"/>
      <c r="K343" s="3"/>
      <c r="L343" s="3"/>
      <c r="M343" s="3"/>
      <c r="N343" s="3"/>
    </row>
    <row r="344" spans="2:14" x14ac:dyDescent="0.25">
      <c r="B344" s="3"/>
      <c r="C344" s="3"/>
      <c r="D344" s="3"/>
      <c r="E344" s="3"/>
      <c r="F344" s="3"/>
      <c r="G344" s="3"/>
      <c r="H344" s="10"/>
      <c r="I344" s="3"/>
      <c r="J344" s="3"/>
      <c r="K344" s="3"/>
      <c r="L344" s="3"/>
    </row>
    <row r="345" spans="2:14" x14ac:dyDescent="0.25">
      <c r="B345" s="3"/>
      <c r="C345" s="3"/>
      <c r="D345" s="3"/>
      <c r="E345" s="3"/>
      <c r="F345" s="3"/>
      <c r="G345" s="3"/>
      <c r="H345" s="10"/>
      <c r="I345" s="3"/>
      <c r="J345" s="3"/>
      <c r="K345" s="3"/>
      <c r="L345" s="3"/>
    </row>
    <row r="346" spans="2:14" x14ac:dyDescent="0.25">
      <c r="B346" s="3"/>
      <c r="C346" s="3"/>
      <c r="D346" s="3"/>
      <c r="E346" s="3"/>
      <c r="F346" s="3"/>
      <c r="G346" s="3"/>
      <c r="H346" s="10"/>
      <c r="I346" s="3"/>
      <c r="J346" s="3"/>
      <c r="K346" s="3"/>
      <c r="L346" s="3"/>
      <c r="M346" s="3"/>
      <c r="N346" s="3"/>
    </row>
    <row r="347" spans="2:14" x14ac:dyDescent="0.25">
      <c r="B347" s="3"/>
      <c r="C347" s="3"/>
      <c r="D347" s="3"/>
      <c r="E347" s="3"/>
      <c r="F347" s="3"/>
      <c r="G347" s="3"/>
      <c r="H347" s="10"/>
      <c r="I347" s="3"/>
      <c r="J347" s="3"/>
      <c r="K347" s="3"/>
      <c r="L347" s="3"/>
    </row>
    <row r="348" spans="2:14" x14ac:dyDescent="0.25">
      <c r="B348" s="3"/>
      <c r="C348" s="3"/>
      <c r="D348" s="3"/>
      <c r="E348" s="3"/>
      <c r="F348" s="3"/>
      <c r="G348" s="3"/>
      <c r="H348" s="10"/>
      <c r="I348" s="3"/>
      <c r="J348" s="3"/>
      <c r="K348" s="3"/>
      <c r="L348" s="3"/>
    </row>
    <row r="349" spans="2:14" x14ac:dyDescent="0.25">
      <c r="B349" s="3"/>
      <c r="C349" s="3"/>
      <c r="D349" s="3"/>
      <c r="E349" s="3"/>
      <c r="F349" s="3"/>
      <c r="G349" s="3"/>
      <c r="H349" s="10"/>
      <c r="I349" s="3"/>
      <c r="J349" s="3"/>
      <c r="K349" s="3"/>
      <c r="L349" s="3"/>
      <c r="M349" s="3"/>
      <c r="N349" s="3"/>
    </row>
    <row r="350" spans="2:14" x14ac:dyDescent="0.25">
      <c r="B350" s="3"/>
      <c r="C350" s="3"/>
      <c r="D350" s="3"/>
      <c r="E350" s="3"/>
      <c r="F350" s="3"/>
      <c r="G350" s="3"/>
      <c r="H350" s="10"/>
      <c r="I350" s="3"/>
      <c r="J350" s="3"/>
      <c r="K350" s="3"/>
      <c r="L350" s="3"/>
    </row>
    <row r="351" spans="2:14" x14ac:dyDescent="0.25">
      <c r="B351" s="3"/>
      <c r="C351" s="3"/>
      <c r="D351" s="3"/>
      <c r="E351" s="3"/>
      <c r="F351" s="3"/>
      <c r="G351" s="3"/>
      <c r="H351" s="10"/>
      <c r="I351" s="3"/>
      <c r="J351" s="3"/>
      <c r="K351" s="3"/>
      <c r="L351" s="3"/>
    </row>
    <row r="352" spans="2:14" x14ac:dyDescent="0.25">
      <c r="B352" s="3"/>
      <c r="C352" s="3"/>
      <c r="D352" s="3"/>
      <c r="E352" s="3"/>
      <c r="F352" s="3"/>
      <c r="G352" s="3"/>
      <c r="H352" s="10"/>
      <c r="I352" s="3"/>
      <c r="J352" s="3"/>
      <c r="K352" s="3"/>
      <c r="L352" s="3"/>
      <c r="M352" s="3"/>
      <c r="N352" s="3"/>
    </row>
    <row r="353" spans="2:14" x14ac:dyDescent="0.25">
      <c r="B353" s="3"/>
      <c r="C353" s="3"/>
      <c r="D353" s="3"/>
      <c r="E353" s="3"/>
      <c r="F353" s="3"/>
      <c r="G353" s="3"/>
      <c r="H353" s="10"/>
      <c r="I353" s="3"/>
      <c r="J353" s="3"/>
      <c r="K353" s="3"/>
      <c r="L353" s="3"/>
    </row>
    <row r="354" spans="2:14" x14ac:dyDescent="0.25">
      <c r="B354" s="3"/>
      <c r="C354" s="3"/>
      <c r="D354" s="3"/>
      <c r="E354" s="3"/>
      <c r="F354" s="3"/>
      <c r="G354" s="3"/>
      <c r="H354" s="10"/>
      <c r="I354" s="3"/>
      <c r="J354" s="3"/>
      <c r="K354" s="3"/>
      <c r="L354" s="3"/>
    </row>
    <row r="355" spans="2:14" x14ac:dyDescent="0.25">
      <c r="B355" s="3"/>
      <c r="C355" s="3"/>
      <c r="D355" s="3"/>
      <c r="E355" s="3"/>
      <c r="F355" s="3"/>
      <c r="G355" s="3"/>
      <c r="H355" s="10"/>
      <c r="I355" s="3"/>
      <c r="J355" s="3"/>
      <c r="K355" s="3"/>
      <c r="L355" s="3"/>
      <c r="M355" s="3"/>
      <c r="N355" s="3"/>
    </row>
    <row r="356" spans="2:14" x14ac:dyDescent="0.25">
      <c r="B356" s="3"/>
      <c r="C356" s="3"/>
      <c r="D356" s="3"/>
      <c r="E356" s="3"/>
      <c r="F356" s="3"/>
      <c r="G356" s="3"/>
      <c r="H356" s="10"/>
      <c r="I356" s="3"/>
      <c r="J356" s="3"/>
      <c r="K356" s="3"/>
      <c r="L356" s="3"/>
    </row>
    <row r="357" spans="2:14" x14ac:dyDescent="0.25"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</row>
    <row r="358" spans="2:14" x14ac:dyDescent="0.25">
      <c r="B358" s="3"/>
      <c r="C358" s="3"/>
      <c r="D358" s="3"/>
      <c r="E358" s="3"/>
      <c r="F358" s="3"/>
      <c r="G358" s="3"/>
      <c r="H358" s="10"/>
      <c r="I358" s="3"/>
      <c r="J358" s="3"/>
      <c r="K358" s="3"/>
      <c r="L358" s="3"/>
      <c r="M358" s="3"/>
      <c r="N358" s="3"/>
    </row>
    <row r="359" spans="2:14" x14ac:dyDescent="0.25">
      <c r="B359" s="3"/>
      <c r="C359" s="3"/>
      <c r="D359" s="3"/>
      <c r="E359" s="3"/>
      <c r="F359" s="3"/>
      <c r="G359" s="3"/>
      <c r="H359" s="10"/>
      <c r="I359" s="3"/>
      <c r="J359" s="3"/>
      <c r="K359" s="3"/>
      <c r="L359" s="3"/>
    </row>
    <row r="360" spans="2:14" x14ac:dyDescent="0.25">
      <c r="B360" s="3"/>
      <c r="C360" s="3"/>
      <c r="D360" s="3"/>
      <c r="E360" s="3"/>
      <c r="F360" s="3"/>
      <c r="G360" s="3"/>
      <c r="H360" s="10"/>
      <c r="I360" s="3"/>
      <c r="J360" s="3"/>
      <c r="K360" s="3"/>
      <c r="L360" s="3"/>
    </row>
    <row r="361" spans="2:14" x14ac:dyDescent="0.25">
      <c r="B361" s="3"/>
      <c r="C361" s="3"/>
      <c r="D361" s="3"/>
      <c r="E361" s="3"/>
      <c r="F361" s="3"/>
      <c r="G361" s="3"/>
      <c r="H361" s="10"/>
      <c r="I361" s="3"/>
      <c r="J361" s="3"/>
      <c r="K361" s="3"/>
      <c r="L361" s="3"/>
      <c r="M361" s="3"/>
      <c r="N361" s="3"/>
    </row>
    <row r="362" spans="2:14" x14ac:dyDescent="0.25">
      <c r="B362" s="3"/>
      <c r="C362" s="3"/>
      <c r="D362" s="3"/>
      <c r="E362" s="3"/>
      <c r="F362" s="3"/>
      <c r="G362" s="3"/>
      <c r="H362" s="10"/>
      <c r="I362" s="3"/>
      <c r="J362" s="3"/>
      <c r="K362" s="3"/>
      <c r="L362" s="3"/>
    </row>
    <row r="363" spans="2:14" x14ac:dyDescent="0.25">
      <c r="B363" s="3"/>
      <c r="C363" s="3"/>
      <c r="D363" s="3"/>
      <c r="E363" s="3"/>
      <c r="F363" s="3"/>
      <c r="G363" s="3"/>
      <c r="H363" s="10"/>
      <c r="I363" s="3"/>
      <c r="J363" s="3"/>
      <c r="K363" s="3"/>
      <c r="L363" s="3"/>
    </row>
    <row r="364" spans="2:14" x14ac:dyDescent="0.25">
      <c r="B364" s="3"/>
      <c r="C364" s="3"/>
      <c r="D364" s="3"/>
      <c r="E364" s="3"/>
      <c r="F364" s="3"/>
      <c r="G364" s="3"/>
      <c r="H364" s="10"/>
      <c r="I364" s="3"/>
      <c r="J364" s="3"/>
      <c r="K364" s="3"/>
      <c r="L364" s="3"/>
      <c r="M364" s="3"/>
      <c r="N364" s="3"/>
    </row>
    <row r="365" spans="2:14" x14ac:dyDescent="0.25">
      <c r="B365" s="3"/>
      <c r="C365" s="3"/>
      <c r="D365" s="3"/>
      <c r="E365" s="3"/>
      <c r="F365" s="3"/>
      <c r="G365" s="3"/>
      <c r="H365" s="10"/>
      <c r="I365" s="3"/>
      <c r="J365" s="3"/>
      <c r="K365" s="3"/>
      <c r="L365" s="3"/>
    </row>
    <row r="366" spans="2:14" x14ac:dyDescent="0.25">
      <c r="B366" s="3"/>
      <c r="C366" s="3"/>
      <c r="D366" s="3"/>
      <c r="E366" s="3"/>
      <c r="F366" s="3"/>
      <c r="G366" s="3"/>
      <c r="H366" s="10"/>
      <c r="I366" s="3"/>
      <c r="J366" s="3"/>
      <c r="K366" s="3"/>
      <c r="L366" s="3"/>
    </row>
    <row r="367" spans="2:14" x14ac:dyDescent="0.25">
      <c r="B367" s="3"/>
      <c r="C367" s="3"/>
      <c r="D367" s="3"/>
      <c r="E367" s="3"/>
      <c r="F367" s="3"/>
      <c r="G367" s="3"/>
      <c r="H367" s="10"/>
      <c r="I367" s="3"/>
      <c r="J367" s="3"/>
      <c r="K367" s="3"/>
      <c r="L367" s="3"/>
      <c r="M367" s="3"/>
      <c r="N367" s="3"/>
    </row>
    <row r="368" spans="2:14" x14ac:dyDescent="0.25">
      <c r="B368" s="3"/>
      <c r="C368" s="3"/>
      <c r="D368" s="3"/>
      <c r="E368" s="3"/>
      <c r="F368" s="3"/>
      <c r="G368" s="3"/>
      <c r="H368" s="10"/>
      <c r="I368" s="3"/>
      <c r="J368" s="3"/>
      <c r="K368" s="3"/>
      <c r="L368" s="3"/>
    </row>
    <row r="369" spans="2:14" x14ac:dyDescent="0.25">
      <c r="B369" s="3"/>
      <c r="C369" s="3"/>
      <c r="D369" s="3"/>
      <c r="E369" s="3"/>
      <c r="F369" s="3"/>
      <c r="G369" s="3"/>
      <c r="H369" s="10"/>
      <c r="I369" s="3"/>
      <c r="J369" s="3"/>
      <c r="K369" s="3"/>
      <c r="L369" s="3"/>
    </row>
    <row r="370" spans="2:14" x14ac:dyDescent="0.25">
      <c r="B370" s="3"/>
      <c r="C370" s="3"/>
      <c r="D370" s="3"/>
      <c r="E370" s="3"/>
      <c r="F370" s="3"/>
      <c r="G370" s="3"/>
      <c r="H370" s="10"/>
      <c r="I370" s="3"/>
      <c r="J370" s="3"/>
      <c r="K370" s="3"/>
      <c r="L370" s="3"/>
      <c r="M370" s="3"/>
      <c r="N370" s="3"/>
    </row>
    <row r="371" spans="2:14" x14ac:dyDescent="0.25">
      <c r="B371" s="3"/>
      <c r="C371" s="3"/>
      <c r="D371" s="3"/>
      <c r="E371" s="3"/>
      <c r="F371" s="3"/>
      <c r="G371" s="3"/>
      <c r="H371" s="10"/>
      <c r="I371" s="3"/>
      <c r="J371" s="3"/>
      <c r="K371" s="3"/>
      <c r="L371" s="3"/>
    </row>
    <row r="372" spans="2:14" x14ac:dyDescent="0.25">
      <c r="B372" s="3"/>
      <c r="C372" s="3"/>
      <c r="D372" s="3"/>
      <c r="E372" s="3"/>
      <c r="F372" s="3"/>
      <c r="G372" s="3"/>
      <c r="H372" s="10"/>
      <c r="I372" s="3"/>
      <c r="J372" s="3"/>
      <c r="K372" s="3"/>
      <c r="L372" s="3"/>
    </row>
    <row r="373" spans="2:14" x14ac:dyDescent="0.25">
      <c r="B373" s="3"/>
      <c r="C373" s="3"/>
      <c r="D373" s="3"/>
      <c r="E373" s="3"/>
      <c r="F373" s="3"/>
      <c r="G373" s="3"/>
      <c r="H373" s="10"/>
      <c r="I373" s="3"/>
      <c r="J373" s="3"/>
      <c r="K373" s="3"/>
      <c r="L373" s="3"/>
      <c r="M373" s="3"/>
      <c r="N373" s="3"/>
    </row>
    <row r="374" spans="2:14" x14ac:dyDescent="0.25">
      <c r="B374" s="3"/>
      <c r="C374" s="3"/>
      <c r="D374" s="3"/>
      <c r="E374" s="3"/>
      <c r="F374" s="3"/>
      <c r="G374" s="3"/>
      <c r="H374" s="10"/>
      <c r="I374" s="3"/>
      <c r="J374" s="3"/>
      <c r="K374" s="3"/>
      <c r="L374" s="3"/>
    </row>
    <row r="375" spans="2:14" x14ac:dyDescent="0.25">
      <c r="B375" s="3"/>
      <c r="C375" s="3"/>
      <c r="D375" s="3"/>
      <c r="E375" s="3"/>
      <c r="F375" s="3"/>
      <c r="G375" s="3"/>
      <c r="H375" s="10"/>
      <c r="I375" s="3"/>
      <c r="J375" s="3"/>
      <c r="K375" s="3"/>
      <c r="L375" s="3"/>
    </row>
    <row r="376" spans="2:14" x14ac:dyDescent="0.25">
      <c r="B376" s="3"/>
      <c r="C376" s="3"/>
      <c r="D376" s="3"/>
      <c r="E376" s="3"/>
      <c r="F376" s="3"/>
      <c r="G376" s="3"/>
      <c r="H376" s="10"/>
      <c r="I376" s="3"/>
      <c r="J376" s="3"/>
      <c r="K376" s="3"/>
      <c r="L376" s="3"/>
      <c r="M376" s="3"/>
      <c r="N376" s="3"/>
    </row>
    <row r="377" spans="2:14" x14ac:dyDescent="0.25">
      <c r="B377" s="3"/>
      <c r="C377" s="3"/>
      <c r="D377" s="3"/>
      <c r="E377" s="3"/>
      <c r="F377" s="3"/>
      <c r="G377" s="3"/>
      <c r="H377" s="10"/>
      <c r="I377" s="3"/>
      <c r="J377" s="3"/>
      <c r="K377" s="3"/>
      <c r="L377" s="3"/>
    </row>
    <row r="378" spans="2:14" x14ac:dyDescent="0.25">
      <c r="B378" s="3"/>
      <c r="C378" s="3"/>
      <c r="D378" s="3"/>
      <c r="E378" s="3"/>
      <c r="F378" s="3"/>
      <c r="G378" s="3"/>
      <c r="H378" s="10"/>
      <c r="I378" s="3"/>
      <c r="J378" s="3"/>
      <c r="K378" s="3"/>
      <c r="L378" s="3"/>
    </row>
    <row r="379" spans="2:14" x14ac:dyDescent="0.25">
      <c r="B379" s="3"/>
      <c r="C379" s="3"/>
      <c r="D379" s="3"/>
      <c r="E379" s="3"/>
      <c r="F379" s="3"/>
      <c r="G379" s="3"/>
      <c r="H379" s="10"/>
      <c r="I379" s="3"/>
      <c r="J379" s="3"/>
      <c r="K379" s="3"/>
      <c r="L379" s="3"/>
      <c r="M379" s="3"/>
      <c r="N379" s="3"/>
    </row>
    <row r="380" spans="2:14" x14ac:dyDescent="0.25">
      <c r="B380" s="3"/>
      <c r="C380" s="3"/>
      <c r="D380" s="3"/>
      <c r="E380" s="3"/>
      <c r="F380" s="3"/>
      <c r="G380" s="3"/>
      <c r="H380" s="10"/>
      <c r="I380" s="3"/>
      <c r="J380" s="3"/>
      <c r="K380" s="3"/>
      <c r="L380" s="3"/>
    </row>
    <row r="381" spans="2:14" x14ac:dyDescent="0.25">
      <c r="B381" s="3"/>
      <c r="C381" s="3"/>
      <c r="D381" s="3"/>
      <c r="E381" s="3"/>
      <c r="F381" s="3"/>
      <c r="G381" s="3"/>
      <c r="H381" s="10"/>
      <c r="I381" s="3"/>
      <c r="J381" s="3"/>
      <c r="K381" s="3"/>
      <c r="L381" s="3"/>
    </row>
    <row r="382" spans="2:14" x14ac:dyDescent="0.25">
      <c r="B382" s="3"/>
      <c r="C382" s="3"/>
      <c r="D382" s="3"/>
      <c r="E382" s="3"/>
      <c r="F382" s="3"/>
      <c r="G382" s="3"/>
      <c r="H382" s="10"/>
      <c r="I382" s="3"/>
      <c r="J382" s="3"/>
      <c r="K382" s="3"/>
      <c r="L382" s="3"/>
      <c r="M382" s="3"/>
      <c r="N382" s="3"/>
    </row>
    <row r="383" spans="2:14" x14ac:dyDescent="0.25">
      <c r="B383" s="3"/>
      <c r="C383" s="3"/>
      <c r="D383" s="3"/>
      <c r="E383" s="3"/>
      <c r="F383" s="3"/>
      <c r="G383" s="3"/>
      <c r="H383" s="10"/>
      <c r="I383" s="3"/>
      <c r="J383" s="3"/>
      <c r="K383" s="3"/>
      <c r="L383" s="3"/>
    </row>
    <row r="384" spans="2:14" x14ac:dyDescent="0.25">
      <c r="B384" s="3"/>
      <c r="C384" s="3"/>
      <c r="D384" s="3"/>
      <c r="E384" s="3"/>
      <c r="F384" s="3"/>
      <c r="G384" s="3"/>
      <c r="H384" s="10"/>
      <c r="I384" s="3"/>
      <c r="J384" s="3"/>
      <c r="K384" s="3"/>
      <c r="L384" s="3"/>
    </row>
    <row r="385" spans="2:14" x14ac:dyDescent="0.25">
      <c r="B385" s="3"/>
      <c r="C385" s="3"/>
      <c r="D385" s="3"/>
      <c r="E385" s="3"/>
      <c r="F385" s="3"/>
      <c r="G385" s="3"/>
      <c r="H385" s="10"/>
      <c r="I385" s="3"/>
      <c r="J385" s="3"/>
      <c r="K385" s="3"/>
      <c r="L385" s="3"/>
      <c r="M385" s="3"/>
      <c r="N385" s="3"/>
    </row>
    <row r="386" spans="2:14" x14ac:dyDescent="0.25">
      <c r="B386" s="3"/>
      <c r="C386" s="3"/>
      <c r="D386" s="3"/>
      <c r="E386" s="3"/>
      <c r="F386" s="3"/>
      <c r="G386" s="3"/>
      <c r="H386" s="10"/>
      <c r="I386" s="3"/>
      <c r="J386" s="3"/>
      <c r="K386" s="3"/>
      <c r="L386" s="3"/>
    </row>
    <row r="387" spans="2:14" x14ac:dyDescent="0.25">
      <c r="B387" s="3"/>
      <c r="C387" s="3"/>
      <c r="D387" s="3"/>
      <c r="E387" s="3"/>
      <c r="F387" s="3"/>
      <c r="G387" s="3"/>
      <c r="H387" s="10"/>
      <c r="I387" s="3"/>
      <c r="J387" s="3"/>
      <c r="K387" s="3"/>
      <c r="L387" s="3"/>
    </row>
    <row r="388" spans="2:14" x14ac:dyDescent="0.25">
      <c r="B388" s="3"/>
      <c r="C388" s="3"/>
      <c r="D388" s="3"/>
      <c r="E388" s="3"/>
      <c r="F388" s="3"/>
      <c r="G388" s="3"/>
      <c r="H388" s="10"/>
      <c r="I388" s="3"/>
      <c r="J388" s="3"/>
      <c r="K388" s="3"/>
      <c r="L388" s="3"/>
      <c r="M388" s="3"/>
      <c r="N388" s="3"/>
    </row>
    <row r="389" spans="2:14" x14ac:dyDescent="0.25">
      <c r="B389" s="3"/>
      <c r="C389" s="3"/>
      <c r="D389" s="3"/>
      <c r="E389" s="3"/>
      <c r="F389" s="3"/>
      <c r="G389" s="3"/>
      <c r="H389" s="10"/>
      <c r="I389" s="3"/>
      <c r="J389" s="3"/>
      <c r="K389" s="3"/>
      <c r="L389" s="3"/>
    </row>
    <row r="390" spans="2:14" x14ac:dyDescent="0.25">
      <c r="B390" s="3"/>
      <c r="C390" s="3"/>
      <c r="D390" s="3"/>
      <c r="E390" s="3"/>
      <c r="F390" s="3"/>
      <c r="G390" s="3"/>
      <c r="H390" s="10"/>
      <c r="I390" s="3"/>
      <c r="J390" s="3"/>
      <c r="K390" s="3"/>
      <c r="L390" s="3"/>
    </row>
    <row r="391" spans="2:14" x14ac:dyDescent="0.25">
      <c r="B391" s="3"/>
      <c r="C391" s="3"/>
      <c r="D391" s="3"/>
      <c r="E391" s="3"/>
      <c r="F391" s="3"/>
      <c r="G391" s="3"/>
      <c r="H391" s="10"/>
      <c r="I391" s="3"/>
      <c r="J391" s="3"/>
      <c r="K391" s="3"/>
      <c r="L391" s="3"/>
      <c r="M391" s="3"/>
      <c r="N391" s="3"/>
    </row>
    <row r="392" spans="2:14" x14ac:dyDescent="0.25">
      <c r="B392" s="3"/>
      <c r="C392" s="3"/>
      <c r="D392" s="3"/>
      <c r="E392" s="3"/>
      <c r="F392" s="3"/>
      <c r="G392" s="3"/>
      <c r="H392" s="10"/>
      <c r="I392" s="3"/>
      <c r="J392" s="3"/>
      <c r="K392" s="3"/>
      <c r="L392" s="3"/>
    </row>
    <row r="393" spans="2:14" x14ac:dyDescent="0.25">
      <c r="B393" s="3"/>
      <c r="C393" s="3"/>
      <c r="D393" s="3"/>
      <c r="E393" s="3"/>
      <c r="F393" s="3"/>
      <c r="G393" s="3"/>
      <c r="H393" s="10"/>
      <c r="I393" s="3"/>
      <c r="J393" s="3"/>
      <c r="K393" s="3"/>
      <c r="L393" s="3"/>
    </row>
    <row r="394" spans="2:14" x14ac:dyDescent="0.25">
      <c r="B394" s="3"/>
      <c r="C394" s="3"/>
      <c r="D394" s="3"/>
      <c r="E394" s="3"/>
      <c r="F394" s="3"/>
      <c r="G394" s="3"/>
      <c r="H394" s="10"/>
      <c r="I394" s="3"/>
      <c r="J394" s="3"/>
      <c r="K394" s="3"/>
      <c r="L394" s="3"/>
      <c r="M394" s="3"/>
      <c r="N394" s="3"/>
    </row>
    <row r="395" spans="2:14" x14ac:dyDescent="0.25">
      <c r="B395" s="3"/>
      <c r="C395" s="3"/>
      <c r="D395" s="3"/>
      <c r="E395" s="3"/>
      <c r="F395" s="3"/>
      <c r="G395" s="3"/>
      <c r="H395" s="10"/>
      <c r="I395" s="3"/>
      <c r="J395" s="3"/>
      <c r="K395" s="3"/>
      <c r="L395" s="3"/>
    </row>
    <row r="396" spans="2:14" x14ac:dyDescent="0.25">
      <c r="B396" s="3"/>
      <c r="C396" s="3"/>
      <c r="D396" s="3"/>
      <c r="E396" s="3"/>
      <c r="F396" s="3"/>
      <c r="G396" s="3"/>
      <c r="H396" s="10"/>
      <c r="I396" s="3"/>
      <c r="J396" s="3"/>
      <c r="K396" s="3"/>
      <c r="L396" s="3"/>
    </row>
    <row r="397" spans="2:14" x14ac:dyDescent="0.25">
      <c r="B397" s="3"/>
      <c r="C397" s="3"/>
      <c r="D397" s="3"/>
      <c r="E397" s="3"/>
      <c r="F397" s="3"/>
      <c r="G397" s="3"/>
      <c r="H397" s="10"/>
      <c r="I397" s="3"/>
      <c r="J397" s="3"/>
      <c r="K397" s="3"/>
      <c r="L397" s="3"/>
      <c r="M397" s="3"/>
      <c r="N397" s="3"/>
    </row>
    <row r="398" spans="2:14" x14ac:dyDescent="0.25">
      <c r="B398" s="3"/>
      <c r="C398" s="3"/>
      <c r="D398" s="3"/>
      <c r="E398" s="3"/>
      <c r="F398" s="3"/>
      <c r="G398" s="3"/>
      <c r="H398" s="10"/>
      <c r="I398" s="3"/>
      <c r="J398" s="3"/>
      <c r="K398" s="3"/>
      <c r="L398" s="3"/>
    </row>
    <row r="399" spans="2:14" x14ac:dyDescent="0.25">
      <c r="B399" s="3"/>
      <c r="C399" s="3"/>
      <c r="D399" s="3"/>
      <c r="E399" s="3"/>
      <c r="F399" s="3"/>
      <c r="G399" s="3"/>
      <c r="H399" s="10"/>
      <c r="I399" s="3"/>
      <c r="J399" s="3"/>
      <c r="K399" s="3"/>
      <c r="L399" s="3"/>
    </row>
    <row r="400" spans="2:14" x14ac:dyDescent="0.25">
      <c r="B400" s="3"/>
      <c r="C400" s="3"/>
      <c r="D400" s="3"/>
      <c r="E400" s="3"/>
      <c r="F400" s="3"/>
      <c r="G400" s="3"/>
      <c r="H400" s="10"/>
      <c r="I400" s="3"/>
      <c r="J400" s="3"/>
      <c r="K400" s="3"/>
      <c r="L400" s="3"/>
      <c r="M400" s="3"/>
      <c r="N400" s="3"/>
    </row>
    <row r="401" spans="2:14" x14ac:dyDescent="0.25">
      <c r="B401" s="3"/>
      <c r="C401" s="3"/>
      <c r="D401" s="3"/>
      <c r="E401" s="3"/>
      <c r="F401" s="3"/>
      <c r="G401" s="3"/>
      <c r="H401" s="10"/>
      <c r="I401" s="3"/>
      <c r="J401" s="3"/>
      <c r="K401" s="3"/>
      <c r="L401" s="3"/>
    </row>
    <row r="402" spans="2:14" x14ac:dyDescent="0.25">
      <c r="B402" s="3"/>
      <c r="C402" s="3"/>
      <c r="D402" s="3"/>
      <c r="E402" s="3"/>
      <c r="F402" s="3"/>
      <c r="G402" s="3"/>
      <c r="H402" s="10"/>
      <c r="I402" s="3"/>
      <c r="J402" s="3"/>
      <c r="K402" s="3"/>
      <c r="L402" s="3"/>
    </row>
    <row r="403" spans="2:14" x14ac:dyDescent="0.25">
      <c r="B403" s="3"/>
      <c r="C403" s="3"/>
      <c r="D403" s="3"/>
      <c r="E403" s="3"/>
      <c r="F403" s="3"/>
      <c r="G403" s="3"/>
      <c r="H403" s="10"/>
      <c r="I403" s="3"/>
      <c r="J403" s="3"/>
      <c r="K403" s="3"/>
      <c r="L403" s="3"/>
      <c r="M403" s="3"/>
      <c r="N403" s="3"/>
    </row>
    <row r="404" spans="2:14" x14ac:dyDescent="0.25">
      <c r="B404" s="3"/>
      <c r="C404" s="3"/>
      <c r="D404" s="3"/>
      <c r="E404" s="3"/>
      <c r="F404" s="3"/>
      <c r="G404" s="3"/>
      <c r="H404" s="10"/>
      <c r="I404" s="3"/>
      <c r="J404" s="3"/>
      <c r="K404" s="3"/>
      <c r="L404" s="3"/>
    </row>
    <row r="405" spans="2:14" x14ac:dyDescent="0.25">
      <c r="B405" s="3"/>
      <c r="C405" s="3"/>
      <c r="D405" s="3"/>
      <c r="E405" s="3"/>
      <c r="F405" s="3"/>
      <c r="G405" s="3"/>
      <c r="H405" s="10"/>
      <c r="I405" s="3"/>
      <c r="J405" s="3"/>
      <c r="K405" s="3"/>
      <c r="L405" s="3"/>
    </row>
    <row r="406" spans="2:14" x14ac:dyDescent="0.25">
      <c r="B406" s="3"/>
      <c r="C406" s="3"/>
      <c r="D406" s="3"/>
      <c r="E406" s="3"/>
      <c r="F406" s="3"/>
      <c r="G406" s="3"/>
      <c r="H406" s="10"/>
      <c r="I406" s="3"/>
      <c r="J406" s="3"/>
      <c r="K406" s="3"/>
      <c r="L406" s="3"/>
      <c r="M406" s="3"/>
      <c r="N406" s="3"/>
    </row>
    <row r="407" spans="2:14" x14ac:dyDescent="0.25">
      <c r="B407" s="3"/>
      <c r="C407" s="3"/>
      <c r="D407" s="3"/>
      <c r="E407" s="3"/>
      <c r="F407" s="3"/>
      <c r="G407" s="3"/>
      <c r="H407" s="10"/>
      <c r="I407" s="3"/>
      <c r="J407" s="3"/>
      <c r="K407" s="3"/>
      <c r="L407" s="3"/>
    </row>
    <row r="408" spans="2:14" x14ac:dyDescent="0.25">
      <c r="B408" s="3"/>
      <c r="C408" s="3"/>
      <c r="D408" s="3"/>
      <c r="E408" s="3"/>
      <c r="F408" s="3"/>
      <c r="G408" s="3"/>
      <c r="H408" s="10"/>
      <c r="I408" s="3"/>
      <c r="J408" s="3"/>
      <c r="K408" s="3"/>
      <c r="L408" s="3"/>
    </row>
    <row r="409" spans="2:14" x14ac:dyDescent="0.25">
      <c r="B409" s="3"/>
      <c r="C409" s="3"/>
      <c r="D409" s="3"/>
      <c r="E409" s="3"/>
      <c r="F409" s="3"/>
      <c r="G409" s="3"/>
      <c r="H409" s="10"/>
      <c r="I409" s="3"/>
      <c r="J409" s="3"/>
      <c r="K409" s="3"/>
      <c r="L409" s="3"/>
      <c r="M409" s="3"/>
      <c r="N409" s="3"/>
    </row>
    <row r="410" spans="2:14" x14ac:dyDescent="0.25">
      <c r="B410" s="3"/>
      <c r="C410" s="3"/>
      <c r="D410" s="3"/>
      <c r="E410" s="3"/>
      <c r="F410" s="3"/>
      <c r="G410" s="3"/>
      <c r="H410" s="10"/>
      <c r="I410" s="3"/>
      <c r="J410" s="3"/>
      <c r="K410" s="3"/>
      <c r="L410" s="3"/>
    </row>
    <row r="411" spans="2:14" x14ac:dyDescent="0.25">
      <c r="B411" s="3"/>
      <c r="C411" s="3"/>
      <c r="D411" s="3"/>
      <c r="E411" s="3"/>
      <c r="F411" s="3"/>
      <c r="G411" s="3"/>
      <c r="H411" s="10"/>
      <c r="I411" s="3"/>
      <c r="J411" s="3"/>
      <c r="K411" s="3"/>
      <c r="L411" s="3"/>
    </row>
    <row r="412" spans="2:14" x14ac:dyDescent="0.25">
      <c r="B412" s="3"/>
      <c r="C412" s="3"/>
      <c r="D412" s="3"/>
      <c r="E412" s="3"/>
      <c r="F412" s="3"/>
      <c r="G412" s="3"/>
      <c r="H412" s="10"/>
      <c r="I412" s="3"/>
      <c r="J412" s="3"/>
      <c r="K412" s="3"/>
      <c r="L412" s="3"/>
      <c r="M412" s="3"/>
      <c r="N412" s="3"/>
    </row>
    <row r="413" spans="2:14" x14ac:dyDescent="0.25">
      <c r="B413" s="3"/>
      <c r="C413" s="3"/>
      <c r="D413" s="3"/>
      <c r="E413" s="3"/>
      <c r="F413" s="3"/>
      <c r="G413" s="3"/>
      <c r="H413" s="10"/>
      <c r="I413" s="3"/>
      <c r="J413" s="3"/>
      <c r="K413" s="3"/>
      <c r="L413" s="3"/>
    </row>
    <row r="414" spans="2:14" x14ac:dyDescent="0.25">
      <c r="B414" s="3"/>
      <c r="C414" s="3"/>
      <c r="D414" s="3"/>
      <c r="E414" s="3"/>
      <c r="F414" s="3"/>
      <c r="G414" s="3"/>
      <c r="H414" s="10"/>
      <c r="I414" s="3"/>
      <c r="J414" s="3"/>
      <c r="K414" s="3"/>
      <c r="L414" s="3"/>
    </row>
    <row r="415" spans="2:14" x14ac:dyDescent="0.25">
      <c r="B415" s="3"/>
      <c r="C415" s="3"/>
      <c r="D415" s="3"/>
      <c r="E415" s="3"/>
      <c r="F415" s="3"/>
      <c r="G415" s="3"/>
      <c r="H415" s="10"/>
      <c r="I415" s="3"/>
      <c r="J415" s="3"/>
      <c r="K415" s="3"/>
      <c r="L415" s="3"/>
      <c r="M415" s="3"/>
      <c r="N415" s="3"/>
    </row>
    <row r="416" spans="2:14" x14ac:dyDescent="0.25">
      <c r="B416" s="3"/>
      <c r="C416" s="3"/>
      <c r="D416" s="3"/>
      <c r="E416" s="3"/>
      <c r="F416" s="3"/>
      <c r="G416" s="3"/>
      <c r="H416" s="10"/>
      <c r="I416" s="3"/>
      <c r="J416" s="3"/>
      <c r="K416" s="3"/>
      <c r="L416" s="3"/>
    </row>
    <row r="417" spans="2:14" x14ac:dyDescent="0.25">
      <c r="B417" s="3"/>
      <c r="C417" s="3"/>
      <c r="D417" s="3"/>
      <c r="E417" s="3"/>
      <c r="F417" s="3"/>
      <c r="G417" s="3"/>
      <c r="H417" s="10"/>
      <c r="I417" s="3"/>
      <c r="J417" s="3"/>
      <c r="K417" s="3"/>
      <c r="L417" s="3"/>
    </row>
    <row r="418" spans="2:14" x14ac:dyDescent="0.25">
      <c r="B418" s="3"/>
      <c r="C418" s="3"/>
      <c r="D418" s="3"/>
      <c r="E418" s="3"/>
      <c r="F418" s="3"/>
      <c r="G418" s="3"/>
      <c r="H418" s="10"/>
      <c r="I418" s="3"/>
      <c r="J418" s="3"/>
      <c r="K418" s="3"/>
      <c r="L418" s="3"/>
      <c r="M418" s="3"/>
      <c r="N418" s="3"/>
    </row>
    <row r="419" spans="2:14" x14ac:dyDescent="0.25">
      <c r="B419" s="3"/>
      <c r="C419" s="3"/>
      <c r="D419" s="3"/>
      <c r="E419" s="3"/>
      <c r="F419" s="3"/>
      <c r="G419" s="3"/>
      <c r="H419" s="10"/>
      <c r="I419" s="3"/>
      <c r="J419" s="3"/>
      <c r="K419" s="3"/>
      <c r="L419" s="3"/>
    </row>
    <row r="420" spans="2:14" x14ac:dyDescent="0.25">
      <c r="B420" s="3"/>
      <c r="C420" s="3"/>
      <c r="D420" s="3"/>
      <c r="E420" s="3"/>
      <c r="F420" s="3"/>
      <c r="G420" s="3"/>
      <c r="H420" s="10"/>
      <c r="I420" s="3"/>
      <c r="J420" s="3"/>
      <c r="K420" s="3"/>
      <c r="L420" s="3"/>
    </row>
    <row r="421" spans="2:14" x14ac:dyDescent="0.25">
      <c r="B421" s="3"/>
      <c r="C421" s="3"/>
      <c r="D421" s="3"/>
      <c r="E421" s="3"/>
      <c r="F421" s="3"/>
      <c r="G421" s="3"/>
      <c r="H421" s="10"/>
      <c r="I421" s="3"/>
      <c r="J421" s="3"/>
      <c r="K421" s="3"/>
      <c r="L421" s="3"/>
      <c r="M421" s="3"/>
      <c r="N421" s="3"/>
    </row>
    <row r="422" spans="2:14" x14ac:dyDescent="0.25">
      <c r="B422" s="3"/>
      <c r="C422" s="3"/>
      <c r="D422" s="3"/>
      <c r="E422" s="3"/>
      <c r="F422" s="3"/>
      <c r="G422" s="3"/>
      <c r="H422" s="10"/>
      <c r="I422" s="3"/>
      <c r="J422" s="3"/>
      <c r="K422" s="3"/>
      <c r="L422" s="3"/>
    </row>
    <row r="423" spans="2:14" x14ac:dyDescent="0.25">
      <c r="B423" s="3"/>
      <c r="C423" s="3"/>
      <c r="D423" s="3"/>
      <c r="E423" s="3"/>
      <c r="F423" s="3"/>
      <c r="G423" s="3"/>
      <c r="H423" s="10"/>
      <c r="I423" s="3"/>
      <c r="J423" s="3"/>
      <c r="K423" s="3"/>
      <c r="L423" s="3"/>
    </row>
    <row r="424" spans="2:14" x14ac:dyDescent="0.25">
      <c r="B424" s="3"/>
      <c r="C424" s="3"/>
      <c r="D424" s="3"/>
      <c r="E424" s="3"/>
      <c r="F424" s="3"/>
      <c r="G424" s="3"/>
      <c r="H424" s="10"/>
      <c r="I424" s="3"/>
      <c r="J424" s="3"/>
      <c r="K424" s="3"/>
      <c r="L424" s="3"/>
      <c r="M424" s="3"/>
      <c r="N424" s="3"/>
    </row>
    <row r="425" spans="2:14" x14ac:dyDescent="0.25">
      <c r="B425" s="3"/>
      <c r="C425" s="3"/>
      <c r="D425" s="3"/>
      <c r="E425" s="3"/>
      <c r="F425" s="3"/>
      <c r="G425" s="3"/>
      <c r="H425" s="10"/>
      <c r="I425" s="3"/>
      <c r="J425" s="3"/>
      <c r="K425" s="3"/>
      <c r="L425" s="3"/>
    </row>
    <row r="426" spans="2:14" x14ac:dyDescent="0.25">
      <c r="B426" s="3"/>
      <c r="C426" s="3"/>
      <c r="D426" s="3"/>
      <c r="E426" s="3"/>
      <c r="F426" s="3"/>
      <c r="G426" s="3"/>
      <c r="H426" s="10"/>
      <c r="I426" s="3"/>
      <c r="J426" s="3"/>
      <c r="K426" s="3"/>
      <c r="L426" s="3"/>
    </row>
    <row r="427" spans="2:14" x14ac:dyDescent="0.25">
      <c r="B427" s="3"/>
      <c r="C427" s="3"/>
      <c r="D427" s="3"/>
      <c r="E427" s="3"/>
      <c r="F427" s="3"/>
      <c r="G427" s="3"/>
      <c r="H427" s="10"/>
      <c r="I427" s="3"/>
      <c r="J427" s="3"/>
      <c r="K427" s="3"/>
      <c r="L427" s="3"/>
      <c r="M427" s="3"/>
      <c r="N427" s="3"/>
    </row>
    <row r="428" spans="2:14" x14ac:dyDescent="0.25">
      <c r="B428" s="3"/>
      <c r="C428" s="3"/>
      <c r="D428" s="3"/>
      <c r="E428" s="3"/>
      <c r="F428" s="3"/>
      <c r="G428" s="3"/>
      <c r="H428" s="10"/>
      <c r="I428" s="3"/>
      <c r="J428" s="3"/>
      <c r="K428" s="3"/>
      <c r="L428" s="3"/>
    </row>
    <row r="429" spans="2:14" x14ac:dyDescent="0.25">
      <c r="B429" s="3"/>
      <c r="C429" s="3"/>
      <c r="D429" s="3"/>
      <c r="E429" s="3"/>
      <c r="F429" s="3"/>
      <c r="G429" s="3"/>
      <c r="H429" s="10"/>
      <c r="I429" s="3"/>
      <c r="J429" s="3"/>
      <c r="K429" s="3"/>
      <c r="L429" s="3"/>
    </row>
    <row r="430" spans="2:14" x14ac:dyDescent="0.25">
      <c r="B430" s="3"/>
      <c r="C430" s="3"/>
      <c r="D430" s="3"/>
      <c r="E430" s="3"/>
      <c r="F430" s="3"/>
      <c r="G430" s="3"/>
      <c r="H430" s="10"/>
      <c r="I430" s="3"/>
      <c r="J430" s="3"/>
      <c r="K430" s="3"/>
      <c r="L430" s="3"/>
      <c r="M430" s="3"/>
      <c r="N430" s="3"/>
    </row>
    <row r="431" spans="2:14" x14ac:dyDescent="0.25">
      <c r="B431" s="3"/>
      <c r="C431" s="3"/>
      <c r="D431" s="3"/>
      <c r="E431" s="3"/>
      <c r="F431" s="3"/>
      <c r="G431" s="3"/>
      <c r="H431" s="10"/>
      <c r="I431" s="3"/>
      <c r="J431" s="3"/>
      <c r="K431" s="3"/>
      <c r="L431" s="3"/>
    </row>
    <row r="432" spans="2:14" x14ac:dyDescent="0.25">
      <c r="B432" s="3"/>
      <c r="C432" s="3"/>
      <c r="D432" s="3"/>
      <c r="E432" s="3"/>
      <c r="F432" s="3"/>
      <c r="G432" s="3"/>
      <c r="H432" s="10"/>
      <c r="I432" s="3"/>
      <c r="J432" s="3"/>
      <c r="K432" s="3"/>
      <c r="L432" s="3"/>
    </row>
    <row r="433" spans="2:14" x14ac:dyDescent="0.25">
      <c r="B433" s="3"/>
      <c r="C433" s="3"/>
      <c r="D433" s="3"/>
      <c r="E433" s="3"/>
      <c r="F433" s="3"/>
      <c r="G433" s="3"/>
      <c r="H433" s="10"/>
      <c r="I433" s="3"/>
      <c r="J433" s="3"/>
      <c r="K433" s="3"/>
      <c r="L433" s="3"/>
      <c r="M433" s="3"/>
      <c r="N433" s="3"/>
    </row>
    <row r="434" spans="2:14" x14ac:dyDescent="0.25">
      <c r="B434" s="3"/>
      <c r="C434" s="3"/>
      <c r="D434" s="3"/>
      <c r="E434" s="3"/>
      <c r="F434" s="3"/>
      <c r="G434" s="3"/>
      <c r="H434" s="10"/>
      <c r="I434" s="3"/>
      <c r="J434" s="3"/>
      <c r="K434" s="3"/>
      <c r="L434" s="3"/>
    </row>
    <row r="435" spans="2:14" x14ac:dyDescent="0.25">
      <c r="B435" s="3"/>
      <c r="C435" s="3"/>
      <c r="D435" s="3"/>
      <c r="E435" s="3"/>
      <c r="F435" s="3"/>
      <c r="G435" s="3"/>
      <c r="H435" s="10"/>
      <c r="I435" s="3"/>
      <c r="J435" s="3"/>
      <c r="K435" s="3"/>
      <c r="L435" s="3"/>
    </row>
    <row r="436" spans="2:14" x14ac:dyDescent="0.25">
      <c r="B436" s="3"/>
      <c r="C436" s="3"/>
      <c r="D436" s="3"/>
      <c r="E436" s="3"/>
      <c r="F436" s="3"/>
      <c r="G436" s="3"/>
      <c r="H436" s="10"/>
      <c r="I436" s="3"/>
      <c r="J436" s="3"/>
      <c r="K436" s="3"/>
      <c r="L436" s="3"/>
      <c r="M436" s="3"/>
      <c r="N436" s="3"/>
    </row>
    <row r="437" spans="2:14" x14ac:dyDescent="0.25">
      <c r="B437" s="3"/>
      <c r="C437" s="3"/>
      <c r="D437" s="3"/>
      <c r="E437" s="3"/>
      <c r="F437" s="3"/>
      <c r="G437" s="3"/>
      <c r="H437" s="10"/>
      <c r="I437" s="3"/>
      <c r="J437" s="3"/>
      <c r="K437" s="3"/>
      <c r="L437" s="3"/>
    </row>
    <row r="438" spans="2:14" x14ac:dyDescent="0.25">
      <c r="B438" s="3"/>
      <c r="C438" s="3"/>
      <c r="D438" s="3"/>
      <c r="E438" s="3"/>
      <c r="F438" s="3"/>
      <c r="G438" s="3"/>
      <c r="H438" s="10"/>
      <c r="I438" s="3"/>
      <c r="J438" s="3"/>
      <c r="K438" s="3"/>
      <c r="L438" s="3"/>
    </row>
    <row r="439" spans="2:14" x14ac:dyDescent="0.25">
      <c r="B439" s="3"/>
      <c r="C439" s="3"/>
      <c r="D439" s="3"/>
      <c r="E439" s="3"/>
      <c r="F439" s="3"/>
      <c r="G439" s="3"/>
      <c r="H439" s="10"/>
      <c r="I439" s="3"/>
      <c r="J439" s="3"/>
      <c r="K439" s="3"/>
      <c r="L439" s="3"/>
      <c r="M439" s="3"/>
      <c r="N439" s="3"/>
    </row>
    <row r="440" spans="2:14" x14ac:dyDescent="0.25">
      <c r="B440" s="3"/>
      <c r="C440" s="3"/>
      <c r="D440" s="3"/>
      <c r="E440" s="3"/>
      <c r="F440" s="3"/>
      <c r="G440" s="3"/>
      <c r="H440" s="10"/>
      <c r="I440" s="3"/>
      <c r="J440" s="3"/>
      <c r="K440" s="3"/>
      <c r="L440" s="3"/>
    </row>
    <row r="441" spans="2:14" x14ac:dyDescent="0.25">
      <c r="B441" s="3"/>
      <c r="C441" s="3"/>
      <c r="D441" s="3"/>
      <c r="E441" s="3"/>
      <c r="F441" s="3"/>
      <c r="G441" s="3"/>
      <c r="H441" s="10"/>
      <c r="I441" s="3"/>
      <c r="J441" s="3"/>
      <c r="K441" s="3"/>
      <c r="L441" s="3"/>
    </row>
    <row r="442" spans="2:14" x14ac:dyDescent="0.25">
      <c r="B442" s="3"/>
      <c r="C442" s="3"/>
      <c r="D442" s="3"/>
      <c r="E442" s="3"/>
      <c r="F442" s="3"/>
      <c r="G442" s="3"/>
      <c r="H442" s="10"/>
      <c r="I442" s="3"/>
      <c r="J442" s="3"/>
      <c r="K442" s="3"/>
      <c r="L442" s="3"/>
      <c r="M442" s="3"/>
      <c r="N442" s="3"/>
    </row>
    <row r="443" spans="2:14" x14ac:dyDescent="0.25">
      <c r="B443" s="3"/>
      <c r="C443" s="3"/>
      <c r="D443" s="3"/>
      <c r="E443" s="3"/>
      <c r="F443" s="3"/>
      <c r="G443" s="3"/>
      <c r="H443" s="10"/>
      <c r="I443" s="3"/>
      <c r="J443" s="3"/>
      <c r="K443" s="3"/>
      <c r="L443" s="3"/>
    </row>
    <row r="444" spans="2:14" x14ac:dyDescent="0.25">
      <c r="B444" s="3"/>
      <c r="C444" s="3"/>
      <c r="D444" s="3"/>
      <c r="E444" s="3"/>
      <c r="F444" s="3"/>
      <c r="G444" s="3"/>
      <c r="H444" s="10"/>
      <c r="I444" s="3"/>
      <c r="J444" s="3"/>
      <c r="K444" s="3"/>
      <c r="L44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88B0-FDDC-4FDF-91F0-E80E0C2ABB38}">
  <dimension ref="A1:D37"/>
  <sheetViews>
    <sheetView tabSelected="1" workbookViewId="0">
      <selection sqref="A1:D1"/>
    </sheetView>
  </sheetViews>
  <sheetFormatPr defaultRowHeight="13.2" x14ac:dyDescent="0.25"/>
  <cols>
    <col min="1" max="1" width="17.6640625" bestFit="1" customWidth="1"/>
  </cols>
  <sheetData>
    <row r="1" spans="1:4" x14ac:dyDescent="0.25">
      <c r="A1" t="s">
        <v>98</v>
      </c>
      <c r="B1" t="s">
        <v>96</v>
      </c>
      <c r="C1" t="s">
        <v>97</v>
      </c>
      <c r="D1" t="s">
        <v>99</v>
      </c>
    </row>
    <row r="2" spans="1:4" x14ac:dyDescent="0.25">
      <c r="A2">
        <v>20</v>
      </c>
      <c r="B2">
        <v>530.66760769550149</v>
      </c>
      <c r="C2">
        <v>537.44506515727801</v>
      </c>
      <c r="D2">
        <f>B2-C2</f>
        <v>-6.7774574617765211</v>
      </c>
    </row>
    <row r="3" spans="1:4" x14ac:dyDescent="0.25">
      <c r="A3">
        <v>20</v>
      </c>
      <c r="B3">
        <v>530.63634958051546</v>
      </c>
      <c r="C3">
        <v>537.39569191667795</v>
      </c>
      <c r="D3">
        <f t="shared" ref="D3:D37" si="0">B3-C3</f>
        <v>-6.75934233616249</v>
      </c>
    </row>
    <row r="4" spans="1:4" x14ac:dyDescent="0.25">
      <c r="A4">
        <v>20</v>
      </c>
      <c r="B4">
        <v>530.68473889182621</v>
      </c>
      <c r="C4">
        <v>537.45902466276198</v>
      </c>
      <c r="D4">
        <f t="shared" si="0"/>
        <v>-6.7742857709357622</v>
      </c>
    </row>
    <row r="5" spans="1:4" x14ac:dyDescent="0.25">
      <c r="A5">
        <v>30</v>
      </c>
      <c r="B5">
        <v>540.47714771260291</v>
      </c>
      <c r="C5">
        <v>457.72944163865299</v>
      </c>
      <c r="D5">
        <f t="shared" si="0"/>
        <v>82.747706073949928</v>
      </c>
    </row>
    <row r="6" spans="1:4" x14ac:dyDescent="0.25">
      <c r="A6">
        <v>30</v>
      </c>
      <c r="B6">
        <v>540.54943200179378</v>
      </c>
      <c r="C6">
        <v>457.81646540110199</v>
      </c>
      <c r="D6">
        <f t="shared" si="0"/>
        <v>82.732966600691782</v>
      </c>
    </row>
    <row r="7" spans="1:4" x14ac:dyDescent="0.25">
      <c r="A7">
        <v>30</v>
      </c>
      <c r="B7">
        <v>540.66421716763011</v>
      </c>
      <c r="C7">
        <v>457.95307302907099</v>
      </c>
      <c r="D7">
        <f t="shared" si="0"/>
        <v>82.711144138559121</v>
      </c>
    </row>
    <row r="8" spans="1:4" x14ac:dyDescent="0.25">
      <c r="A8" t="s">
        <v>75</v>
      </c>
      <c r="B8">
        <v>533.32575254798951</v>
      </c>
      <c r="C8">
        <v>540.76884094695697</v>
      </c>
      <c r="D8" s="28">
        <f t="shared" si="0"/>
        <v>-7.4430883989674612</v>
      </c>
    </row>
    <row r="9" spans="1:4" x14ac:dyDescent="0.25">
      <c r="A9" t="s">
        <v>76</v>
      </c>
      <c r="B9">
        <v>533.32900856772915</v>
      </c>
      <c r="C9">
        <v>540.77550134323803</v>
      </c>
      <c r="D9" s="28">
        <f t="shared" si="0"/>
        <v>-7.4464927755088866</v>
      </c>
    </row>
    <row r="10" spans="1:4" x14ac:dyDescent="0.25">
      <c r="A10" t="s">
        <v>77</v>
      </c>
      <c r="B10">
        <v>533.30903796297423</v>
      </c>
      <c r="C10">
        <v>540.74728199603601</v>
      </c>
      <c r="D10" s="28">
        <f t="shared" si="0"/>
        <v>-7.4382440330617783</v>
      </c>
    </row>
    <row r="11" spans="1:4" x14ac:dyDescent="0.25">
      <c r="A11" t="s">
        <v>78</v>
      </c>
      <c r="B11">
        <v>533.44390122782033</v>
      </c>
      <c r="C11">
        <v>540.95869716894799</v>
      </c>
      <c r="D11" s="28">
        <f t="shared" si="0"/>
        <v>-7.5147959411276588</v>
      </c>
    </row>
    <row r="12" spans="1:4" x14ac:dyDescent="0.25">
      <c r="A12" t="s">
        <v>79</v>
      </c>
      <c r="B12">
        <v>533.52574108323688</v>
      </c>
      <c r="C12">
        <v>541.07159981842199</v>
      </c>
      <c r="D12" s="28">
        <f t="shared" si="0"/>
        <v>-7.5458587351851065</v>
      </c>
    </row>
    <row r="13" spans="1:4" x14ac:dyDescent="0.25">
      <c r="A13" t="s">
        <v>80</v>
      </c>
      <c r="B13">
        <v>533.45283781395381</v>
      </c>
      <c r="C13">
        <v>540.95730801679701</v>
      </c>
      <c r="D13" s="28">
        <f t="shared" si="0"/>
        <v>-7.5044702028432084</v>
      </c>
    </row>
    <row r="14" spans="1:4" x14ac:dyDescent="0.25">
      <c r="A14" t="s">
        <v>81</v>
      </c>
      <c r="B14">
        <v>534.2584597795061</v>
      </c>
      <c r="C14">
        <v>541.95388942165903</v>
      </c>
      <c r="D14" s="28">
        <f t="shared" si="0"/>
        <v>-7.6954296421529307</v>
      </c>
    </row>
    <row r="15" spans="1:4" x14ac:dyDescent="0.25">
      <c r="A15" t="s">
        <v>82</v>
      </c>
      <c r="B15">
        <v>534.29409062809987</v>
      </c>
      <c r="C15">
        <v>541.99051677228294</v>
      </c>
      <c r="D15" s="28">
        <f t="shared" si="0"/>
        <v>-7.6964261441830786</v>
      </c>
    </row>
    <row r="16" spans="1:4" x14ac:dyDescent="0.25">
      <c r="A16" t="s">
        <v>83</v>
      </c>
      <c r="B16">
        <v>534.16314085950569</v>
      </c>
      <c r="C16">
        <v>541.78941509562105</v>
      </c>
      <c r="D16" s="28">
        <f t="shared" si="0"/>
        <v>-7.6262742361153641</v>
      </c>
    </row>
    <row r="17" spans="1:4" x14ac:dyDescent="0.25">
      <c r="A17">
        <v>20</v>
      </c>
      <c r="B17">
        <v>531.10390208719116</v>
      </c>
      <c r="C17">
        <v>537.43948862000195</v>
      </c>
      <c r="D17">
        <f t="shared" si="0"/>
        <v>-6.3355865328107939</v>
      </c>
    </row>
    <row r="18" spans="1:4" x14ac:dyDescent="0.25">
      <c r="A18">
        <v>20</v>
      </c>
      <c r="B18">
        <v>531.16696079951078</v>
      </c>
      <c r="C18">
        <v>537.53078869581304</v>
      </c>
      <c r="D18">
        <f t="shared" si="0"/>
        <v>-6.3638278963022685</v>
      </c>
    </row>
    <row r="19" spans="1:4" x14ac:dyDescent="0.25">
      <c r="A19">
        <v>20</v>
      </c>
      <c r="B19">
        <v>531.03973966040189</v>
      </c>
      <c r="C19">
        <v>537.35766980670701</v>
      </c>
      <c r="D19">
        <f t="shared" si="0"/>
        <v>-6.3179301463051161</v>
      </c>
    </row>
    <row r="20" spans="1:4" x14ac:dyDescent="0.25">
      <c r="A20">
        <v>30</v>
      </c>
      <c r="B20">
        <v>540.09538628799305</v>
      </c>
      <c r="C20">
        <v>457.92382413586398</v>
      </c>
      <c r="D20">
        <f t="shared" si="0"/>
        <v>82.17156215212907</v>
      </c>
    </row>
    <row r="21" spans="1:4" x14ac:dyDescent="0.25">
      <c r="A21">
        <v>30</v>
      </c>
      <c r="B21">
        <v>540.01891750892435</v>
      </c>
      <c r="C21">
        <v>457.83704258542099</v>
      </c>
      <c r="D21">
        <f t="shared" si="0"/>
        <v>82.181874923503358</v>
      </c>
    </row>
    <row r="22" spans="1:4" x14ac:dyDescent="0.25">
      <c r="A22">
        <v>30</v>
      </c>
      <c r="B22">
        <v>540.03262956580977</v>
      </c>
      <c r="C22">
        <v>457.85481014420901</v>
      </c>
      <c r="D22">
        <f t="shared" si="0"/>
        <v>82.177819421600759</v>
      </c>
    </row>
    <row r="23" spans="1:4" x14ac:dyDescent="0.25">
      <c r="A23" t="s">
        <v>84</v>
      </c>
      <c r="B23">
        <v>531.73287263353745</v>
      </c>
      <c r="C23">
        <v>538.68751380847198</v>
      </c>
      <c r="D23" s="28">
        <f t="shared" si="0"/>
        <v>-6.9546411749345225</v>
      </c>
    </row>
    <row r="24" spans="1:4" x14ac:dyDescent="0.25">
      <c r="A24" t="s">
        <v>85</v>
      </c>
      <c r="B24">
        <v>531.66781348578297</v>
      </c>
      <c r="C24">
        <v>538.59967950613805</v>
      </c>
      <c r="D24" s="28">
        <f t="shared" si="0"/>
        <v>-6.9318660203550735</v>
      </c>
    </row>
    <row r="25" spans="1:4" x14ac:dyDescent="0.25">
      <c r="A25" t="s">
        <v>86</v>
      </c>
      <c r="B25">
        <v>531.61803521921968</v>
      </c>
      <c r="C25">
        <v>538.53650813197805</v>
      </c>
      <c r="D25" s="28">
        <f t="shared" si="0"/>
        <v>-6.9184729127583751</v>
      </c>
    </row>
    <row r="26" spans="1:4" x14ac:dyDescent="0.25">
      <c r="A26" t="s">
        <v>87</v>
      </c>
      <c r="B26">
        <v>531.23130533998221</v>
      </c>
      <c r="C26">
        <v>538.05537280046406</v>
      </c>
      <c r="D26" s="28">
        <f t="shared" si="0"/>
        <v>-6.8240674604818423</v>
      </c>
    </row>
    <row r="27" spans="1:4" x14ac:dyDescent="0.25">
      <c r="A27" t="s">
        <v>88</v>
      </c>
      <c r="B27">
        <v>531.13191942646517</v>
      </c>
      <c r="C27">
        <v>537.91620995617598</v>
      </c>
      <c r="D27" s="28">
        <f t="shared" si="0"/>
        <v>-6.7842905297108018</v>
      </c>
    </row>
    <row r="28" spans="1:4" x14ac:dyDescent="0.25">
      <c r="A28" t="s">
        <v>89</v>
      </c>
      <c r="B28">
        <v>531.25454871382999</v>
      </c>
      <c r="C28">
        <v>538.09334195056795</v>
      </c>
      <c r="D28" s="28">
        <f t="shared" si="0"/>
        <v>-6.8387932367379562</v>
      </c>
    </row>
    <row r="29" spans="1:4" x14ac:dyDescent="0.25">
      <c r="A29" t="s">
        <v>90</v>
      </c>
      <c r="B29">
        <v>546.76159087513076</v>
      </c>
      <c r="C29">
        <v>560.06569333680704</v>
      </c>
      <c r="D29" s="28">
        <f t="shared" si="0"/>
        <v>-13.30410246167628</v>
      </c>
    </row>
    <row r="30" spans="1:4" x14ac:dyDescent="0.25">
      <c r="A30" t="s">
        <v>91</v>
      </c>
      <c r="B30">
        <v>546.67385508513939</v>
      </c>
      <c r="C30">
        <v>559.94521151999004</v>
      </c>
      <c r="D30" s="28">
        <f t="shared" si="0"/>
        <v>-13.271356434850645</v>
      </c>
    </row>
    <row r="31" spans="1:4" x14ac:dyDescent="0.25">
      <c r="A31" t="s">
        <v>92</v>
      </c>
      <c r="B31">
        <v>546.59300982250784</v>
      </c>
      <c r="C31">
        <v>559.83270551242401</v>
      </c>
      <c r="D31" s="28">
        <f t="shared" si="0"/>
        <v>-13.239695689916175</v>
      </c>
    </row>
    <row r="32" spans="1:4" x14ac:dyDescent="0.25">
      <c r="A32">
        <v>20</v>
      </c>
      <c r="B32">
        <v>530.67083157303693</v>
      </c>
      <c r="C32">
        <v>537.49639744183503</v>
      </c>
      <c r="D32">
        <f t="shared" si="0"/>
        <v>-6.825565868798094</v>
      </c>
    </row>
    <row r="33" spans="1:4" x14ac:dyDescent="0.25">
      <c r="A33">
        <v>20</v>
      </c>
      <c r="B33">
        <v>530.61822514790822</v>
      </c>
      <c r="C33">
        <v>537.43027225668902</v>
      </c>
      <c r="D33">
        <f t="shared" si="0"/>
        <v>-6.8120471087808028</v>
      </c>
    </row>
    <row r="34" spans="1:4" x14ac:dyDescent="0.25">
      <c r="A34">
        <v>20</v>
      </c>
      <c r="B34">
        <v>530.60534456410812</v>
      </c>
      <c r="C34">
        <v>537.41803957874799</v>
      </c>
      <c r="D34">
        <f t="shared" si="0"/>
        <v>-6.8126950146398713</v>
      </c>
    </row>
    <row r="35" spans="1:4" x14ac:dyDescent="0.25">
      <c r="A35">
        <v>30</v>
      </c>
      <c r="B35">
        <v>539.70618623208316</v>
      </c>
      <c r="C35">
        <v>457.89602904716099</v>
      </c>
      <c r="D35">
        <f t="shared" si="0"/>
        <v>81.810157184922161</v>
      </c>
    </row>
    <row r="36" spans="1:4" x14ac:dyDescent="0.25">
      <c r="A36">
        <v>30</v>
      </c>
      <c r="B36">
        <v>539.72218021523145</v>
      </c>
      <c r="C36">
        <v>457.91551818438103</v>
      </c>
      <c r="D36">
        <f t="shared" si="0"/>
        <v>81.806662030850418</v>
      </c>
    </row>
    <row r="37" spans="1:4" x14ac:dyDescent="0.25">
      <c r="A37">
        <v>30</v>
      </c>
      <c r="B37">
        <v>539.59940455752007</v>
      </c>
      <c r="C37">
        <v>457.77203990516</v>
      </c>
      <c r="D37">
        <f t="shared" si="0"/>
        <v>81.827364652360075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zoomScaleNormal="100" workbookViewId="0">
      <selection activeCell="B140" sqref="B140"/>
    </sheetView>
  </sheetViews>
  <sheetFormatPr defaultColWidth="8.77734375" defaultRowHeight="13.2" x14ac:dyDescent="0.25"/>
  <cols>
    <col min="1" max="1" width="25.44140625" customWidth="1"/>
    <col min="3" max="3" width="12.109375" customWidth="1"/>
    <col min="5" max="5" width="12.6640625" customWidth="1"/>
    <col min="6" max="6" width="9.33203125" customWidth="1"/>
    <col min="9" max="9" width="12.44140625" bestFit="1" customWidth="1"/>
  </cols>
  <sheetData>
    <row r="1" spans="1:13" x14ac:dyDescent="0.25">
      <c r="A1">
        <v>531.20000000000005</v>
      </c>
      <c r="B1" s="16" t="s">
        <v>72</v>
      </c>
    </row>
    <row r="2" spans="1:13" x14ac:dyDescent="0.25">
      <c r="A2" s="2" t="e">
        <f>AVERAGE(Data!C8:C10,Data!C14:C16,Data!#REF!,Data!#REF!,Data!#REF!,Data!#REF!,Data!#REF!,Data!#REF!)</f>
        <v>#REF!</v>
      </c>
      <c r="B2" s="16" t="s">
        <v>73</v>
      </c>
    </row>
    <row r="4" spans="1:13" x14ac:dyDescent="0.25">
      <c r="C4" s="4" t="s">
        <v>54</v>
      </c>
      <c r="D4" s="4" t="s">
        <v>55</v>
      </c>
      <c r="F4" t="s">
        <v>56</v>
      </c>
    </row>
    <row r="5" spans="1:13" x14ac:dyDescent="0.25">
      <c r="B5" s="4" t="s">
        <v>57</v>
      </c>
      <c r="C5" s="4" t="s">
        <v>58</v>
      </c>
      <c r="D5" s="4" t="s">
        <v>4</v>
      </c>
      <c r="E5" s="4" t="s">
        <v>59</v>
      </c>
      <c r="F5" s="4" t="s">
        <v>60</v>
      </c>
      <c r="H5" t="s">
        <v>9</v>
      </c>
    </row>
    <row r="6" spans="1:13" ht="13.8" thickBot="1" x14ac:dyDescent="0.3"/>
    <row r="7" spans="1:13" x14ac:dyDescent="0.25">
      <c r="A7">
        <f>Data!A8</f>
        <v>20</v>
      </c>
      <c r="B7" s="2">
        <f>Data!C8*Data!G8</f>
        <v>2.2950053002100001E-9</v>
      </c>
      <c r="C7" s="11">
        <f>SQRT(B7)</f>
        <v>4.7906213586652832E-5</v>
      </c>
      <c r="D7" s="2">
        <f>Data!E8</f>
        <v>6.763407E-12</v>
      </c>
      <c r="E7" s="11">
        <f>D7-(C7*I$22+I$21)</f>
        <v>-8.3145515303493374E-9</v>
      </c>
      <c r="F7" s="3" t="e">
        <f>A$1*E7/A$2</f>
        <v>#REF!</v>
      </c>
      <c r="H7" s="14" t="s">
        <v>10</v>
      </c>
      <c r="I7" s="14"/>
    </row>
    <row r="8" spans="1:13" x14ac:dyDescent="0.25">
      <c r="B8" s="2">
        <f>Data!C9*Data!G9</f>
        <v>2.2942438059269998E-9</v>
      </c>
      <c r="C8" s="11">
        <f t="shared" ref="C8:C30" si="0">SQRT(B8)</f>
        <v>4.7898265166151895E-5</v>
      </c>
      <c r="D8" s="2">
        <f>Data!E9</f>
        <v>6.7626990000000001E-12</v>
      </c>
      <c r="E8" s="11">
        <f t="shared" ref="E8:E30" si="1">D8-(C8*I$22+I$21)</f>
        <v>-8.3131722220363314E-9</v>
      </c>
      <c r="F8" s="3" t="e">
        <f t="shared" ref="F8:F30" si="2">A$1*E8/A$2</f>
        <v>#REF!</v>
      </c>
      <c r="H8" t="s">
        <v>11</v>
      </c>
      <c r="I8">
        <v>0.92521334467124927</v>
      </c>
    </row>
    <row r="9" spans="1:13" x14ac:dyDescent="0.25">
      <c r="B9" s="2">
        <f>Data!C10*Data!G10</f>
        <v>2.293806005568E-9</v>
      </c>
      <c r="C9" s="11">
        <f t="shared" si="0"/>
        <v>4.7893694841471561E-5</v>
      </c>
      <c r="D9" s="2">
        <f>Data!E10</f>
        <v>6.7601839999999999E-12</v>
      </c>
      <c r="E9" s="11">
        <f t="shared" si="1"/>
        <v>-8.3123812306266163E-9</v>
      </c>
      <c r="F9" s="3" t="e">
        <f t="shared" si="2"/>
        <v>#REF!</v>
      </c>
      <c r="H9" t="s">
        <v>12</v>
      </c>
      <c r="I9">
        <v>0.85601973315775981</v>
      </c>
    </row>
    <row r="10" spans="1:13" x14ac:dyDescent="0.25">
      <c r="A10">
        <f>Data!A11</f>
        <v>30</v>
      </c>
      <c r="B10" s="2">
        <f>Data!C11*Data!G11</f>
        <v>1.9934172133999999E-9</v>
      </c>
      <c r="C10" s="11">
        <f t="shared" si="0"/>
        <v>4.4647701098712798E-5</v>
      </c>
      <c r="D10" s="2">
        <f>Data!E11</f>
        <v>5.7073340000000004E-12</v>
      </c>
      <c r="E10" s="11">
        <f t="shared" si="1"/>
        <v>-7.7498599319771282E-9</v>
      </c>
      <c r="F10" s="3" t="e">
        <f t="shared" si="2"/>
        <v>#REF!</v>
      </c>
      <c r="H10" t="s">
        <v>13</v>
      </c>
      <c r="I10">
        <v>0.85288972735684165</v>
      </c>
    </row>
    <row r="11" spans="1:13" x14ac:dyDescent="0.25">
      <c r="B11" s="2">
        <f>Data!C12*Data!G12</f>
        <v>1.9934760455260001E-9</v>
      </c>
      <c r="C11" s="11">
        <f t="shared" si="0"/>
        <v>4.4648359942174811E-5</v>
      </c>
      <c r="D11" s="2">
        <f>Data!E12</f>
        <v>5.7056180000000001E-12</v>
      </c>
      <c r="E11" s="11">
        <f t="shared" si="1"/>
        <v>-7.7499760373360184E-9</v>
      </c>
      <c r="F11" s="3" t="e">
        <f t="shared" si="2"/>
        <v>#REF!</v>
      </c>
      <c r="H11" t="s">
        <v>14</v>
      </c>
      <c r="I11">
        <v>2.4535243676254516E-13</v>
      </c>
    </row>
    <row r="12" spans="1:13" ht="13.8" thickBot="1" x14ac:dyDescent="0.3">
      <c r="B12" s="2">
        <f>Data!C13*Data!G13</f>
        <v>1.9932350595300001E-9</v>
      </c>
      <c r="C12" s="11">
        <f t="shared" si="0"/>
        <v>4.4645661150105058E-5</v>
      </c>
      <c r="D12" s="2">
        <f>Data!E13</f>
        <v>5.7023499999999998E-12</v>
      </c>
      <c r="E12" s="11">
        <f t="shared" si="1"/>
        <v>-7.749510737136685E-9</v>
      </c>
      <c r="F12" s="3" t="e">
        <f t="shared" si="2"/>
        <v>#REF!</v>
      </c>
      <c r="H12" s="5" t="s">
        <v>15</v>
      </c>
      <c r="I12" s="5">
        <v>48</v>
      </c>
    </row>
    <row r="13" spans="1:13" x14ac:dyDescent="0.25">
      <c r="A13" t="str">
        <f>Data!A14</f>
        <v>Openwater_IN_T1_1</v>
      </c>
      <c r="B13" s="2">
        <f>Data!C14*Data!G14</f>
        <v>2.049962029866E-9</v>
      </c>
      <c r="C13" s="11">
        <f t="shared" si="0"/>
        <v>4.5276506378761159E-5</v>
      </c>
      <c r="D13" s="2">
        <f>Data!E14</f>
        <v>6.6107839999999997E-12</v>
      </c>
      <c r="E13" s="11">
        <f t="shared" si="1"/>
        <v>-7.8581305680825348E-9</v>
      </c>
      <c r="F13" s="3" t="e">
        <f t="shared" si="2"/>
        <v>#REF!</v>
      </c>
    </row>
    <row r="14" spans="1:13" ht="13.8" thickBot="1" x14ac:dyDescent="0.3">
      <c r="B14" s="2">
        <f>Data!C15*Data!G15</f>
        <v>2.0500597558999999E-9</v>
      </c>
      <c r="C14" s="11">
        <f t="shared" si="0"/>
        <v>4.5277585579401206E-5</v>
      </c>
      <c r="D14" s="2">
        <f>Data!E15</f>
        <v>6.6115100000000004E-12</v>
      </c>
      <c r="E14" s="11">
        <f t="shared" si="1"/>
        <v>-7.8583172144652748E-9</v>
      </c>
      <c r="F14" s="3" t="e">
        <f t="shared" si="2"/>
        <v>#REF!</v>
      </c>
      <c r="H14" t="s">
        <v>16</v>
      </c>
    </row>
    <row r="15" spans="1:13" x14ac:dyDescent="0.25">
      <c r="B15" s="2">
        <f>Data!C16*Data!G16</f>
        <v>2.0499794639999998E-9</v>
      </c>
      <c r="C15" s="11">
        <f t="shared" si="0"/>
        <v>4.5276698907937178E-5</v>
      </c>
      <c r="D15" s="2">
        <f>Data!E16</f>
        <v>6.6139649999999999E-12</v>
      </c>
      <c r="E15" s="11">
        <f t="shared" si="1"/>
        <v>-7.8581608142777378E-9</v>
      </c>
      <c r="F15" s="3" t="e">
        <f t="shared" si="2"/>
        <v>#REF!</v>
      </c>
      <c r="H15" s="13"/>
      <c r="I15" s="13" t="s">
        <v>21</v>
      </c>
      <c r="J15" s="13" t="s">
        <v>22</v>
      </c>
      <c r="K15" s="13" t="s">
        <v>23</v>
      </c>
      <c r="L15" s="13" t="s">
        <v>24</v>
      </c>
      <c r="M15" s="13" t="s">
        <v>25</v>
      </c>
    </row>
    <row r="16" spans="1:13" x14ac:dyDescent="0.25">
      <c r="A16" t="str">
        <f>Data!A17</f>
        <v>Openwater_1_T1_1</v>
      </c>
      <c r="B16" s="2">
        <f>Data!C17*Data!G17</f>
        <v>1.8883576067999999E-9</v>
      </c>
      <c r="C16" s="11">
        <f t="shared" si="0"/>
        <v>4.3455236816752016E-5</v>
      </c>
      <c r="D16" s="2">
        <f>Data!E17</f>
        <v>6.6385919999999998E-12</v>
      </c>
      <c r="E16" s="11">
        <f t="shared" si="1"/>
        <v>-7.5418912932057757E-9</v>
      </c>
      <c r="F16" s="3" t="e">
        <f t="shared" si="2"/>
        <v>#REF!</v>
      </c>
      <c r="H16" t="s">
        <v>17</v>
      </c>
      <c r="I16">
        <v>1</v>
      </c>
      <c r="J16">
        <v>1.6463394501952319E-23</v>
      </c>
      <c r="K16">
        <v>1.6463394501952319E-23</v>
      </c>
      <c r="L16">
        <v>273.48822577473328</v>
      </c>
      <c r="M16">
        <v>5.5133838612616495E-21</v>
      </c>
    </row>
    <row r="17" spans="1:16" x14ac:dyDescent="0.25">
      <c r="B17" s="2">
        <f>Data!C18*Data!G18</f>
        <v>1.888264977268E-9</v>
      </c>
      <c r="C17" s="11">
        <f t="shared" si="0"/>
        <v>4.345417099966354E-5</v>
      </c>
      <c r="D17" s="2">
        <f>Data!E18</f>
        <v>6.6381569999999999E-12</v>
      </c>
      <c r="E17" s="11">
        <f t="shared" si="1"/>
        <v>-7.5417066794947019E-9</v>
      </c>
      <c r="F17" s="3" t="e">
        <f t="shared" si="2"/>
        <v>#REF!</v>
      </c>
      <c r="H17" t="s">
        <v>18</v>
      </c>
      <c r="I17">
        <v>46</v>
      </c>
      <c r="J17">
        <v>2.7690996383646608E-24</v>
      </c>
      <c r="K17">
        <v>6.0197818225318714E-26</v>
      </c>
    </row>
    <row r="18" spans="1:16" ht="13.8" thickBot="1" x14ac:dyDescent="0.3">
      <c r="B18" s="2">
        <f>Data!C19*Data!G19</f>
        <v>1.8859127319539997E-9</v>
      </c>
      <c r="C18" s="11">
        <f t="shared" si="0"/>
        <v>4.3427096747929163E-5</v>
      </c>
      <c r="D18" s="2">
        <f>Data!E19</f>
        <v>6.640424E-12</v>
      </c>
      <c r="E18" s="11">
        <f t="shared" si="1"/>
        <v>-7.5370037415813464E-9</v>
      </c>
      <c r="F18" s="3" t="e">
        <f t="shared" si="2"/>
        <v>#REF!</v>
      </c>
      <c r="H18" s="5" t="s">
        <v>19</v>
      </c>
      <c r="I18" s="5">
        <v>47</v>
      </c>
      <c r="J18" s="5">
        <v>1.9232494140316981E-23</v>
      </c>
      <c r="K18" s="5"/>
      <c r="L18" s="5"/>
      <c r="M18" s="5"/>
    </row>
    <row r="19" spans="1:16" ht="13.8" thickBot="1" x14ac:dyDescent="0.3">
      <c r="A19" t="e">
        <f>Data!#REF!</f>
        <v>#REF!</v>
      </c>
      <c r="B19" s="2" t="e">
        <f>Data!#REF!*Data!#REF!</f>
        <v>#REF!</v>
      </c>
      <c r="C19" s="11" t="e">
        <f t="shared" si="0"/>
        <v>#REF!</v>
      </c>
      <c r="D19" s="2" t="e">
        <f>Data!#REF!</f>
        <v>#REF!</v>
      </c>
      <c r="E19" s="11" t="e">
        <f t="shared" si="1"/>
        <v>#REF!</v>
      </c>
      <c r="F19" s="3" t="e">
        <f t="shared" si="2"/>
        <v>#REF!</v>
      </c>
    </row>
    <row r="20" spans="1:16" x14ac:dyDescent="0.25">
      <c r="B20" s="2" t="e">
        <f>Data!#REF!*Data!#REF!</f>
        <v>#REF!</v>
      </c>
      <c r="C20" s="11" t="e">
        <f t="shared" si="0"/>
        <v>#REF!</v>
      </c>
      <c r="D20" s="2" t="e">
        <f>Data!#REF!</f>
        <v>#REF!</v>
      </c>
      <c r="E20" s="11" t="e">
        <f t="shared" si="1"/>
        <v>#REF!</v>
      </c>
      <c r="F20" s="3" t="e">
        <f t="shared" si="2"/>
        <v>#REF!</v>
      </c>
      <c r="H20" s="13"/>
      <c r="I20" s="13" t="s">
        <v>26</v>
      </c>
      <c r="J20" s="13" t="s">
        <v>14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3" t="s">
        <v>32</v>
      </c>
    </row>
    <row r="21" spans="1:16" x14ac:dyDescent="0.25">
      <c r="B21" s="2" t="e">
        <f>Data!#REF!*Data!#REF!</f>
        <v>#REF!</v>
      </c>
      <c r="C21" s="11" t="e">
        <f t="shared" si="0"/>
        <v>#REF!</v>
      </c>
      <c r="D21" s="2" t="e">
        <f>Data!#REF!</f>
        <v>#REF!</v>
      </c>
      <c r="E21" s="11" t="e">
        <f t="shared" si="1"/>
        <v>#REF!</v>
      </c>
      <c r="F21" s="3" t="e">
        <f t="shared" si="2"/>
        <v>#REF!</v>
      </c>
      <c r="H21" t="s">
        <v>20</v>
      </c>
      <c r="I21">
        <v>3.7685473269398276E-12</v>
      </c>
      <c r="J21">
        <v>3.9988768468498568E-13</v>
      </c>
      <c r="K21">
        <v>9.4240144702343791</v>
      </c>
      <c r="L21">
        <v>2.5937483752686146E-12</v>
      </c>
      <c r="M21">
        <v>2.963615166375339E-12</v>
      </c>
      <c r="N21">
        <v>4.5734794875043162E-12</v>
      </c>
      <c r="O21">
        <v>2.963615166375339E-12</v>
      </c>
      <c r="P21">
        <v>4.5734794875043162E-12</v>
      </c>
    </row>
    <row r="22" spans="1:16" ht="13.8" thickBot="1" x14ac:dyDescent="0.3">
      <c r="A22" t="e">
        <f>Data!#REF!</f>
        <v>#REF!</v>
      </c>
      <c r="B22" s="2" t="e">
        <f>Data!#REF!*Data!#REF!</f>
        <v>#REF!</v>
      </c>
      <c r="C22" s="11" t="e">
        <f t="shared" si="0"/>
        <v>#REF!</v>
      </c>
      <c r="D22" s="2" t="e">
        <f>Data!#REF!</f>
        <v>#REF!</v>
      </c>
      <c r="E22" s="11" t="e">
        <f t="shared" si="1"/>
        <v>#REF!</v>
      </c>
      <c r="F22" s="3" t="e">
        <f t="shared" si="2"/>
        <v>#REF!</v>
      </c>
      <c r="H22" s="5" t="s">
        <v>33</v>
      </c>
      <c r="I22" s="5">
        <v>1.7362145256956296E-4</v>
      </c>
      <c r="J22" s="5">
        <v>1.0498664765902996E-5</v>
      </c>
      <c r="K22" s="5">
        <v>16.537479426282992</v>
      </c>
      <c r="L22" s="5">
        <v>5.5133838612616495E-21</v>
      </c>
      <c r="M22" s="5">
        <v>1.5248873646774632E-4</v>
      </c>
      <c r="N22" s="5">
        <v>1.947541686713796E-4</v>
      </c>
      <c r="O22" s="5">
        <v>1.5248873646774632E-4</v>
      </c>
      <c r="P22" s="5">
        <v>1.947541686713796E-4</v>
      </c>
    </row>
    <row r="23" spans="1:16" x14ac:dyDescent="0.25">
      <c r="B23" s="2" t="e">
        <f>Data!#REF!*Data!#REF!</f>
        <v>#REF!</v>
      </c>
      <c r="C23" s="11" t="e">
        <f t="shared" si="0"/>
        <v>#REF!</v>
      </c>
      <c r="D23" s="2" t="e">
        <f>Data!#REF!</f>
        <v>#REF!</v>
      </c>
      <c r="E23" s="11" t="e">
        <f t="shared" si="1"/>
        <v>#REF!</v>
      </c>
      <c r="F23" s="3" t="e">
        <f t="shared" si="2"/>
        <v>#REF!</v>
      </c>
    </row>
    <row r="24" spans="1:16" x14ac:dyDescent="0.25">
      <c r="B24" s="2" t="e">
        <f>Data!#REF!*Data!#REF!</f>
        <v>#REF!</v>
      </c>
      <c r="C24" s="11" t="e">
        <f t="shared" si="0"/>
        <v>#REF!</v>
      </c>
      <c r="D24" s="2" t="e">
        <f>Data!#REF!</f>
        <v>#REF!</v>
      </c>
      <c r="E24" s="11" t="e">
        <f t="shared" si="1"/>
        <v>#REF!</v>
      </c>
      <c r="F24" s="3" t="e">
        <f t="shared" si="2"/>
        <v>#REF!</v>
      </c>
    </row>
    <row r="25" spans="1:16" x14ac:dyDescent="0.25">
      <c r="A25" t="e">
        <f>Data!#REF!</f>
        <v>#REF!</v>
      </c>
      <c r="B25" s="2" t="e">
        <f>Data!#REF!*Data!#REF!</f>
        <v>#REF!</v>
      </c>
      <c r="C25" s="11" t="e">
        <f t="shared" si="0"/>
        <v>#REF!</v>
      </c>
      <c r="D25" s="2" t="e">
        <f>Data!#REF!</f>
        <v>#REF!</v>
      </c>
      <c r="E25" s="11" t="e">
        <f t="shared" si="1"/>
        <v>#REF!</v>
      </c>
      <c r="F25" s="3" t="e">
        <f t="shared" si="2"/>
        <v>#REF!</v>
      </c>
    </row>
    <row r="26" spans="1:16" x14ac:dyDescent="0.25">
      <c r="B26" s="2" t="e">
        <f>Data!#REF!*Data!#REF!</f>
        <v>#REF!</v>
      </c>
      <c r="C26" s="11" t="e">
        <f t="shared" si="0"/>
        <v>#REF!</v>
      </c>
      <c r="D26" s="2" t="e">
        <f>Data!#REF!</f>
        <v>#REF!</v>
      </c>
      <c r="E26" s="11" t="e">
        <f t="shared" si="1"/>
        <v>#REF!</v>
      </c>
      <c r="F26" s="3" t="e">
        <f t="shared" si="2"/>
        <v>#REF!</v>
      </c>
    </row>
    <row r="27" spans="1:16" x14ac:dyDescent="0.25">
      <c r="B27" s="2" t="e">
        <f>Data!#REF!*Data!#REF!</f>
        <v>#REF!</v>
      </c>
      <c r="C27" s="11" t="e">
        <f t="shared" si="0"/>
        <v>#REF!</v>
      </c>
      <c r="D27" s="2" t="e">
        <f>Data!#REF!</f>
        <v>#REF!</v>
      </c>
      <c r="E27" s="11" t="e">
        <f t="shared" si="1"/>
        <v>#REF!</v>
      </c>
      <c r="F27" s="3" t="e">
        <f t="shared" si="2"/>
        <v>#REF!</v>
      </c>
    </row>
    <row r="28" spans="1:16" x14ac:dyDescent="0.25">
      <c r="A28" t="e">
        <f>Data!#REF!</f>
        <v>#REF!</v>
      </c>
      <c r="B28" s="2" t="e">
        <f>Data!#REF!*Data!#REF!</f>
        <v>#REF!</v>
      </c>
      <c r="C28" s="11" t="e">
        <f t="shared" si="0"/>
        <v>#REF!</v>
      </c>
      <c r="D28" s="2" t="e">
        <f>Data!#REF!</f>
        <v>#REF!</v>
      </c>
      <c r="E28" s="11" t="e">
        <f t="shared" si="1"/>
        <v>#REF!</v>
      </c>
      <c r="F28" s="3" t="e">
        <f t="shared" si="2"/>
        <v>#REF!</v>
      </c>
    </row>
    <row r="29" spans="1:16" x14ac:dyDescent="0.25">
      <c r="B29" s="2" t="e">
        <f>Data!#REF!*Data!#REF!</f>
        <v>#REF!</v>
      </c>
      <c r="C29" s="11" t="e">
        <f t="shared" si="0"/>
        <v>#REF!</v>
      </c>
      <c r="D29" s="2" t="e">
        <f>Data!#REF!</f>
        <v>#REF!</v>
      </c>
      <c r="E29" s="11" t="e">
        <f t="shared" si="1"/>
        <v>#REF!</v>
      </c>
      <c r="F29" s="3" t="e">
        <f t="shared" si="2"/>
        <v>#REF!</v>
      </c>
    </row>
    <row r="30" spans="1:16" x14ac:dyDescent="0.25">
      <c r="B30" s="2" t="e">
        <f>Data!#REF!*Data!#REF!</f>
        <v>#REF!</v>
      </c>
      <c r="C30" s="11" t="e">
        <f t="shared" si="0"/>
        <v>#REF!</v>
      </c>
      <c r="D30" s="2" t="e">
        <f>Data!#REF!</f>
        <v>#REF!</v>
      </c>
      <c r="E30" s="11" t="e">
        <f t="shared" si="1"/>
        <v>#REF!</v>
      </c>
      <c r="F30" s="3" t="e">
        <f t="shared" si="2"/>
        <v>#REF!</v>
      </c>
    </row>
    <row r="31" spans="1:16" x14ac:dyDescent="0.25">
      <c r="A31" t="e">
        <f>Data!#REF!</f>
        <v>#REF!</v>
      </c>
      <c r="B31" s="2" t="e">
        <f>Data!#REF!*Data!#REF!</f>
        <v>#REF!</v>
      </c>
      <c r="C31" s="11" t="e">
        <f t="shared" ref="C31:C42" si="3">SQRT(B31)</f>
        <v>#REF!</v>
      </c>
      <c r="D31" s="2" t="e">
        <f>Data!#REF!</f>
        <v>#REF!</v>
      </c>
      <c r="E31" s="11" t="e">
        <f t="shared" ref="E31:E42" si="4">D31-(C31*I$22+I$21)</f>
        <v>#REF!</v>
      </c>
      <c r="F31" s="3" t="e">
        <f t="shared" ref="F31:F42" si="5">A$1*E31/A$2</f>
        <v>#REF!</v>
      </c>
    </row>
    <row r="32" spans="1:16" x14ac:dyDescent="0.25">
      <c r="B32" s="2" t="e">
        <f>Data!#REF!*Data!#REF!</f>
        <v>#REF!</v>
      </c>
      <c r="C32" s="11" t="e">
        <f t="shared" si="3"/>
        <v>#REF!</v>
      </c>
      <c r="D32" s="2" t="e">
        <f>Data!#REF!</f>
        <v>#REF!</v>
      </c>
      <c r="E32" s="11" t="e">
        <f t="shared" si="4"/>
        <v>#REF!</v>
      </c>
      <c r="F32" s="3" t="e">
        <f t="shared" si="5"/>
        <v>#REF!</v>
      </c>
    </row>
    <row r="33" spans="1:6" x14ac:dyDescent="0.25">
      <c r="B33" s="2" t="e">
        <f>Data!#REF!*Data!#REF!</f>
        <v>#REF!</v>
      </c>
      <c r="C33" s="11" t="e">
        <f t="shared" si="3"/>
        <v>#REF!</v>
      </c>
      <c r="D33" s="2" t="e">
        <f>Data!#REF!</f>
        <v>#REF!</v>
      </c>
      <c r="E33" s="11" t="e">
        <f t="shared" si="4"/>
        <v>#REF!</v>
      </c>
      <c r="F33" s="3" t="e">
        <f t="shared" si="5"/>
        <v>#REF!</v>
      </c>
    </row>
    <row r="34" spans="1:6" x14ac:dyDescent="0.25">
      <c r="A34" t="e">
        <f>Data!#REF!</f>
        <v>#REF!</v>
      </c>
      <c r="B34" s="2" t="e">
        <f>Data!#REF!*Data!#REF!</f>
        <v>#REF!</v>
      </c>
      <c r="C34" s="11" t="e">
        <f t="shared" si="3"/>
        <v>#REF!</v>
      </c>
      <c r="D34" s="2" t="e">
        <f>Data!#REF!</f>
        <v>#REF!</v>
      </c>
      <c r="E34" s="11" t="e">
        <f t="shared" si="4"/>
        <v>#REF!</v>
      </c>
      <c r="F34" s="3" t="e">
        <f t="shared" si="5"/>
        <v>#REF!</v>
      </c>
    </row>
    <row r="35" spans="1:6" x14ac:dyDescent="0.25">
      <c r="B35" s="2" t="e">
        <f>Data!#REF!*Data!#REF!</f>
        <v>#REF!</v>
      </c>
      <c r="C35" s="11" t="e">
        <f t="shared" si="3"/>
        <v>#REF!</v>
      </c>
      <c r="D35" s="2" t="e">
        <f>Data!#REF!</f>
        <v>#REF!</v>
      </c>
      <c r="E35" s="11" t="e">
        <f t="shared" si="4"/>
        <v>#REF!</v>
      </c>
      <c r="F35" s="3" t="e">
        <f t="shared" si="5"/>
        <v>#REF!</v>
      </c>
    </row>
    <row r="36" spans="1:6" x14ac:dyDescent="0.25">
      <c r="B36" s="2" t="e">
        <f>Data!#REF!*Data!#REF!</f>
        <v>#REF!</v>
      </c>
      <c r="C36" s="11" t="e">
        <f t="shared" si="3"/>
        <v>#REF!</v>
      </c>
      <c r="D36" s="2" t="e">
        <f>Data!#REF!</f>
        <v>#REF!</v>
      </c>
      <c r="E36" s="11" t="e">
        <f t="shared" si="4"/>
        <v>#REF!</v>
      </c>
      <c r="F36" s="3" t="e">
        <f t="shared" si="5"/>
        <v>#REF!</v>
      </c>
    </row>
    <row r="37" spans="1:6" x14ac:dyDescent="0.25">
      <c r="A37" t="e">
        <f>Data!#REF!</f>
        <v>#REF!</v>
      </c>
      <c r="B37" s="2" t="e">
        <f>Data!#REF!*Data!#REF!</f>
        <v>#REF!</v>
      </c>
      <c r="C37" s="11" t="e">
        <f t="shared" si="3"/>
        <v>#REF!</v>
      </c>
      <c r="D37" s="2" t="e">
        <f>Data!#REF!</f>
        <v>#REF!</v>
      </c>
      <c r="E37" s="11" t="e">
        <f t="shared" si="4"/>
        <v>#REF!</v>
      </c>
      <c r="F37" s="3" t="e">
        <f t="shared" si="5"/>
        <v>#REF!</v>
      </c>
    </row>
    <row r="38" spans="1:6" x14ac:dyDescent="0.25">
      <c r="B38" s="2" t="e">
        <f>Data!#REF!*Data!#REF!</f>
        <v>#REF!</v>
      </c>
      <c r="C38" s="11" t="e">
        <f t="shared" si="3"/>
        <v>#REF!</v>
      </c>
      <c r="D38" s="2" t="e">
        <f>Data!#REF!</f>
        <v>#REF!</v>
      </c>
      <c r="E38" s="11" t="e">
        <f t="shared" si="4"/>
        <v>#REF!</v>
      </c>
      <c r="F38" s="3" t="e">
        <f t="shared" si="5"/>
        <v>#REF!</v>
      </c>
    </row>
    <row r="39" spans="1:6" x14ac:dyDescent="0.25">
      <c r="B39" s="2" t="e">
        <f>Data!#REF!*Data!#REF!</f>
        <v>#REF!</v>
      </c>
      <c r="C39" s="11" t="e">
        <f t="shared" si="3"/>
        <v>#REF!</v>
      </c>
      <c r="D39" s="2" t="e">
        <f>Data!#REF!</f>
        <v>#REF!</v>
      </c>
      <c r="E39" s="11" t="e">
        <f t="shared" si="4"/>
        <v>#REF!</v>
      </c>
      <c r="F39" s="3" t="e">
        <f t="shared" si="5"/>
        <v>#REF!</v>
      </c>
    </row>
    <row r="40" spans="1:6" x14ac:dyDescent="0.25">
      <c r="A40" t="e">
        <f>Data!#REF!</f>
        <v>#REF!</v>
      </c>
      <c r="B40" s="2" t="e">
        <f>Data!#REF!*Data!#REF!</f>
        <v>#REF!</v>
      </c>
      <c r="C40" s="11" t="e">
        <f t="shared" si="3"/>
        <v>#REF!</v>
      </c>
      <c r="D40" s="2" t="e">
        <f>Data!#REF!</f>
        <v>#REF!</v>
      </c>
      <c r="E40" s="11" t="e">
        <f t="shared" si="4"/>
        <v>#REF!</v>
      </c>
      <c r="F40" s="3" t="e">
        <f t="shared" si="5"/>
        <v>#REF!</v>
      </c>
    </row>
    <row r="41" spans="1:6" x14ac:dyDescent="0.25">
      <c r="B41" s="2" t="e">
        <f>Data!#REF!*Data!#REF!</f>
        <v>#REF!</v>
      </c>
      <c r="C41" s="11" t="e">
        <f t="shared" si="3"/>
        <v>#REF!</v>
      </c>
      <c r="D41" s="2" t="e">
        <f>Data!#REF!</f>
        <v>#REF!</v>
      </c>
      <c r="E41" s="11" t="e">
        <f t="shared" si="4"/>
        <v>#REF!</v>
      </c>
      <c r="F41" s="3" t="e">
        <f t="shared" si="5"/>
        <v>#REF!</v>
      </c>
    </row>
    <row r="42" spans="1:6" x14ac:dyDescent="0.25">
      <c r="B42" s="2" t="e">
        <f>Data!#REF!*Data!#REF!</f>
        <v>#REF!</v>
      </c>
      <c r="C42" s="11" t="e">
        <f t="shared" si="3"/>
        <v>#REF!</v>
      </c>
      <c r="D42" s="2" t="e">
        <f>Data!#REF!</f>
        <v>#REF!</v>
      </c>
      <c r="E42" s="11" t="e">
        <f t="shared" si="4"/>
        <v>#REF!</v>
      </c>
      <c r="F42" s="3" t="e">
        <f t="shared" si="5"/>
        <v>#REF!</v>
      </c>
    </row>
    <row r="43" spans="1:6" x14ac:dyDescent="0.25">
      <c r="A43" t="e">
        <f>Data!#REF!</f>
        <v>#REF!</v>
      </c>
      <c r="B43" s="2" t="e">
        <f>Data!#REF!*Data!#REF!</f>
        <v>#REF!</v>
      </c>
      <c r="C43" s="11" t="e">
        <f t="shared" ref="C43:C48" si="6">SQRT(B43)</f>
        <v>#REF!</v>
      </c>
      <c r="D43" s="2" t="e">
        <f>Data!#REF!</f>
        <v>#REF!</v>
      </c>
      <c r="E43" s="11" t="e">
        <f t="shared" ref="E43:E48" si="7">D43-(C43*I$22+I$21)</f>
        <v>#REF!</v>
      </c>
      <c r="F43" s="3" t="e">
        <f t="shared" ref="F43:F48" si="8">A$1*E43/A$2</f>
        <v>#REF!</v>
      </c>
    </row>
    <row r="44" spans="1:6" x14ac:dyDescent="0.25">
      <c r="B44" s="2" t="e">
        <f>Data!#REF!*Data!#REF!</f>
        <v>#REF!</v>
      </c>
      <c r="C44" s="11" t="e">
        <f t="shared" si="6"/>
        <v>#REF!</v>
      </c>
      <c r="D44" s="2" t="e">
        <f>Data!#REF!</f>
        <v>#REF!</v>
      </c>
      <c r="E44" s="11" t="e">
        <f t="shared" si="7"/>
        <v>#REF!</v>
      </c>
      <c r="F44" s="3" t="e">
        <f t="shared" si="8"/>
        <v>#REF!</v>
      </c>
    </row>
    <row r="45" spans="1:6" x14ac:dyDescent="0.25">
      <c r="B45" s="2" t="e">
        <f>Data!#REF!*Data!#REF!</f>
        <v>#REF!</v>
      </c>
      <c r="C45" s="11" t="e">
        <f t="shared" si="6"/>
        <v>#REF!</v>
      </c>
      <c r="D45" s="2" t="e">
        <f>Data!#REF!</f>
        <v>#REF!</v>
      </c>
      <c r="E45" s="11" t="e">
        <f t="shared" si="7"/>
        <v>#REF!</v>
      </c>
      <c r="F45" s="3" t="e">
        <f t="shared" si="8"/>
        <v>#REF!</v>
      </c>
    </row>
    <row r="46" spans="1:6" x14ac:dyDescent="0.25">
      <c r="A46" t="e">
        <f>Data!#REF!</f>
        <v>#REF!</v>
      </c>
      <c r="B46" s="2" t="e">
        <f>Data!#REF!*Data!#REF!</f>
        <v>#REF!</v>
      </c>
      <c r="C46" s="11" t="e">
        <f t="shared" si="6"/>
        <v>#REF!</v>
      </c>
      <c r="D46" s="2" t="e">
        <f>Data!#REF!</f>
        <v>#REF!</v>
      </c>
      <c r="E46" s="11" t="e">
        <f t="shared" si="7"/>
        <v>#REF!</v>
      </c>
      <c r="F46" s="3" t="e">
        <f t="shared" si="8"/>
        <v>#REF!</v>
      </c>
    </row>
    <row r="47" spans="1:6" x14ac:dyDescent="0.25">
      <c r="B47" s="2" t="e">
        <f>Data!#REF!*Data!#REF!</f>
        <v>#REF!</v>
      </c>
      <c r="C47" s="11" t="e">
        <f t="shared" si="6"/>
        <v>#REF!</v>
      </c>
      <c r="D47" s="2" t="e">
        <f>Data!#REF!</f>
        <v>#REF!</v>
      </c>
      <c r="E47" s="11" t="e">
        <f t="shared" si="7"/>
        <v>#REF!</v>
      </c>
      <c r="F47" s="3" t="e">
        <f t="shared" si="8"/>
        <v>#REF!</v>
      </c>
    </row>
    <row r="48" spans="1:6" x14ac:dyDescent="0.25">
      <c r="B48" s="2" t="e">
        <f>Data!#REF!*Data!#REF!</f>
        <v>#REF!</v>
      </c>
      <c r="C48" s="11" t="e">
        <f t="shared" si="6"/>
        <v>#REF!</v>
      </c>
      <c r="D48" s="2" t="e">
        <f>Data!#REF!</f>
        <v>#REF!</v>
      </c>
      <c r="E48" s="11" t="e">
        <f t="shared" si="7"/>
        <v>#REF!</v>
      </c>
      <c r="F48" s="3" t="e">
        <f t="shared" si="8"/>
        <v>#REF!</v>
      </c>
    </row>
    <row r="49" spans="1:7" x14ac:dyDescent="0.25">
      <c r="A49" t="e">
        <f>Data!#REF!</f>
        <v>#REF!</v>
      </c>
      <c r="B49" s="2" t="e">
        <f>Data!#REF!*Data!#REF!</f>
        <v>#REF!</v>
      </c>
      <c r="C49" s="11" t="e">
        <f t="shared" ref="C49:C54" si="9">SQRT(B49)</f>
        <v>#REF!</v>
      </c>
      <c r="D49" s="2" t="e">
        <f>Data!#REF!</f>
        <v>#REF!</v>
      </c>
      <c r="E49" s="11" t="e">
        <f t="shared" ref="E49:E54" si="10">D49-(C49*I$22+I$21)</f>
        <v>#REF!</v>
      </c>
      <c r="F49" s="3" t="e">
        <f t="shared" ref="F49:F54" si="11">A$1*E49/A$2</f>
        <v>#REF!</v>
      </c>
    </row>
    <row r="50" spans="1:7" x14ac:dyDescent="0.25">
      <c r="B50" s="2" t="e">
        <f>Data!#REF!*Data!#REF!</f>
        <v>#REF!</v>
      </c>
      <c r="C50" s="11" t="e">
        <f t="shared" si="9"/>
        <v>#REF!</v>
      </c>
      <c r="D50" s="2" t="e">
        <f>Data!#REF!</f>
        <v>#REF!</v>
      </c>
      <c r="E50" s="11" t="e">
        <f t="shared" si="10"/>
        <v>#REF!</v>
      </c>
      <c r="F50" s="3" t="e">
        <f t="shared" si="11"/>
        <v>#REF!</v>
      </c>
    </row>
    <row r="51" spans="1:7" x14ac:dyDescent="0.25">
      <c r="B51" s="2" t="e">
        <f>Data!#REF!*Data!#REF!</f>
        <v>#REF!</v>
      </c>
      <c r="C51" s="11" t="e">
        <f t="shared" si="9"/>
        <v>#REF!</v>
      </c>
      <c r="D51" s="2" t="e">
        <f>Data!#REF!</f>
        <v>#REF!</v>
      </c>
      <c r="E51" s="11" t="e">
        <f t="shared" si="10"/>
        <v>#REF!</v>
      </c>
      <c r="F51" s="3" t="e">
        <f t="shared" si="11"/>
        <v>#REF!</v>
      </c>
    </row>
    <row r="52" spans="1:7" x14ac:dyDescent="0.25">
      <c r="A52" t="e">
        <f>Data!#REF!</f>
        <v>#REF!</v>
      </c>
      <c r="B52" s="2" t="e">
        <f>Data!#REF!*Data!#REF!</f>
        <v>#REF!</v>
      </c>
      <c r="C52" s="11" t="e">
        <f t="shared" si="9"/>
        <v>#REF!</v>
      </c>
      <c r="D52" s="2" t="e">
        <f>Data!#REF!</f>
        <v>#REF!</v>
      </c>
      <c r="E52" s="11" t="e">
        <f t="shared" si="10"/>
        <v>#REF!</v>
      </c>
      <c r="F52" s="3" t="e">
        <f t="shared" si="11"/>
        <v>#REF!</v>
      </c>
    </row>
    <row r="53" spans="1:7" x14ac:dyDescent="0.25">
      <c r="B53" s="2" t="e">
        <f>Data!#REF!*Data!#REF!</f>
        <v>#REF!</v>
      </c>
      <c r="C53" s="11" t="e">
        <f t="shared" si="9"/>
        <v>#REF!</v>
      </c>
      <c r="D53" s="2" t="e">
        <f>Data!#REF!</f>
        <v>#REF!</v>
      </c>
      <c r="E53" s="11" t="e">
        <f t="shared" si="10"/>
        <v>#REF!</v>
      </c>
      <c r="F53" s="3" t="e">
        <f t="shared" si="11"/>
        <v>#REF!</v>
      </c>
    </row>
    <row r="54" spans="1:7" x14ac:dyDescent="0.25">
      <c r="B54" s="2" t="e">
        <f>Data!#REF!*Data!#REF!</f>
        <v>#REF!</v>
      </c>
      <c r="C54" s="11" t="e">
        <f t="shared" si="9"/>
        <v>#REF!</v>
      </c>
      <c r="D54" s="2" t="e">
        <f>Data!#REF!</f>
        <v>#REF!</v>
      </c>
      <c r="E54" s="11" t="e">
        <f t="shared" si="10"/>
        <v>#REF!</v>
      </c>
      <c r="F54" s="3" t="e">
        <f t="shared" si="11"/>
        <v>#REF!</v>
      </c>
    </row>
    <row r="55" spans="1:7" x14ac:dyDescent="0.25">
      <c r="A55" t="str">
        <f>Data!A20</f>
        <v>Openwater_2_T1_1</v>
      </c>
      <c r="B55" s="2">
        <f>Data!C20*Data!G20</f>
        <v>1.8942173654219997E-9</v>
      </c>
      <c r="C55" s="11">
        <f t="shared" ref="C55:C57" si="12">SQRT(B55)</f>
        <v>4.3522607520942489E-5</v>
      </c>
      <c r="D55" s="2">
        <f>Data!E20</f>
        <v>6.651651E-12</v>
      </c>
      <c r="E55" s="11">
        <f t="shared" ref="E55:E86" si="13">D55-(C55*I$22+I$21)</f>
        <v>-7.5535752337279599E-9</v>
      </c>
      <c r="F55" s="3" t="e">
        <f t="shared" ref="F55:F86" si="14">A$1*E55/A$2</f>
        <v>#REF!</v>
      </c>
      <c r="G55" s="3" t="e">
        <f>AVERAGE(F55:F57)</f>
        <v>#REF!</v>
      </c>
    </row>
    <row r="56" spans="1:7" x14ac:dyDescent="0.25">
      <c r="B56" s="2">
        <f>Data!C21*Data!G21</f>
        <v>1.8943793414699998E-9</v>
      </c>
      <c r="C56" s="11">
        <f t="shared" si="12"/>
        <v>4.3524468307723186E-5</v>
      </c>
      <c r="D56" s="2">
        <f>Data!E21</f>
        <v>6.6494630000000003E-12</v>
      </c>
      <c r="E56" s="11">
        <f t="shared" si="13"/>
        <v>-7.5539004942317477E-9</v>
      </c>
      <c r="F56" s="3" t="e">
        <f t="shared" si="14"/>
        <v>#REF!</v>
      </c>
    </row>
    <row r="57" spans="1:7" x14ac:dyDescent="0.25">
      <c r="B57" s="2">
        <f>Data!C22*Data!G22</f>
        <v>1.8930900796000003E-9</v>
      </c>
      <c r="C57" s="11">
        <f t="shared" si="12"/>
        <v>4.3509655015869757E-5</v>
      </c>
      <c r="D57" s="2">
        <f>Data!E22</f>
        <v>6.6488120000000002E-12</v>
      </c>
      <c r="E57" s="11">
        <f t="shared" si="13"/>
        <v>-7.5513292399828188E-9</v>
      </c>
      <c r="F57" s="3" t="e">
        <f t="shared" si="14"/>
        <v>#REF!</v>
      </c>
    </row>
    <row r="58" spans="1:7" x14ac:dyDescent="0.25">
      <c r="A58">
        <f>Data!A23</f>
        <v>20</v>
      </c>
      <c r="B58" s="2">
        <f>Data!C23*Data!G23</f>
        <v>2.2408769541759999E-9</v>
      </c>
      <c r="C58" s="11">
        <f t="shared" ref="C58:C66" si="15">SQRT(B58)</f>
        <v>4.7337901877628667E-5</v>
      </c>
      <c r="D58" s="2">
        <f>Data!E23</f>
        <v>6.6482300000000002E-12</v>
      </c>
      <c r="E58" s="11">
        <f t="shared" si="13"/>
        <v>-8.2159956029162724E-9</v>
      </c>
      <c r="F58" s="3" t="e">
        <f t="shared" si="14"/>
        <v>#REF!</v>
      </c>
      <c r="G58" s="3" t="e">
        <f>AVERAGE(F58:F60)</f>
        <v>#REF!</v>
      </c>
    </row>
    <row r="59" spans="1:7" x14ac:dyDescent="0.25">
      <c r="B59" s="2">
        <f>Data!C24*Data!G24</f>
        <v>2.2420068653849998E-9</v>
      </c>
      <c r="C59" s="11">
        <f t="shared" si="15"/>
        <v>4.7349834903460857E-5</v>
      </c>
      <c r="D59" s="2">
        <f>Data!E24</f>
        <v>6.6453239999999997E-12</v>
      </c>
      <c r="E59" s="11">
        <f t="shared" si="13"/>
        <v>-8.2180703381948071E-9</v>
      </c>
      <c r="F59" s="3" t="e">
        <f t="shared" si="14"/>
        <v>#REF!</v>
      </c>
    </row>
    <row r="60" spans="1:7" x14ac:dyDescent="0.25">
      <c r="B60" s="2">
        <f>Data!C25*Data!G25</f>
        <v>2.2416157373760003E-9</v>
      </c>
      <c r="C60" s="11">
        <f t="shared" si="15"/>
        <v>4.7345704529302345E-5</v>
      </c>
      <c r="D60" s="2">
        <f>Data!E25</f>
        <v>6.6446189999999998E-12</v>
      </c>
      <c r="E60" s="11">
        <f t="shared" si="13"/>
        <v>-8.2173539216337496E-9</v>
      </c>
      <c r="F60" s="3" t="e">
        <f t="shared" si="14"/>
        <v>#REF!</v>
      </c>
    </row>
    <row r="61" spans="1:7" x14ac:dyDescent="0.25">
      <c r="A61">
        <f>Data!A26</f>
        <v>30</v>
      </c>
      <c r="B61" s="2">
        <f>Data!C26*Data!G26</f>
        <v>1.9733995635179999E-9</v>
      </c>
      <c r="C61" s="11">
        <f t="shared" si="15"/>
        <v>4.4422962120034273E-5</v>
      </c>
      <c r="D61" s="2">
        <f>Data!E26</f>
        <v>5.6547919999999999E-12</v>
      </c>
      <c r="E61" s="11">
        <f t="shared" si="13"/>
        <v>-7.7108929660499626E-9</v>
      </c>
      <c r="F61" s="3" t="e">
        <f t="shared" si="14"/>
        <v>#REF!</v>
      </c>
      <c r="G61" s="3" t="e">
        <f>AVERAGE(F61:F63)</f>
        <v>#REF!</v>
      </c>
    </row>
    <row r="62" spans="1:7" x14ac:dyDescent="0.25">
      <c r="B62" s="2">
        <f>Data!C27*Data!G27</f>
        <v>1.9727777507519998E-9</v>
      </c>
      <c r="C62" s="11">
        <f t="shared" si="15"/>
        <v>4.4415962792131388E-5</v>
      </c>
      <c r="D62" s="2">
        <f>Data!E27</f>
        <v>5.6551039999999999E-12</v>
      </c>
      <c r="E62" s="11">
        <f t="shared" si="13"/>
        <v>-7.7096774205724539E-9</v>
      </c>
      <c r="F62" s="3" t="e">
        <f t="shared" si="14"/>
        <v>#REF!</v>
      </c>
    </row>
    <row r="63" spans="1:7" x14ac:dyDescent="0.25">
      <c r="B63" s="2">
        <f>Data!C28*Data!G28</f>
        <v>1.9729255664500002E-9</v>
      </c>
      <c r="C63" s="11">
        <f t="shared" si="15"/>
        <v>4.4417626753913815E-5</v>
      </c>
      <c r="D63" s="2">
        <f>Data!E28</f>
        <v>5.6554719999999999E-12</v>
      </c>
      <c r="E63" s="11">
        <f t="shared" si="13"/>
        <v>-7.7099659520341388E-9</v>
      </c>
      <c r="F63" s="3" t="e">
        <f t="shared" si="14"/>
        <v>#REF!</v>
      </c>
    </row>
    <row r="64" spans="1:7" x14ac:dyDescent="0.25">
      <c r="A64" t="str">
        <f>Data!A29</f>
        <v>Openwater_3_T1_1</v>
      </c>
      <c r="B64" s="2">
        <f>Data!C29*Data!G29</f>
        <v>1.8620385452790003E-9</v>
      </c>
      <c r="C64" s="11">
        <f t="shared" si="15"/>
        <v>4.3151344652038368E-5</v>
      </c>
      <c r="D64" s="2">
        <f>Data!E29</f>
        <v>6.5301019999999998E-12</v>
      </c>
      <c r="E64" s="11">
        <f t="shared" si="13"/>
        <v>-7.4892375841436836E-9</v>
      </c>
      <c r="F64" s="3" t="e">
        <f t="shared" si="14"/>
        <v>#REF!</v>
      </c>
      <c r="G64" s="3" t="e">
        <f>AVERAGE(F64:F66)</f>
        <v>#REF!</v>
      </c>
    </row>
    <row r="65" spans="1:7" x14ac:dyDescent="0.25">
      <c r="B65" s="2">
        <f>Data!C30*Data!G30</f>
        <v>1.8613452035010001E-9</v>
      </c>
      <c r="C65" s="11">
        <f t="shared" si="15"/>
        <v>4.3143310066579268E-5</v>
      </c>
      <c r="D65" s="2">
        <f>Data!E30</f>
        <v>6.5303840000000002E-12</v>
      </c>
      <c r="E65" s="11">
        <f t="shared" si="13"/>
        <v>-7.4878423257454804E-9</v>
      </c>
      <c r="F65" s="3" t="e">
        <f t="shared" si="14"/>
        <v>#REF!</v>
      </c>
    </row>
    <row r="66" spans="1:7" x14ac:dyDescent="0.25">
      <c r="B66" s="2">
        <f>Data!C31*Data!G31</f>
        <v>1.8610325430559998E-9</v>
      </c>
      <c r="C66" s="11">
        <f t="shared" si="15"/>
        <v>4.3139686404238036E-5</v>
      </c>
      <c r="D66" s="2">
        <f>Data!E31</f>
        <v>6.5309270000000002E-12</v>
      </c>
      <c r="E66" s="11">
        <f t="shared" si="13"/>
        <v>-7.4872126372261743E-9</v>
      </c>
      <c r="F66" s="3" t="e">
        <f t="shared" si="14"/>
        <v>#REF!</v>
      </c>
    </row>
    <row r="67" spans="1:7" x14ac:dyDescent="0.25">
      <c r="A67" t="str">
        <f>Data!A32</f>
        <v>Openwater_4_T1_1</v>
      </c>
      <c r="B67" s="2">
        <f>Data!C32*Data!G32</f>
        <v>1.6311331563514001E-9</v>
      </c>
      <c r="C67" s="11">
        <f t="shared" ref="C67:C84" si="16">SQRT(B67)</f>
        <v>4.0387289539549446E-5</v>
      </c>
      <c r="D67" s="2">
        <f>Data!E32</f>
        <v>6.6061309999999996E-12</v>
      </c>
      <c r="E67" s="11">
        <f t="shared" si="13"/>
        <v>-7.0092622915310297E-9</v>
      </c>
      <c r="F67" s="3" t="e">
        <f t="shared" si="14"/>
        <v>#REF!</v>
      </c>
      <c r="G67" s="3" t="e">
        <f>AVERAGE(F67:F69)</f>
        <v>#REF!</v>
      </c>
    </row>
    <row r="68" spans="1:7" x14ac:dyDescent="0.25">
      <c r="B68" s="2">
        <f>Data!C33*Data!G33</f>
        <v>1.6306035582267E-9</v>
      </c>
      <c r="C68" s="11">
        <f t="shared" si="16"/>
        <v>4.0380732512260101E-5</v>
      </c>
      <c r="D68" s="2">
        <f>Data!E33</f>
        <v>6.6090699999999998E-12</v>
      </c>
      <c r="E68" s="11">
        <f t="shared" si="13"/>
        <v>-7.0081209119285163E-9</v>
      </c>
      <c r="F68" s="3" t="e">
        <f t="shared" si="14"/>
        <v>#REF!</v>
      </c>
    </row>
    <row r="69" spans="1:7" x14ac:dyDescent="0.25">
      <c r="B69" s="2">
        <f>Data!C34*Data!G34</f>
        <v>1.6303752382019999E-9</v>
      </c>
      <c r="C69" s="11">
        <f t="shared" si="16"/>
        <v>4.0377905322118924E-5</v>
      </c>
      <c r="D69" s="2">
        <f>Data!E34</f>
        <v>6.6063030000000004E-12</v>
      </c>
      <c r="E69" s="11">
        <f t="shared" si="13"/>
        <v>-7.0076328180695142E-9</v>
      </c>
      <c r="F69" s="3" t="e">
        <f t="shared" si="14"/>
        <v>#REF!</v>
      </c>
    </row>
    <row r="70" spans="1:7" x14ac:dyDescent="0.25">
      <c r="A70" t="str">
        <f>Data!A35</f>
        <v>SAVa_IN_T1_1</v>
      </c>
      <c r="B70" s="2">
        <f>Data!C35*Data!G35</f>
        <v>1.7155579854397998E-9</v>
      </c>
      <c r="C70" s="11">
        <f t="shared" si="16"/>
        <v>4.1419294844791836E-5</v>
      </c>
      <c r="D70" s="2">
        <f>Data!E35</f>
        <v>6.8534370000000002E-12</v>
      </c>
      <c r="E70" s="11">
        <f t="shared" si="13"/>
        <v>-7.1881932456867089E-9</v>
      </c>
      <c r="F70" s="3" t="e">
        <f t="shared" si="14"/>
        <v>#REF!</v>
      </c>
      <c r="G70" s="3" t="e">
        <f>AVERAGE(F70:F72)</f>
        <v>#REF!</v>
      </c>
    </row>
    <row r="71" spans="1:7" x14ac:dyDescent="0.25">
      <c r="B71" s="2">
        <f>Data!C36*Data!G36</f>
        <v>1.7164292745106999E-9</v>
      </c>
      <c r="C71" s="11">
        <f t="shared" si="16"/>
        <v>4.142981142258193E-5</v>
      </c>
      <c r="D71" s="2">
        <f>Data!E36</f>
        <v>6.857506E-12</v>
      </c>
      <c r="E71" s="11">
        <f t="shared" si="13"/>
        <v>-7.1900150801986858E-9</v>
      </c>
      <c r="F71" s="3" t="e">
        <f t="shared" si="14"/>
        <v>#REF!</v>
      </c>
    </row>
    <row r="72" spans="1:7" x14ac:dyDescent="0.25">
      <c r="B72" s="2">
        <f>Data!C37*Data!G37</f>
        <v>1.7129545949222002E-9</v>
      </c>
      <c r="C72" s="11">
        <f t="shared" si="16"/>
        <v>4.1387855645372598E-5</v>
      </c>
      <c r="D72" s="2">
        <f>Data!E37</f>
        <v>6.8480779999999997E-12</v>
      </c>
      <c r="E72" s="11">
        <f t="shared" si="13"/>
        <v>-7.1827400852159163E-9</v>
      </c>
      <c r="F72" s="3" t="e">
        <f t="shared" si="14"/>
        <v>#REF!</v>
      </c>
    </row>
    <row r="73" spans="1:7" x14ac:dyDescent="0.25">
      <c r="A73">
        <f>Data!A38</f>
        <v>20</v>
      </c>
      <c r="B73" s="2">
        <f>Data!C38*Data!G38</f>
        <v>2.1970350855379999E-9</v>
      </c>
      <c r="C73" s="11">
        <f t="shared" si="16"/>
        <v>4.687254084789942E-5</v>
      </c>
      <c r="D73" s="2">
        <f>Data!E38</f>
        <v>6.5586749999999996E-12</v>
      </c>
      <c r="E73" s="11">
        <f t="shared" si="13"/>
        <v>-8.135288499965413E-9</v>
      </c>
      <c r="F73" s="3" t="e">
        <f t="shared" si="14"/>
        <v>#REF!</v>
      </c>
      <c r="G73" s="3" t="e">
        <f>AVERAGE(F73:F75)</f>
        <v>#REF!</v>
      </c>
    </row>
    <row r="74" spans="1:7" x14ac:dyDescent="0.25">
      <c r="B74" s="2">
        <f>Data!C39*Data!G39</f>
        <v>2.1974339979900003E-9</v>
      </c>
      <c r="C74" s="11">
        <f t="shared" si="16"/>
        <v>4.6876795944155572E-5</v>
      </c>
      <c r="D74" s="2">
        <f>Data!E39</f>
        <v>6.5576420000000003E-12</v>
      </c>
      <c r="E74" s="11">
        <f t="shared" si="13"/>
        <v>-8.136028308958227E-9</v>
      </c>
      <c r="F74" s="3" t="e">
        <f t="shared" si="14"/>
        <v>#REF!</v>
      </c>
    </row>
    <row r="75" spans="1:7" x14ac:dyDescent="0.25">
      <c r="B75" s="2">
        <f>Data!C40*Data!G40</f>
        <v>2.1978796616699999E-9</v>
      </c>
      <c r="C75" s="11">
        <f t="shared" si="16"/>
        <v>4.6881549266955758E-5</v>
      </c>
      <c r="D75" s="2">
        <f>Data!E40</f>
        <v>6.5561640000000001E-12</v>
      </c>
      <c r="E75" s="11">
        <f t="shared" si="13"/>
        <v>-8.1368550657673293E-9</v>
      </c>
      <c r="F75" s="3" t="e">
        <f t="shared" si="14"/>
        <v>#REF!</v>
      </c>
    </row>
    <row r="76" spans="1:7" x14ac:dyDescent="0.25">
      <c r="A76">
        <f>Data!A41</f>
        <v>30</v>
      </c>
      <c r="B76" s="2">
        <f>Data!C41*Data!G41</f>
        <v>1.939994878985E-9</v>
      </c>
      <c r="C76" s="11">
        <f t="shared" si="16"/>
        <v>4.4045372957723945E-5</v>
      </c>
      <c r="D76" s="2">
        <f>Data!E41</f>
        <v>5.5820229999999998E-12</v>
      </c>
      <c r="E76" s="11">
        <f t="shared" si="13"/>
        <v>-7.6454081562151193E-9</v>
      </c>
      <c r="F76" s="3" t="e">
        <f t="shared" si="14"/>
        <v>#REF!</v>
      </c>
      <c r="G76" s="3" t="e">
        <f>AVERAGE(F76:F78)</f>
        <v>#REF!</v>
      </c>
    </row>
    <row r="77" spans="1:7" x14ac:dyDescent="0.25">
      <c r="B77" s="2">
        <f>Data!C42*Data!G42</f>
        <v>1.9391790623780002E-9</v>
      </c>
      <c r="C77" s="11">
        <f t="shared" si="16"/>
        <v>4.4036110890699695E-5</v>
      </c>
      <c r="D77" s="2">
        <f>Data!E42</f>
        <v>5.5778970000000002E-12</v>
      </c>
      <c r="E77" s="11">
        <f t="shared" si="13"/>
        <v>-7.6438041886845738E-9</v>
      </c>
      <c r="F77" s="3" t="e">
        <f t="shared" si="14"/>
        <v>#REF!</v>
      </c>
    </row>
    <row r="78" spans="1:7" x14ac:dyDescent="0.25">
      <c r="B78" s="2">
        <f>Data!C43*Data!G43</f>
        <v>1.9374596681759998E-9</v>
      </c>
      <c r="C78" s="11">
        <f t="shared" si="16"/>
        <v>4.4016584013028543E-5</v>
      </c>
      <c r="D78" s="2">
        <f>Data!E43</f>
        <v>5.5759840000000001E-12</v>
      </c>
      <c r="E78" s="11">
        <f t="shared" si="13"/>
        <v>-7.6404158168191588E-9</v>
      </c>
      <c r="F78" s="3" t="e">
        <f t="shared" si="14"/>
        <v>#REF!</v>
      </c>
    </row>
    <row r="79" spans="1:7" x14ac:dyDescent="0.25">
      <c r="A79" t="e">
        <f>Data!#REF!</f>
        <v>#REF!</v>
      </c>
      <c r="B79" s="2" t="e">
        <f>Data!#REF!*Data!#REF!</f>
        <v>#REF!</v>
      </c>
      <c r="C79" s="11" t="e">
        <f t="shared" si="16"/>
        <v>#REF!</v>
      </c>
      <c r="D79" s="2" t="e">
        <f>Data!#REF!</f>
        <v>#REF!</v>
      </c>
      <c r="E79" s="11" t="e">
        <f t="shared" si="13"/>
        <v>#REF!</v>
      </c>
      <c r="F79" s="3" t="e">
        <f t="shared" si="14"/>
        <v>#REF!</v>
      </c>
      <c r="G79" s="3" t="e">
        <f>AVERAGE(F79:F81)</f>
        <v>#REF!</v>
      </c>
    </row>
    <row r="80" spans="1:7" x14ac:dyDescent="0.25">
      <c r="B80" s="2" t="e">
        <f>Data!#REF!*Data!#REF!</f>
        <v>#REF!</v>
      </c>
      <c r="C80" s="11" t="e">
        <f t="shared" si="16"/>
        <v>#REF!</v>
      </c>
      <c r="D80" s="2" t="e">
        <f>Data!#REF!</f>
        <v>#REF!</v>
      </c>
      <c r="E80" s="11" t="e">
        <f t="shared" si="13"/>
        <v>#REF!</v>
      </c>
      <c r="F80" s="3" t="e">
        <f t="shared" si="14"/>
        <v>#REF!</v>
      </c>
    </row>
    <row r="81" spans="1:7" x14ac:dyDescent="0.25">
      <c r="B81" s="2" t="e">
        <f>Data!#REF!*Data!#REF!</f>
        <v>#REF!</v>
      </c>
      <c r="C81" s="11" t="e">
        <f t="shared" si="16"/>
        <v>#REF!</v>
      </c>
      <c r="D81" s="2" t="e">
        <f>Data!#REF!</f>
        <v>#REF!</v>
      </c>
      <c r="E81" s="11" t="e">
        <f t="shared" si="13"/>
        <v>#REF!</v>
      </c>
      <c r="F81" s="3" t="e">
        <f t="shared" si="14"/>
        <v>#REF!</v>
      </c>
    </row>
    <row r="82" spans="1:7" x14ac:dyDescent="0.25">
      <c r="A82" t="e">
        <f>Data!#REF!</f>
        <v>#REF!</v>
      </c>
      <c r="B82" s="2" t="e">
        <f>Data!#REF!*Data!#REF!</f>
        <v>#REF!</v>
      </c>
      <c r="C82" s="11" t="e">
        <f t="shared" si="16"/>
        <v>#REF!</v>
      </c>
      <c r="D82" s="2" t="e">
        <f>Data!#REF!</f>
        <v>#REF!</v>
      </c>
      <c r="E82" s="11" t="e">
        <f t="shared" si="13"/>
        <v>#REF!</v>
      </c>
      <c r="F82" s="3" t="e">
        <f t="shared" si="14"/>
        <v>#REF!</v>
      </c>
      <c r="G82" s="3" t="e">
        <f>AVERAGE(F82:F84)</f>
        <v>#REF!</v>
      </c>
    </row>
    <row r="83" spans="1:7" x14ac:dyDescent="0.25">
      <c r="B83" s="2" t="e">
        <f>Data!#REF!*Data!#REF!</f>
        <v>#REF!</v>
      </c>
      <c r="C83" s="11" t="e">
        <f t="shared" si="16"/>
        <v>#REF!</v>
      </c>
      <c r="D83" s="2" t="e">
        <f>Data!#REF!</f>
        <v>#REF!</v>
      </c>
      <c r="E83" s="11" t="e">
        <f t="shared" si="13"/>
        <v>#REF!</v>
      </c>
      <c r="F83" s="3" t="e">
        <f t="shared" si="14"/>
        <v>#REF!</v>
      </c>
    </row>
    <row r="84" spans="1:7" x14ac:dyDescent="0.25">
      <c r="B84" s="2" t="e">
        <f>Data!#REF!*Data!#REF!</f>
        <v>#REF!</v>
      </c>
      <c r="C84" s="11" t="e">
        <f t="shared" si="16"/>
        <v>#REF!</v>
      </c>
      <c r="D84" s="2" t="e">
        <f>Data!#REF!</f>
        <v>#REF!</v>
      </c>
      <c r="E84" s="11" t="e">
        <f t="shared" si="13"/>
        <v>#REF!</v>
      </c>
      <c r="F84" s="3" t="e">
        <f t="shared" si="14"/>
        <v>#REF!</v>
      </c>
    </row>
    <row r="85" spans="1:7" x14ac:dyDescent="0.25">
      <c r="A85" t="e">
        <f>Data!#REF!</f>
        <v>#REF!</v>
      </c>
      <c r="B85" s="2" t="e">
        <f>Data!#REF!*Data!#REF!</f>
        <v>#REF!</v>
      </c>
      <c r="C85" s="11" t="e">
        <f t="shared" ref="C85:C102" si="17">SQRT(B85)</f>
        <v>#REF!</v>
      </c>
      <c r="D85" s="2" t="e">
        <f>Data!#REF!</f>
        <v>#REF!</v>
      </c>
      <c r="E85" s="11" t="e">
        <f t="shared" si="13"/>
        <v>#REF!</v>
      </c>
      <c r="F85" s="3" t="e">
        <f t="shared" si="14"/>
        <v>#REF!</v>
      </c>
      <c r="G85" s="3" t="e">
        <f>AVERAGE(F85:F87)</f>
        <v>#REF!</v>
      </c>
    </row>
    <row r="86" spans="1:7" x14ac:dyDescent="0.25">
      <c r="B86" s="2" t="e">
        <f>Data!#REF!*Data!#REF!</f>
        <v>#REF!</v>
      </c>
      <c r="C86" s="11" t="e">
        <f t="shared" si="17"/>
        <v>#REF!</v>
      </c>
      <c r="D86" s="2" t="e">
        <f>Data!#REF!</f>
        <v>#REF!</v>
      </c>
      <c r="E86" s="11" t="e">
        <f t="shared" si="13"/>
        <v>#REF!</v>
      </c>
      <c r="F86" s="3" t="e">
        <f t="shared" si="14"/>
        <v>#REF!</v>
      </c>
    </row>
    <row r="87" spans="1:7" x14ac:dyDescent="0.25">
      <c r="B87" s="2" t="e">
        <f>Data!#REF!*Data!#REF!</f>
        <v>#REF!</v>
      </c>
      <c r="C87" s="11" t="e">
        <f t="shared" si="17"/>
        <v>#REF!</v>
      </c>
      <c r="D87" s="2" t="e">
        <f>Data!#REF!</f>
        <v>#REF!</v>
      </c>
      <c r="E87" s="11" t="e">
        <f t="shared" ref="E87:E102" si="18">D87-(C87*I$22+I$21)</f>
        <v>#REF!</v>
      </c>
      <c r="F87" s="3" t="e">
        <f t="shared" ref="F87:F102" si="19">A$1*E87/A$2</f>
        <v>#REF!</v>
      </c>
    </row>
    <row r="88" spans="1:7" x14ac:dyDescent="0.25">
      <c r="A88" t="e">
        <f>Data!#REF!</f>
        <v>#REF!</v>
      </c>
      <c r="B88" s="2" t="e">
        <f>Data!#REF!*Data!#REF!</f>
        <v>#REF!</v>
      </c>
      <c r="C88" s="11" t="e">
        <f t="shared" si="17"/>
        <v>#REF!</v>
      </c>
      <c r="D88" s="2" t="e">
        <f>Data!#REF!</f>
        <v>#REF!</v>
      </c>
      <c r="E88" s="11" t="e">
        <f t="shared" si="18"/>
        <v>#REF!</v>
      </c>
      <c r="F88" s="3" t="e">
        <f t="shared" si="19"/>
        <v>#REF!</v>
      </c>
      <c r="G88" s="3" t="e">
        <f>AVERAGE(F88:F90)</f>
        <v>#REF!</v>
      </c>
    </row>
    <row r="89" spans="1:7" x14ac:dyDescent="0.25">
      <c r="B89" s="2" t="e">
        <f>Data!#REF!*Data!#REF!</f>
        <v>#REF!</v>
      </c>
      <c r="C89" s="11" t="e">
        <f t="shared" si="17"/>
        <v>#REF!</v>
      </c>
      <c r="D89" s="2" t="e">
        <f>Data!#REF!</f>
        <v>#REF!</v>
      </c>
      <c r="E89" s="11" t="e">
        <f t="shared" si="18"/>
        <v>#REF!</v>
      </c>
      <c r="F89" s="3" t="e">
        <f t="shared" si="19"/>
        <v>#REF!</v>
      </c>
    </row>
    <row r="90" spans="1:7" x14ac:dyDescent="0.25">
      <c r="B90" s="2" t="e">
        <f>Data!#REF!*Data!#REF!</f>
        <v>#REF!</v>
      </c>
      <c r="C90" s="11" t="e">
        <f t="shared" si="17"/>
        <v>#REF!</v>
      </c>
      <c r="D90" s="2" t="e">
        <f>Data!#REF!</f>
        <v>#REF!</v>
      </c>
      <c r="E90" s="11" t="e">
        <f t="shared" si="18"/>
        <v>#REF!</v>
      </c>
      <c r="F90" s="3" t="e">
        <f t="shared" si="19"/>
        <v>#REF!</v>
      </c>
    </row>
    <row r="91" spans="1:7" x14ac:dyDescent="0.25">
      <c r="A91" t="e">
        <f>Data!#REF!</f>
        <v>#REF!</v>
      </c>
      <c r="B91" s="2" t="e">
        <f>Data!#REF!*Data!#REF!</f>
        <v>#REF!</v>
      </c>
      <c r="C91" s="11" t="e">
        <f t="shared" si="17"/>
        <v>#REF!</v>
      </c>
      <c r="D91" s="2" t="e">
        <f>Data!#REF!</f>
        <v>#REF!</v>
      </c>
      <c r="E91" s="11" t="e">
        <f t="shared" si="18"/>
        <v>#REF!</v>
      </c>
      <c r="F91" s="3" t="e">
        <f t="shared" si="19"/>
        <v>#REF!</v>
      </c>
      <c r="G91" s="3" t="e">
        <f>AVERAGE(F91:F93)</f>
        <v>#REF!</v>
      </c>
    </row>
    <row r="92" spans="1:7" x14ac:dyDescent="0.25">
      <c r="B92" s="2" t="e">
        <f>Data!#REF!*Data!#REF!</f>
        <v>#REF!</v>
      </c>
      <c r="C92" s="11" t="e">
        <f t="shared" si="17"/>
        <v>#REF!</v>
      </c>
      <c r="D92" s="2" t="e">
        <f>Data!#REF!</f>
        <v>#REF!</v>
      </c>
      <c r="E92" s="11" t="e">
        <f t="shared" si="18"/>
        <v>#REF!</v>
      </c>
      <c r="F92" s="3" t="e">
        <f t="shared" si="19"/>
        <v>#REF!</v>
      </c>
    </row>
    <row r="93" spans="1:7" x14ac:dyDescent="0.25">
      <c r="B93" s="2" t="e">
        <f>Data!#REF!*Data!#REF!</f>
        <v>#REF!</v>
      </c>
      <c r="C93" s="11" t="e">
        <f t="shared" si="17"/>
        <v>#REF!</v>
      </c>
      <c r="D93" s="2" t="e">
        <f>Data!#REF!</f>
        <v>#REF!</v>
      </c>
      <c r="E93" s="11" t="e">
        <f t="shared" si="18"/>
        <v>#REF!</v>
      </c>
      <c r="F93" s="3" t="e">
        <f t="shared" si="19"/>
        <v>#REF!</v>
      </c>
    </row>
    <row r="94" spans="1:7" x14ac:dyDescent="0.25">
      <c r="A94" t="e">
        <f>Data!#REF!</f>
        <v>#REF!</v>
      </c>
      <c r="B94" s="2" t="e">
        <f>Data!#REF!*Data!#REF!</f>
        <v>#REF!</v>
      </c>
      <c r="C94" s="11" t="e">
        <f t="shared" si="17"/>
        <v>#REF!</v>
      </c>
      <c r="D94" s="2" t="e">
        <f>Data!#REF!</f>
        <v>#REF!</v>
      </c>
      <c r="E94" s="11" t="e">
        <f t="shared" si="18"/>
        <v>#REF!</v>
      </c>
      <c r="F94" s="3" t="e">
        <f t="shared" si="19"/>
        <v>#REF!</v>
      </c>
      <c r="G94" s="3" t="e">
        <f>AVERAGE(F94:F96)</f>
        <v>#REF!</v>
      </c>
    </row>
    <row r="95" spans="1:7" x14ac:dyDescent="0.25">
      <c r="B95" s="2" t="e">
        <f>Data!#REF!*Data!#REF!</f>
        <v>#REF!</v>
      </c>
      <c r="C95" s="11" t="e">
        <f t="shared" si="17"/>
        <v>#REF!</v>
      </c>
      <c r="D95" s="2" t="e">
        <f>Data!#REF!</f>
        <v>#REF!</v>
      </c>
      <c r="E95" s="11" t="e">
        <f t="shared" si="18"/>
        <v>#REF!</v>
      </c>
      <c r="F95" s="3" t="e">
        <f t="shared" si="19"/>
        <v>#REF!</v>
      </c>
    </row>
    <row r="96" spans="1:7" x14ac:dyDescent="0.25">
      <c r="B96" s="2" t="e">
        <f>Data!#REF!*Data!#REF!</f>
        <v>#REF!</v>
      </c>
      <c r="C96" s="11" t="e">
        <f t="shared" si="17"/>
        <v>#REF!</v>
      </c>
      <c r="D96" s="2" t="e">
        <f>Data!#REF!</f>
        <v>#REF!</v>
      </c>
      <c r="E96" s="11" t="e">
        <f t="shared" si="18"/>
        <v>#REF!</v>
      </c>
      <c r="F96" s="3" t="e">
        <f t="shared" si="19"/>
        <v>#REF!</v>
      </c>
    </row>
    <row r="97" spans="1:7" x14ac:dyDescent="0.25">
      <c r="A97" t="e">
        <f>Data!#REF!</f>
        <v>#REF!</v>
      </c>
      <c r="B97" s="2" t="e">
        <f>Data!#REF!*Data!#REF!</f>
        <v>#REF!</v>
      </c>
      <c r="C97" s="11" t="e">
        <f t="shared" si="17"/>
        <v>#REF!</v>
      </c>
      <c r="D97" s="2" t="e">
        <f>Data!#REF!</f>
        <v>#REF!</v>
      </c>
      <c r="E97" s="11" t="e">
        <f t="shared" si="18"/>
        <v>#REF!</v>
      </c>
      <c r="F97" s="3" t="e">
        <f t="shared" si="19"/>
        <v>#REF!</v>
      </c>
      <c r="G97" s="3" t="e">
        <f>AVERAGE(F97:F99)</f>
        <v>#REF!</v>
      </c>
    </row>
    <row r="98" spans="1:7" x14ac:dyDescent="0.25">
      <c r="B98" s="2" t="e">
        <f>Data!#REF!*Data!#REF!</f>
        <v>#REF!</v>
      </c>
      <c r="C98" s="11" t="e">
        <f t="shared" si="17"/>
        <v>#REF!</v>
      </c>
      <c r="D98" s="2" t="e">
        <f>Data!#REF!</f>
        <v>#REF!</v>
      </c>
      <c r="E98" s="11" t="e">
        <f t="shared" si="18"/>
        <v>#REF!</v>
      </c>
      <c r="F98" s="3" t="e">
        <f t="shared" si="19"/>
        <v>#REF!</v>
      </c>
    </row>
    <row r="99" spans="1:7" x14ac:dyDescent="0.25">
      <c r="B99" s="2" t="e">
        <f>Data!#REF!*Data!#REF!</f>
        <v>#REF!</v>
      </c>
      <c r="C99" s="11" t="e">
        <f t="shared" si="17"/>
        <v>#REF!</v>
      </c>
      <c r="D99" s="2" t="e">
        <f>Data!#REF!</f>
        <v>#REF!</v>
      </c>
      <c r="E99" s="11" t="e">
        <f t="shared" si="18"/>
        <v>#REF!</v>
      </c>
      <c r="F99" s="3" t="e">
        <f t="shared" si="19"/>
        <v>#REF!</v>
      </c>
    </row>
    <row r="100" spans="1:7" x14ac:dyDescent="0.25">
      <c r="A100" t="e">
        <f>Data!#REF!</f>
        <v>#REF!</v>
      </c>
      <c r="B100" s="2" t="e">
        <f>Data!#REF!*Data!#REF!</f>
        <v>#REF!</v>
      </c>
      <c r="C100" s="11" t="e">
        <f t="shared" si="17"/>
        <v>#REF!</v>
      </c>
      <c r="D100" s="2" t="e">
        <f>Data!#REF!</f>
        <v>#REF!</v>
      </c>
      <c r="E100" s="11" t="e">
        <f t="shared" si="18"/>
        <v>#REF!</v>
      </c>
      <c r="F100" s="3" t="e">
        <f t="shared" si="19"/>
        <v>#REF!</v>
      </c>
      <c r="G100" s="3" t="e">
        <f>AVERAGE(F100:F102)</f>
        <v>#REF!</v>
      </c>
    </row>
    <row r="101" spans="1:7" x14ac:dyDescent="0.25">
      <c r="B101" s="2" t="e">
        <f>Data!#REF!*Data!#REF!</f>
        <v>#REF!</v>
      </c>
      <c r="C101" s="11" t="e">
        <f t="shared" si="17"/>
        <v>#REF!</v>
      </c>
      <c r="D101" s="2" t="e">
        <f>Data!#REF!</f>
        <v>#REF!</v>
      </c>
      <c r="E101" s="11" t="e">
        <f t="shared" si="18"/>
        <v>#REF!</v>
      </c>
      <c r="F101" s="3" t="e">
        <f t="shared" si="19"/>
        <v>#REF!</v>
      </c>
    </row>
    <row r="102" spans="1:7" x14ac:dyDescent="0.25">
      <c r="B102" s="2" t="e">
        <f>Data!#REF!*Data!#REF!</f>
        <v>#REF!</v>
      </c>
      <c r="C102" s="11" t="e">
        <f t="shared" si="17"/>
        <v>#REF!</v>
      </c>
      <c r="D102" s="2" t="e">
        <f>Data!#REF!</f>
        <v>#REF!</v>
      </c>
      <c r="E102" s="11" t="e">
        <f t="shared" si="18"/>
        <v>#REF!</v>
      </c>
      <c r="F102" s="3" t="e">
        <f t="shared" si="19"/>
        <v>#REF!</v>
      </c>
    </row>
    <row r="103" spans="1:7" x14ac:dyDescent="0.25">
      <c r="A103" t="e">
        <f>Data!#REF!</f>
        <v>#REF!</v>
      </c>
      <c r="B103" s="2" t="e">
        <f>Data!#REF!*Data!#REF!</f>
        <v>#REF!</v>
      </c>
      <c r="C103" s="11" t="e">
        <f t="shared" ref="C103:C108" si="20">SQRT(B103)</f>
        <v>#REF!</v>
      </c>
      <c r="D103" s="2" t="e">
        <f>Data!#REF!</f>
        <v>#REF!</v>
      </c>
      <c r="E103" s="11" t="e">
        <f t="shared" ref="E103:E108" si="21">D103-(C103*I$22+I$21)</f>
        <v>#REF!</v>
      </c>
      <c r="F103" s="3" t="e">
        <f t="shared" ref="F103:F108" si="22">A$1*E103/A$2</f>
        <v>#REF!</v>
      </c>
      <c r="G103" s="3" t="e">
        <f>AVERAGE(F103:F105)</f>
        <v>#REF!</v>
      </c>
    </row>
    <row r="104" spans="1:7" x14ac:dyDescent="0.25">
      <c r="B104" s="2" t="e">
        <f>Data!#REF!*Data!#REF!</f>
        <v>#REF!</v>
      </c>
      <c r="C104" s="11" t="e">
        <f t="shared" si="20"/>
        <v>#REF!</v>
      </c>
      <c r="D104" s="2" t="e">
        <f>Data!#REF!</f>
        <v>#REF!</v>
      </c>
      <c r="E104" s="11" t="e">
        <f t="shared" si="21"/>
        <v>#REF!</v>
      </c>
      <c r="F104" s="3" t="e">
        <f t="shared" si="22"/>
        <v>#REF!</v>
      </c>
    </row>
    <row r="105" spans="1:7" x14ac:dyDescent="0.25">
      <c r="B105" s="2" t="e">
        <f>Data!#REF!*Data!#REF!</f>
        <v>#REF!</v>
      </c>
      <c r="C105" s="11" t="e">
        <f t="shared" si="20"/>
        <v>#REF!</v>
      </c>
      <c r="D105" s="2" t="e">
        <f>Data!#REF!</f>
        <v>#REF!</v>
      </c>
      <c r="E105" s="11" t="e">
        <f t="shared" si="21"/>
        <v>#REF!</v>
      </c>
      <c r="F105" s="3" t="e">
        <f t="shared" si="22"/>
        <v>#REF!</v>
      </c>
    </row>
    <row r="106" spans="1:7" x14ac:dyDescent="0.25">
      <c r="A106" t="e">
        <f>Data!#REF!</f>
        <v>#REF!</v>
      </c>
      <c r="B106" s="2" t="e">
        <f>Data!#REF!*Data!#REF!</f>
        <v>#REF!</v>
      </c>
      <c r="C106" s="11" t="e">
        <f t="shared" si="20"/>
        <v>#REF!</v>
      </c>
      <c r="D106" s="2" t="e">
        <f>Data!#REF!</f>
        <v>#REF!</v>
      </c>
      <c r="E106" s="11" t="e">
        <f t="shared" si="21"/>
        <v>#REF!</v>
      </c>
      <c r="F106" s="3" t="e">
        <f t="shared" si="22"/>
        <v>#REF!</v>
      </c>
      <c r="G106" s="3" t="e">
        <f>AVERAGE(F106:F108)</f>
        <v>#REF!</v>
      </c>
    </row>
    <row r="107" spans="1:7" x14ac:dyDescent="0.25">
      <c r="B107" s="2" t="e">
        <f>Data!#REF!*Data!#REF!</f>
        <v>#REF!</v>
      </c>
      <c r="C107" s="11" t="e">
        <f t="shared" si="20"/>
        <v>#REF!</v>
      </c>
      <c r="D107" s="2" t="e">
        <f>Data!#REF!</f>
        <v>#REF!</v>
      </c>
      <c r="E107" s="11" t="e">
        <f t="shared" si="21"/>
        <v>#REF!</v>
      </c>
      <c r="F107" s="3" t="e">
        <f t="shared" si="22"/>
        <v>#REF!</v>
      </c>
    </row>
    <row r="108" spans="1:7" x14ac:dyDescent="0.25">
      <c r="B108" s="2" t="e">
        <f>Data!#REF!*Data!#REF!</f>
        <v>#REF!</v>
      </c>
      <c r="C108" s="11" t="e">
        <f t="shared" si="20"/>
        <v>#REF!</v>
      </c>
      <c r="D108" s="2" t="e">
        <f>Data!#REF!</f>
        <v>#REF!</v>
      </c>
      <c r="E108" s="11" t="e">
        <f t="shared" si="21"/>
        <v>#REF!</v>
      </c>
      <c r="F108" s="3" t="e">
        <f t="shared" si="22"/>
        <v>#REF!</v>
      </c>
    </row>
    <row r="109" spans="1:7" x14ac:dyDescent="0.25">
      <c r="A109" t="e">
        <f>Data!#REF!</f>
        <v>#REF!</v>
      </c>
      <c r="B109" s="2" t="e">
        <f>Data!#REF!*Data!#REF!</f>
        <v>#REF!</v>
      </c>
      <c r="C109" s="11" t="e">
        <f t="shared" ref="C109:C114" si="23">SQRT(B109)</f>
        <v>#REF!</v>
      </c>
      <c r="D109" s="2" t="e">
        <f>Data!#REF!</f>
        <v>#REF!</v>
      </c>
      <c r="E109" s="11" t="e">
        <f t="shared" ref="E109:E114" si="24">D109-(C109*I$22+I$21)</f>
        <v>#REF!</v>
      </c>
      <c r="F109" s="3" t="e">
        <f t="shared" ref="F109:F114" si="25">A$1*E109/A$2</f>
        <v>#REF!</v>
      </c>
      <c r="G109" s="3" t="e">
        <f>AVERAGE(F109:F111)</f>
        <v>#REF!</v>
      </c>
    </row>
    <row r="110" spans="1:7" x14ac:dyDescent="0.25">
      <c r="B110" s="2" t="e">
        <f>Data!#REF!*Data!#REF!</f>
        <v>#REF!</v>
      </c>
      <c r="C110" s="11" t="e">
        <f t="shared" si="23"/>
        <v>#REF!</v>
      </c>
      <c r="D110" s="2" t="e">
        <f>Data!#REF!</f>
        <v>#REF!</v>
      </c>
      <c r="E110" s="11" t="e">
        <f t="shared" si="24"/>
        <v>#REF!</v>
      </c>
      <c r="F110" s="3" t="e">
        <f t="shared" si="25"/>
        <v>#REF!</v>
      </c>
    </row>
    <row r="111" spans="1:7" x14ac:dyDescent="0.25">
      <c r="B111" s="2" t="e">
        <f>Data!#REF!*Data!#REF!</f>
        <v>#REF!</v>
      </c>
      <c r="C111" s="11" t="e">
        <f t="shared" si="23"/>
        <v>#REF!</v>
      </c>
      <c r="D111" s="2" t="e">
        <f>Data!#REF!</f>
        <v>#REF!</v>
      </c>
      <c r="E111" s="11" t="e">
        <f t="shared" si="24"/>
        <v>#REF!</v>
      </c>
      <c r="F111" s="3" t="e">
        <f t="shared" si="25"/>
        <v>#REF!</v>
      </c>
    </row>
    <row r="112" spans="1:7" x14ac:dyDescent="0.25">
      <c r="A112" t="e">
        <f>Data!#REF!</f>
        <v>#REF!</v>
      </c>
      <c r="B112" s="2" t="e">
        <f>Data!#REF!*Data!#REF!</f>
        <v>#REF!</v>
      </c>
      <c r="C112" s="11" t="e">
        <f t="shared" si="23"/>
        <v>#REF!</v>
      </c>
      <c r="D112" s="2" t="e">
        <f>Data!#REF!</f>
        <v>#REF!</v>
      </c>
      <c r="E112" s="11" t="e">
        <f t="shared" si="24"/>
        <v>#REF!</v>
      </c>
      <c r="F112" s="3" t="e">
        <f t="shared" si="25"/>
        <v>#REF!</v>
      </c>
      <c r="G112" s="3" t="e">
        <f>AVERAGE(F112:F114)</f>
        <v>#REF!</v>
      </c>
    </row>
    <row r="113" spans="1:7" x14ac:dyDescent="0.25">
      <c r="B113" s="2" t="e">
        <f>Data!#REF!*Data!#REF!</f>
        <v>#REF!</v>
      </c>
      <c r="C113" s="11" t="e">
        <f t="shared" si="23"/>
        <v>#REF!</v>
      </c>
      <c r="D113" s="2" t="e">
        <f>Data!#REF!</f>
        <v>#REF!</v>
      </c>
      <c r="E113" s="11" t="e">
        <f t="shared" si="24"/>
        <v>#REF!</v>
      </c>
      <c r="F113" s="3" t="e">
        <f t="shared" si="25"/>
        <v>#REF!</v>
      </c>
    </row>
    <row r="114" spans="1:7" x14ac:dyDescent="0.25">
      <c r="B114" s="2" t="e">
        <f>Data!#REF!*Data!#REF!</f>
        <v>#REF!</v>
      </c>
      <c r="C114" s="11" t="e">
        <f t="shared" si="23"/>
        <v>#REF!</v>
      </c>
      <c r="D114" s="2" t="e">
        <f>Data!#REF!</f>
        <v>#REF!</v>
      </c>
      <c r="E114" s="11" t="e">
        <f t="shared" si="24"/>
        <v>#REF!</v>
      </c>
      <c r="F114" s="3" t="e">
        <f t="shared" si="25"/>
        <v>#REF!</v>
      </c>
    </row>
    <row r="115" spans="1:7" x14ac:dyDescent="0.25">
      <c r="A115" t="e">
        <f>Data!#REF!</f>
        <v>#REF!</v>
      </c>
      <c r="B115" s="2" t="e">
        <f>Data!#REF!*Data!#REF!</f>
        <v>#REF!</v>
      </c>
      <c r="C115" s="11" t="e">
        <f t="shared" ref="C115:C132" si="26">SQRT(B115)</f>
        <v>#REF!</v>
      </c>
      <c r="D115" s="2" t="e">
        <f>Data!#REF!</f>
        <v>#REF!</v>
      </c>
      <c r="E115" s="11" t="e">
        <f t="shared" ref="E115:E132" si="27">D115-(C115*I$22+I$21)</f>
        <v>#REF!</v>
      </c>
      <c r="F115" s="3" t="e">
        <f t="shared" ref="F115:F132" si="28">A$1*E115/A$2</f>
        <v>#REF!</v>
      </c>
      <c r="G115" s="3" t="e">
        <f>AVERAGE(F115:F117)</f>
        <v>#REF!</v>
      </c>
    </row>
    <row r="116" spans="1:7" x14ac:dyDescent="0.25">
      <c r="B116" s="2" t="e">
        <f>Data!#REF!*Data!#REF!</f>
        <v>#REF!</v>
      </c>
      <c r="C116" s="11" t="e">
        <f t="shared" si="26"/>
        <v>#REF!</v>
      </c>
      <c r="D116" s="2" t="e">
        <f>Data!#REF!</f>
        <v>#REF!</v>
      </c>
      <c r="E116" s="11" t="e">
        <f t="shared" si="27"/>
        <v>#REF!</v>
      </c>
      <c r="F116" s="3" t="e">
        <f t="shared" si="28"/>
        <v>#REF!</v>
      </c>
    </row>
    <row r="117" spans="1:7" x14ac:dyDescent="0.25">
      <c r="B117" s="2" t="e">
        <f>Data!#REF!*Data!#REF!</f>
        <v>#REF!</v>
      </c>
      <c r="C117" s="11" t="e">
        <f t="shared" si="26"/>
        <v>#REF!</v>
      </c>
      <c r="D117" s="2" t="e">
        <f>Data!#REF!</f>
        <v>#REF!</v>
      </c>
      <c r="E117" s="11" t="e">
        <f t="shared" si="27"/>
        <v>#REF!</v>
      </c>
      <c r="F117" s="3" t="e">
        <f t="shared" si="28"/>
        <v>#REF!</v>
      </c>
    </row>
    <row r="118" spans="1:7" x14ac:dyDescent="0.25">
      <c r="A118" t="e">
        <f>Data!#REF!</f>
        <v>#REF!</v>
      </c>
      <c r="B118" s="2" t="e">
        <f>Data!#REF!*Data!#REF!</f>
        <v>#REF!</v>
      </c>
      <c r="C118" s="11" t="e">
        <f t="shared" si="26"/>
        <v>#REF!</v>
      </c>
      <c r="D118" s="2" t="e">
        <f>Data!#REF!</f>
        <v>#REF!</v>
      </c>
      <c r="E118" s="11" t="e">
        <f t="shared" si="27"/>
        <v>#REF!</v>
      </c>
      <c r="F118" s="3" t="e">
        <f t="shared" si="28"/>
        <v>#REF!</v>
      </c>
      <c r="G118" s="3" t="e">
        <f>AVERAGE(F118:F120)</f>
        <v>#REF!</v>
      </c>
    </row>
    <row r="119" spans="1:7" x14ac:dyDescent="0.25">
      <c r="B119" s="2" t="e">
        <f>Data!#REF!*Data!#REF!</f>
        <v>#REF!</v>
      </c>
      <c r="C119" s="11" t="e">
        <f t="shared" si="26"/>
        <v>#REF!</v>
      </c>
      <c r="D119" s="2" t="e">
        <f>Data!#REF!</f>
        <v>#REF!</v>
      </c>
      <c r="E119" s="11" t="e">
        <f t="shared" si="27"/>
        <v>#REF!</v>
      </c>
      <c r="F119" s="3" t="e">
        <f t="shared" si="28"/>
        <v>#REF!</v>
      </c>
    </row>
    <row r="120" spans="1:7" x14ac:dyDescent="0.25">
      <c r="B120" s="2" t="e">
        <f>Data!#REF!*Data!#REF!</f>
        <v>#REF!</v>
      </c>
      <c r="C120" s="11" t="e">
        <f t="shared" si="26"/>
        <v>#REF!</v>
      </c>
      <c r="D120" s="2" t="e">
        <f>Data!#REF!</f>
        <v>#REF!</v>
      </c>
      <c r="E120" s="11" t="e">
        <f t="shared" si="27"/>
        <v>#REF!</v>
      </c>
      <c r="F120" s="3" t="e">
        <f t="shared" si="28"/>
        <v>#REF!</v>
      </c>
    </row>
    <row r="121" spans="1:7" x14ac:dyDescent="0.25">
      <c r="A121" t="e">
        <f>Data!#REF!</f>
        <v>#REF!</v>
      </c>
      <c r="B121" s="2" t="e">
        <f>Data!#REF!*Data!#REF!</f>
        <v>#REF!</v>
      </c>
      <c r="C121" s="11" t="e">
        <f t="shared" si="26"/>
        <v>#REF!</v>
      </c>
      <c r="D121" s="2" t="e">
        <f>Data!#REF!</f>
        <v>#REF!</v>
      </c>
      <c r="E121" s="11" t="e">
        <f t="shared" si="27"/>
        <v>#REF!</v>
      </c>
      <c r="F121" s="3" t="e">
        <f t="shared" si="28"/>
        <v>#REF!</v>
      </c>
      <c r="G121" s="3" t="e">
        <f>AVERAGE(F121:F123)</f>
        <v>#REF!</v>
      </c>
    </row>
    <row r="122" spans="1:7" x14ac:dyDescent="0.25">
      <c r="B122" s="2" t="e">
        <f>Data!#REF!*Data!#REF!</f>
        <v>#REF!</v>
      </c>
      <c r="C122" s="11" t="e">
        <f t="shared" si="26"/>
        <v>#REF!</v>
      </c>
      <c r="D122" s="2" t="e">
        <f>Data!#REF!</f>
        <v>#REF!</v>
      </c>
      <c r="E122" s="11" t="e">
        <f t="shared" si="27"/>
        <v>#REF!</v>
      </c>
      <c r="F122" s="3" t="e">
        <f t="shared" si="28"/>
        <v>#REF!</v>
      </c>
    </row>
    <row r="123" spans="1:7" x14ac:dyDescent="0.25">
      <c r="B123" s="2" t="e">
        <f>Data!#REF!*Data!#REF!</f>
        <v>#REF!</v>
      </c>
      <c r="C123" s="11" t="e">
        <f t="shared" si="26"/>
        <v>#REF!</v>
      </c>
      <c r="D123" s="2" t="e">
        <f>Data!#REF!</f>
        <v>#REF!</v>
      </c>
      <c r="E123" s="11" t="e">
        <f t="shared" si="27"/>
        <v>#REF!</v>
      </c>
      <c r="F123" s="3" t="e">
        <f t="shared" si="28"/>
        <v>#REF!</v>
      </c>
    </row>
    <row r="124" spans="1:7" x14ac:dyDescent="0.25">
      <c r="A124" t="e">
        <f>Data!#REF!</f>
        <v>#REF!</v>
      </c>
      <c r="B124" s="2" t="e">
        <f>Data!#REF!*Data!#REF!</f>
        <v>#REF!</v>
      </c>
      <c r="C124" s="11" t="e">
        <f t="shared" si="26"/>
        <v>#REF!</v>
      </c>
      <c r="D124" s="2" t="e">
        <f>Data!#REF!</f>
        <v>#REF!</v>
      </c>
      <c r="E124" s="11" t="e">
        <f t="shared" si="27"/>
        <v>#REF!</v>
      </c>
      <c r="F124" s="3" t="e">
        <f t="shared" si="28"/>
        <v>#REF!</v>
      </c>
      <c r="G124" s="3" t="e">
        <f>AVERAGE(F124:F126)</f>
        <v>#REF!</v>
      </c>
    </row>
    <row r="125" spans="1:7" x14ac:dyDescent="0.25">
      <c r="B125" s="2" t="e">
        <f>Data!#REF!*Data!#REF!</f>
        <v>#REF!</v>
      </c>
      <c r="C125" s="11" t="e">
        <f t="shared" si="26"/>
        <v>#REF!</v>
      </c>
      <c r="D125" s="2" t="e">
        <f>Data!#REF!</f>
        <v>#REF!</v>
      </c>
      <c r="E125" s="11" t="e">
        <f t="shared" si="27"/>
        <v>#REF!</v>
      </c>
      <c r="F125" s="3" t="e">
        <f t="shared" si="28"/>
        <v>#REF!</v>
      </c>
    </row>
    <row r="126" spans="1:7" x14ac:dyDescent="0.25">
      <c r="B126" s="2" t="e">
        <f>Data!#REF!*Data!#REF!</f>
        <v>#REF!</v>
      </c>
      <c r="C126" s="11" t="e">
        <f t="shared" si="26"/>
        <v>#REF!</v>
      </c>
      <c r="D126" s="2" t="e">
        <f>Data!#REF!</f>
        <v>#REF!</v>
      </c>
      <c r="E126" s="11" t="e">
        <f t="shared" si="27"/>
        <v>#REF!</v>
      </c>
      <c r="F126" s="3" t="e">
        <f t="shared" si="28"/>
        <v>#REF!</v>
      </c>
    </row>
    <row r="127" spans="1:7" x14ac:dyDescent="0.25">
      <c r="A127" t="e">
        <f>Data!#REF!</f>
        <v>#REF!</v>
      </c>
      <c r="B127" s="2" t="e">
        <f>Data!#REF!*Data!#REF!</f>
        <v>#REF!</v>
      </c>
      <c r="C127" s="11" t="e">
        <f t="shared" si="26"/>
        <v>#REF!</v>
      </c>
      <c r="D127" s="2" t="e">
        <f>Data!#REF!</f>
        <v>#REF!</v>
      </c>
      <c r="E127" s="11" t="e">
        <f t="shared" si="27"/>
        <v>#REF!</v>
      </c>
      <c r="F127" s="3" t="e">
        <f t="shared" si="28"/>
        <v>#REF!</v>
      </c>
      <c r="G127" s="3" t="e">
        <f>AVERAGE(F127:F129)</f>
        <v>#REF!</v>
      </c>
    </row>
    <row r="128" spans="1:7" x14ac:dyDescent="0.25">
      <c r="B128" s="2" t="e">
        <f>Data!#REF!*Data!#REF!</f>
        <v>#REF!</v>
      </c>
      <c r="C128" s="11" t="e">
        <f t="shared" si="26"/>
        <v>#REF!</v>
      </c>
      <c r="D128" s="2" t="e">
        <f>Data!#REF!</f>
        <v>#REF!</v>
      </c>
      <c r="E128" s="11" t="e">
        <f t="shared" si="27"/>
        <v>#REF!</v>
      </c>
      <c r="F128" s="3" t="e">
        <f t="shared" si="28"/>
        <v>#REF!</v>
      </c>
    </row>
    <row r="129" spans="1:7" x14ac:dyDescent="0.25">
      <c r="B129" s="2" t="e">
        <f>Data!#REF!*Data!#REF!</f>
        <v>#REF!</v>
      </c>
      <c r="C129" s="11" t="e">
        <f t="shared" si="26"/>
        <v>#REF!</v>
      </c>
      <c r="D129" s="2" t="e">
        <f>Data!#REF!</f>
        <v>#REF!</v>
      </c>
      <c r="E129" s="11" t="e">
        <f t="shared" si="27"/>
        <v>#REF!</v>
      </c>
      <c r="F129" s="3" t="e">
        <f t="shared" si="28"/>
        <v>#REF!</v>
      </c>
    </row>
    <row r="130" spans="1:7" x14ac:dyDescent="0.25">
      <c r="A130" t="e">
        <f>Data!#REF!</f>
        <v>#REF!</v>
      </c>
      <c r="B130" s="2" t="e">
        <f>Data!#REF!*Data!#REF!</f>
        <v>#REF!</v>
      </c>
      <c r="C130" s="11" t="e">
        <f t="shared" si="26"/>
        <v>#REF!</v>
      </c>
      <c r="D130" s="2" t="e">
        <f>Data!#REF!</f>
        <v>#REF!</v>
      </c>
      <c r="E130" s="11" t="e">
        <f t="shared" si="27"/>
        <v>#REF!</v>
      </c>
      <c r="F130" s="3" t="e">
        <f t="shared" si="28"/>
        <v>#REF!</v>
      </c>
      <c r="G130" s="3" t="e">
        <f>AVERAGE(F130:F132)</f>
        <v>#REF!</v>
      </c>
    </row>
    <row r="131" spans="1:7" x14ac:dyDescent="0.25">
      <c r="B131" s="2" t="e">
        <f>Data!#REF!*Data!#REF!</f>
        <v>#REF!</v>
      </c>
      <c r="C131" s="11" t="e">
        <f t="shared" si="26"/>
        <v>#REF!</v>
      </c>
      <c r="D131" s="2" t="e">
        <f>Data!#REF!</f>
        <v>#REF!</v>
      </c>
      <c r="E131" s="11" t="e">
        <f t="shared" si="27"/>
        <v>#REF!</v>
      </c>
      <c r="F131" s="3" t="e">
        <f t="shared" si="28"/>
        <v>#REF!</v>
      </c>
    </row>
    <row r="132" spans="1:7" x14ac:dyDescent="0.25">
      <c r="B132" s="2" t="e">
        <f>Data!#REF!*Data!#REF!</f>
        <v>#REF!</v>
      </c>
      <c r="C132" s="11" t="e">
        <f t="shared" si="26"/>
        <v>#REF!</v>
      </c>
      <c r="D132" s="2" t="e">
        <f>Data!#REF!</f>
        <v>#REF!</v>
      </c>
      <c r="E132" s="11" t="e">
        <f t="shared" si="27"/>
        <v>#REF!</v>
      </c>
      <c r="F132" s="3" t="e">
        <f t="shared" si="28"/>
        <v>#REF!</v>
      </c>
    </row>
    <row r="133" spans="1:7" x14ac:dyDescent="0.25">
      <c r="A133" t="e">
        <f>Data!#REF!</f>
        <v>#REF!</v>
      </c>
      <c r="B133" s="2" t="e">
        <f>Data!#REF!*Data!#REF!</f>
        <v>#REF!</v>
      </c>
      <c r="C133" s="11" t="e">
        <f t="shared" ref="C133:C174" si="29">SQRT(B133)</f>
        <v>#REF!</v>
      </c>
      <c r="D133" s="2" t="e">
        <f>Data!#REF!</f>
        <v>#REF!</v>
      </c>
      <c r="E133" s="11" t="e">
        <f t="shared" ref="E133:E174" si="30">D133-(C133*I$22+I$21)</f>
        <v>#REF!</v>
      </c>
      <c r="F133" s="3" t="e">
        <f t="shared" ref="F133:F174" si="31">A$1*E133/A$2</f>
        <v>#REF!</v>
      </c>
      <c r="G133" s="3" t="e">
        <f>AVERAGE(F133:F135)</f>
        <v>#REF!</v>
      </c>
    </row>
    <row r="134" spans="1:7" x14ac:dyDescent="0.25">
      <c r="B134" s="2" t="e">
        <f>Data!#REF!*Data!#REF!</f>
        <v>#REF!</v>
      </c>
      <c r="C134" s="11" t="e">
        <f t="shared" si="29"/>
        <v>#REF!</v>
      </c>
      <c r="D134" s="2" t="e">
        <f>Data!#REF!</f>
        <v>#REF!</v>
      </c>
      <c r="E134" s="11" t="e">
        <f t="shared" si="30"/>
        <v>#REF!</v>
      </c>
      <c r="F134" s="3" t="e">
        <f t="shared" si="31"/>
        <v>#REF!</v>
      </c>
    </row>
    <row r="135" spans="1:7" x14ac:dyDescent="0.25">
      <c r="B135" s="2" t="e">
        <f>Data!#REF!*Data!#REF!</f>
        <v>#REF!</v>
      </c>
      <c r="C135" s="11" t="e">
        <f t="shared" si="29"/>
        <v>#REF!</v>
      </c>
      <c r="D135" s="2" t="e">
        <f>Data!#REF!</f>
        <v>#REF!</v>
      </c>
      <c r="E135" s="11" t="e">
        <f t="shared" si="30"/>
        <v>#REF!</v>
      </c>
      <c r="F135" s="3" t="e">
        <f t="shared" si="31"/>
        <v>#REF!</v>
      </c>
    </row>
    <row r="136" spans="1:7" x14ac:dyDescent="0.25">
      <c r="A136" t="e">
        <f>Data!#REF!</f>
        <v>#REF!</v>
      </c>
      <c r="B136" s="2" t="e">
        <f>Data!#REF!*Data!#REF!</f>
        <v>#REF!</v>
      </c>
      <c r="C136" s="11" t="e">
        <f t="shared" si="29"/>
        <v>#REF!</v>
      </c>
      <c r="D136" s="2" t="e">
        <f>Data!#REF!</f>
        <v>#REF!</v>
      </c>
      <c r="E136" s="11" t="e">
        <f t="shared" si="30"/>
        <v>#REF!</v>
      </c>
      <c r="F136" s="3" t="e">
        <f t="shared" si="31"/>
        <v>#REF!</v>
      </c>
      <c r="G136" s="3" t="e">
        <f>AVERAGE(F136:F138)</f>
        <v>#REF!</v>
      </c>
    </row>
    <row r="137" spans="1:7" x14ac:dyDescent="0.25">
      <c r="B137" s="2" t="e">
        <f>Data!#REF!*Data!#REF!</f>
        <v>#REF!</v>
      </c>
      <c r="C137" s="11" t="e">
        <f t="shared" si="29"/>
        <v>#REF!</v>
      </c>
      <c r="D137" s="2" t="e">
        <f>Data!#REF!</f>
        <v>#REF!</v>
      </c>
      <c r="E137" s="11" t="e">
        <f t="shared" si="30"/>
        <v>#REF!</v>
      </c>
      <c r="F137" s="3" t="e">
        <f t="shared" si="31"/>
        <v>#REF!</v>
      </c>
    </row>
    <row r="138" spans="1:7" x14ac:dyDescent="0.25">
      <c r="B138" s="2" t="e">
        <f>Data!#REF!*Data!#REF!</f>
        <v>#REF!</v>
      </c>
      <c r="C138" s="11" t="e">
        <f t="shared" si="29"/>
        <v>#REF!</v>
      </c>
      <c r="D138" s="2" t="e">
        <f>Data!#REF!</f>
        <v>#REF!</v>
      </c>
      <c r="E138" s="11" t="e">
        <f t="shared" si="30"/>
        <v>#REF!</v>
      </c>
      <c r="F138" s="3" t="e">
        <f t="shared" si="31"/>
        <v>#REF!</v>
      </c>
    </row>
    <row r="139" spans="1:7" x14ac:dyDescent="0.25">
      <c r="A139" t="e">
        <f>Data!#REF!</f>
        <v>#REF!</v>
      </c>
      <c r="B139" s="2" t="e">
        <f>Data!#REF!*Data!#REF!</f>
        <v>#REF!</v>
      </c>
      <c r="C139" s="11" t="e">
        <f t="shared" si="29"/>
        <v>#REF!</v>
      </c>
      <c r="D139" s="2" t="e">
        <f>Data!#REF!</f>
        <v>#REF!</v>
      </c>
      <c r="E139" s="11" t="e">
        <f t="shared" si="30"/>
        <v>#REF!</v>
      </c>
      <c r="F139" s="3" t="e">
        <f t="shared" si="31"/>
        <v>#REF!</v>
      </c>
      <c r="G139" s="3" t="e">
        <f>AVERAGE(F139:F141)</f>
        <v>#REF!</v>
      </c>
    </row>
    <row r="140" spans="1:7" x14ac:dyDescent="0.25">
      <c r="B140" s="2" t="e">
        <f>Data!#REF!*Data!#REF!</f>
        <v>#REF!</v>
      </c>
      <c r="C140" s="11" t="e">
        <f t="shared" si="29"/>
        <v>#REF!</v>
      </c>
      <c r="D140" s="2" t="e">
        <f>Data!#REF!</f>
        <v>#REF!</v>
      </c>
      <c r="E140" s="11" t="e">
        <f t="shared" si="30"/>
        <v>#REF!</v>
      </c>
      <c r="F140" s="3" t="e">
        <f t="shared" si="31"/>
        <v>#REF!</v>
      </c>
    </row>
    <row r="141" spans="1:7" x14ac:dyDescent="0.25">
      <c r="B141" s="2" t="e">
        <f>Data!#REF!*Data!#REF!</f>
        <v>#REF!</v>
      </c>
      <c r="C141" s="11" t="e">
        <f t="shared" si="29"/>
        <v>#REF!</v>
      </c>
      <c r="D141" s="2" t="e">
        <f>Data!#REF!</f>
        <v>#REF!</v>
      </c>
      <c r="E141" s="11" t="e">
        <f t="shared" si="30"/>
        <v>#REF!</v>
      </c>
      <c r="F141" s="3" t="e">
        <f t="shared" si="31"/>
        <v>#REF!</v>
      </c>
    </row>
    <row r="142" spans="1:7" x14ac:dyDescent="0.25">
      <c r="A142" t="e">
        <f>Data!#REF!</f>
        <v>#REF!</v>
      </c>
      <c r="B142" s="2" t="e">
        <f>Data!#REF!*Data!#REF!</f>
        <v>#REF!</v>
      </c>
      <c r="C142" s="11" t="e">
        <f t="shared" si="29"/>
        <v>#REF!</v>
      </c>
      <c r="D142" s="2" t="e">
        <f>Data!#REF!</f>
        <v>#REF!</v>
      </c>
      <c r="E142" s="11" t="e">
        <f t="shared" si="30"/>
        <v>#REF!</v>
      </c>
      <c r="F142" s="3" t="e">
        <f t="shared" si="31"/>
        <v>#REF!</v>
      </c>
      <c r="G142" s="3" t="e">
        <f>AVERAGE(F142:F144)</f>
        <v>#REF!</v>
      </c>
    </row>
    <row r="143" spans="1:7" x14ac:dyDescent="0.25">
      <c r="B143" s="2" t="e">
        <f>Data!#REF!*Data!#REF!</f>
        <v>#REF!</v>
      </c>
      <c r="C143" s="11" t="e">
        <f t="shared" si="29"/>
        <v>#REF!</v>
      </c>
      <c r="D143" s="2" t="e">
        <f>Data!#REF!</f>
        <v>#REF!</v>
      </c>
      <c r="E143" s="11" t="e">
        <f t="shared" si="30"/>
        <v>#REF!</v>
      </c>
      <c r="F143" s="3" t="e">
        <f t="shared" si="31"/>
        <v>#REF!</v>
      </c>
    </row>
    <row r="144" spans="1:7" x14ac:dyDescent="0.25">
      <c r="B144" s="2" t="e">
        <f>Data!#REF!*Data!#REF!</f>
        <v>#REF!</v>
      </c>
      <c r="C144" s="11" t="e">
        <f t="shared" si="29"/>
        <v>#REF!</v>
      </c>
      <c r="D144" s="2" t="e">
        <f>Data!#REF!</f>
        <v>#REF!</v>
      </c>
      <c r="E144" s="11" t="e">
        <f t="shared" si="30"/>
        <v>#REF!</v>
      </c>
      <c r="F144" s="3" t="e">
        <f t="shared" si="31"/>
        <v>#REF!</v>
      </c>
    </row>
    <row r="145" spans="1:7" x14ac:dyDescent="0.25">
      <c r="A145" t="e">
        <f>Data!#REF!</f>
        <v>#REF!</v>
      </c>
      <c r="B145" s="2" t="e">
        <f>Data!#REF!*Data!#REF!</f>
        <v>#REF!</v>
      </c>
      <c r="C145" s="11" t="e">
        <f t="shared" si="29"/>
        <v>#REF!</v>
      </c>
      <c r="D145" s="2" t="e">
        <f>Data!#REF!</f>
        <v>#REF!</v>
      </c>
      <c r="E145" s="11" t="e">
        <f t="shared" si="30"/>
        <v>#REF!</v>
      </c>
      <c r="F145" s="3" t="e">
        <f t="shared" si="31"/>
        <v>#REF!</v>
      </c>
      <c r="G145" s="3" t="e">
        <f>AVERAGE(F145:F147)</f>
        <v>#REF!</v>
      </c>
    </row>
    <row r="146" spans="1:7" x14ac:dyDescent="0.25">
      <c r="B146" s="2" t="e">
        <f>Data!#REF!*Data!#REF!</f>
        <v>#REF!</v>
      </c>
      <c r="C146" s="11" t="e">
        <f t="shared" si="29"/>
        <v>#REF!</v>
      </c>
      <c r="D146" s="2" t="e">
        <f>Data!#REF!</f>
        <v>#REF!</v>
      </c>
      <c r="E146" s="11" t="e">
        <f t="shared" si="30"/>
        <v>#REF!</v>
      </c>
      <c r="F146" s="3" t="e">
        <f t="shared" si="31"/>
        <v>#REF!</v>
      </c>
    </row>
    <row r="147" spans="1:7" x14ac:dyDescent="0.25">
      <c r="B147" s="2" t="e">
        <f>Data!#REF!*Data!#REF!</f>
        <v>#REF!</v>
      </c>
      <c r="C147" s="11" t="e">
        <f t="shared" si="29"/>
        <v>#REF!</v>
      </c>
      <c r="D147" s="2" t="e">
        <f>Data!#REF!</f>
        <v>#REF!</v>
      </c>
      <c r="E147" s="11" t="e">
        <f t="shared" si="30"/>
        <v>#REF!</v>
      </c>
      <c r="F147" s="3" t="e">
        <f t="shared" si="31"/>
        <v>#REF!</v>
      </c>
    </row>
    <row r="148" spans="1:7" x14ac:dyDescent="0.25">
      <c r="A148" t="e">
        <f>Data!#REF!</f>
        <v>#REF!</v>
      </c>
      <c r="B148" s="2" t="e">
        <f>Data!#REF!*Data!#REF!</f>
        <v>#REF!</v>
      </c>
      <c r="C148" s="11" t="e">
        <f t="shared" si="29"/>
        <v>#REF!</v>
      </c>
      <c r="D148" s="2" t="e">
        <f>Data!#REF!</f>
        <v>#REF!</v>
      </c>
      <c r="E148" s="11" t="e">
        <f t="shared" si="30"/>
        <v>#REF!</v>
      </c>
      <c r="F148" s="3" t="e">
        <f t="shared" si="31"/>
        <v>#REF!</v>
      </c>
      <c r="G148" s="3" t="e">
        <f>AVERAGE(F148:F150)</f>
        <v>#REF!</v>
      </c>
    </row>
    <row r="149" spans="1:7" x14ac:dyDescent="0.25">
      <c r="B149" s="2" t="e">
        <f>Data!#REF!*Data!#REF!</f>
        <v>#REF!</v>
      </c>
      <c r="C149" s="11" t="e">
        <f t="shared" si="29"/>
        <v>#REF!</v>
      </c>
      <c r="D149" s="2" t="e">
        <f>Data!#REF!</f>
        <v>#REF!</v>
      </c>
      <c r="E149" s="11" t="e">
        <f t="shared" si="30"/>
        <v>#REF!</v>
      </c>
      <c r="F149" s="3" t="e">
        <f t="shared" si="31"/>
        <v>#REF!</v>
      </c>
    </row>
    <row r="150" spans="1:7" x14ac:dyDescent="0.25">
      <c r="B150" s="2" t="e">
        <f>Data!#REF!*Data!#REF!</f>
        <v>#REF!</v>
      </c>
      <c r="C150" s="11" t="e">
        <f t="shared" si="29"/>
        <v>#REF!</v>
      </c>
      <c r="D150" s="2" t="e">
        <f>Data!#REF!</f>
        <v>#REF!</v>
      </c>
      <c r="E150" s="11" t="e">
        <f t="shared" si="30"/>
        <v>#REF!</v>
      </c>
      <c r="F150" s="3" t="e">
        <f t="shared" si="31"/>
        <v>#REF!</v>
      </c>
    </row>
    <row r="151" spans="1:7" x14ac:dyDescent="0.25">
      <c r="A151" t="e">
        <f>Data!#REF!</f>
        <v>#REF!</v>
      </c>
      <c r="B151" s="2" t="e">
        <f>Data!#REF!*Data!#REF!</f>
        <v>#REF!</v>
      </c>
      <c r="C151" s="11" t="e">
        <f t="shared" si="29"/>
        <v>#REF!</v>
      </c>
      <c r="D151" s="2" t="e">
        <f>Data!#REF!</f>
        <v>#REF!</v>
      </c>
      <c r="E151" s="11" t="e">
        <f t="shared" si="30"/>
        <v>#REF!</v>
      </c>
      <c r="F151" s="3" t="e">
        <f t="shared" si="31"/>
        <v>#REF!</v>
      </c>
      <c r="G151" s="3" t="e">
        <f>AVERAGE(F151:F153)</f>
        <v>#REF!</v>
      </c>
    </row>
    <row r="152" spans="1:7" x14ac:dyDescent="0.25">
      <c r="B152" s="2" t="e">
        <f>Data!#REF!*Data!#REF!</f>
        <v>#REF!</v>
      </c>
      <c r="C152" s="11" t="e">
        <f t="shared" si="29"/>
        <v>#REF!</v>
      </c>
      <c r="D152" s="2" t="e">
        <f>Data!#REF!</f>
        <v>#REF!</v>
      </c>
      <c r="E152" s="11" t="e">
        <f t="shared" si="30"/>
        <v>#REF!</v>
      </c>
      <c r="F152" s="3" t="e">
        <f t="shared" si="31"/>
        <v>#REF!</v>
      </c>
    </row>
    <row r="153" spans="1:7" x14ac:dyDescent="0.25">
      <c r="B153" s="2" t="e">
        <f>Data!#REF!*Data!#REF!</f>
        <v>#REF!</v>
      </c>
      <c r="C153" s="11" t="e">
        <f t="shared" si="29"/>
        <v>#REF!</v>
      </c>
      <c r="D153" s="2" t="e">
        <f>Data!#REF!</f>
        <v>#REF!</v>
      </c>
      <c r="E153" s="11" t="e">
        <f t="shared" si="30"/>
        <v>#REF!</v>
      </c>
      <c r="F153" s="3" t="e">
        <f t="shared" si="31"/>
        <v>#REF!</v>
      </c>
    </row>
    <row r="154" spans="1:7" x14ac:dyDescent="0.25">
      <c r="A154" t="e">
        <f>Data!#REF!</f>
        <v>#REF!</v>
      </c>
      <c r="B154" s="2" t="e">
        <f>Data!#REF!*Data!#REF!</f>
        <v>#REF!</v>
      </c>
      <c r="C154" s="11" t="e">
        <f t="shared" si="29"/>
        <v>#REF!</v>
      </c>
      <c r="D154" s="2" t="e">
        <f>Data!#REF!</f>
        <v>#REF!</v>
      </c>
      <c r="E154" s="11" t="e">
        <f t="shared" si="30"/>
        <v>#REF!</v>
      </c>
      <c r="F154" s="3" t="e">
        <f t="shared" si="31"/>
        <v>#REF!</v>
      </c>
      <c r="G154" s="3" t="e">
        <f>AVERAGE(F154:F156)</f>
        <v>#REF!</v>
      </c>
    </row>
    <row r="155" spans="1:7" x14ac:dyDescent="0.25">
      <c r="B155" s="2" t="e">
        <f>Data!#REF!*Data!#REF!</f>
        <v>#REF!</v>
      </c>
      <c r="C155" s="11" t="e">
        <f t="shared" si="29"/>
        <v>#REF!</v>
      </c>
      <c r="D155" s="2" t="e">
        <f>Data!#REF!</f>
        <v>#REF!</v>
      </c>
      <c r="E155" s="11" t="e">
        <f t="shared" si="30"/>
        <v>#REF!</v>
      </c>
      <c r="F155" s="3" t="e">
        <f t="shared" si="31"/>
        <v>#REF!</v>
      </c>
    </row>
    <row r="156" spans="1:7" x14ac:dyDescent="0.25">
      <c r="B156" s="2" t="e">
        <f>Data!#REF!*Data!#REF!</f>
        <v>#REF!</v>
      </c>
      <c r="C156" s="11" t="e">
        <f t="shared" si="29"/>
        <v>#REF!</v>
      </c>
      <c r="D156" s="2" t="e">
        <f>Data!#REF!</f>
        <v>#REF!</v>
      </c>
      <c r="E156" s="11" t="e">
        <f t="shared" si="30"/>
        <v>#REF!</v>
      </c>
      <c r="F156" s="3" t="e">
        <f t="shared" si="31"/>
        <v>#REF!</v>
      </c>
    </row>
    <row r="157" spans="1:7" x14ac:dyDescent="0.25">
      <c r="A157" t="e">
        <f>Data!#REF!</f>
        <v>#REF!</v>
      </c>
      <c r="B157" s="2" t="e">
        <f>Data!#REF!*Data!#REF!</f>
        <v>#REF!</v>
      </c>
      <c r="C157" s="11" t="e">
        <f t="shared" ref="C157:C162" si="32">SQRT(B157)</f>
        <v>#REF!</v>
      </c>
      <c r="D157" s="2" t="e">
        <f>Data!#REF!</f>
        <v>#REF!</v>
      </c>
      <c r="E157" s="11" t="e">
        <f t="shared" ref="E157:E162" si="33">D157-(C157*I$22+I$21)</f>
        <v>#REF!</v>
      </c>
      <c r="F157" s="3" t="e">
        <f t="shared" ref="F157:F162" si="34">A$1*E157/A$2</f>
        <v>#REF!</v>
      </c>
      <c r="G157" s="3" t="e">
        <f>AVERAGE(F157:F159)</f>
        <v>#REF!</v>
      </c>
    </row>
    <row r="158" spans="1:7" x14ac:dyDescent="0.25">
      <c r="B158" s="2" t="e">
        <f>Data!#REF!*Data!#REF!</f>
        <v>#REF!</v>
      </c>
      <c r="C158" s="11" t="e">
        <f t="shared" si="32"/>
        <v>#REF!</v>
      </c>
      <c r="D158" s="2" t="e">
        <f>Data!#REF!</f>
        <v>#REF!</v>
      </c>
      <c r="E158" s="11" t="e">
        <f t="shared" si="33"/>
        <v>#REF!</v>
      </c>
      <c r="F158" s="3" t="e">
        <f t="shared" si="34"/>
        <v>#REF!</v>
      </c>
    </row>
    <row r="159" spans="1:7" x14ac:dyDescent="0.25">
      <c r="B159" s="2" t="e">
        <f>Data!#REF!*Data!#REF!</f>
        <v>#REF!</v>
      </c>
      <c r="C159" s="11" t="e">
        <f t="shared" si="32"/>
        <v>#REF!</v>
      </c>
      <c r="D159" s="2" t="e">
        <f>Data!#REF!</f>
        <v>#REF!</v>
      </c>
      <c r="E159" s="11" t="e">
        <f t="shared" si="33"/>
        <v>#REF!</v>
      </c>
      <c r="F159" s="3" t="e">
        <f t="shared" si="34"/>
        <v>#REF!</v>
      </c>
    </row>
    <row r="160" spans="1:7" x14ac:dyDescent="0.25">
      <c r="A160" t="e">
        <f>Data!#REF!</f>
        <v>#REF!</v>
      </c>
      <c r="B160" s="2" t="e">
        <f>Data!#REF!*Data!#REF!</f>
        <v>#REF!</v>
      </c>
      <c r="C160" s="11" t="e">
        <f t="shared" si="32"/>
        <v>#REF!</v>
      </c>
      <c r="D160" s="2" t="e">
        <f>Data!#REF!</f>
        <v>#REF!</v>
      </c>
      <c r="E160" s="11" t="e">
        <f t="shared" si="33"/>
        <v>#REF!</v>
      </c>
      <c r="F160" s="3" t="e">
        <f t="shared" si="34"/>
        <v>#REF!</v>
      </c>
      <c r="G160" s="3" t="e">
        <f>AVERAGE(F160:F162)</f>
        <v>#REF!</v>
      </c>
    </row>
    <row r="161" spans="1:7" x14ac:dyDescent="0.25">
      <c r="B161" s="2" t="e">
        <f>Data!#REF!*Data!#REF!</f>
        <v>#REF!</v>
      </c>
      <c r="C161" s="11" t="e">
        <f t="shared" si="32"/>
        <v>#REF!</v>
      </c>
      <c r="D161" s="2" t="e">
        <f>Data!#REF!</f>
        <v>#REF!</v>
      </c>
      <c r="E161" s="11" t="e">
        <f t="shared" si="33"/>
        <v>#REF!</v>
      </c>
      <c r="F161" s="3" t="e">
        <f t="shared" si="34"/>
        <v>#REF!</v>
      </c>
    </row>
    <row r="162" spans="1:7" x14ac:dyDescent="0.25">
      <c r="B162" s="2" t="e">
        <f>Data!#REF!*Data!#REF!</f>
        <v>#REF!</v>
      </c>
      <c r="C162" s="11" t="e">
        <f t="shared" si="32"/>
        <v>#REF!</v>
      </c>
      <c r="D162" s="2" t="e">
        <f>Data!#REF!</f>
        <v>#REF!</v>
      </c>
      <c r="E162" s="11" t="e">
        <f t="shared" si="33"/>
        <v>#REF!</v>
      </c>
      <c r="F162" s="3" t="e">
        <f t="shared" si="34"/>
        <v>#REF!</v>
      </c>
    </row>
    <row r="163" spans="1:7" x14ac:dyDescent="0.25">
      <c r="A163" t="e">
        <f>Data!#REF!</f>
        <v>#REF!</v>
      </c>
      <c r="B163" s="2" t="e">
        <f>Data!#REF!*Data!#REF!</f>
        <v>#REF!</v>
      </c>
      <c r="C163" s="11" t="e">
        <f t="shared" si="29"/>
        <v>#REF!</v>
      </c>
      <c r="D163" s="2" t="e">
        <f>Data!#REF!</f>
        <v>#REF!</v>
      </c>
      <c r="E163" s="11" t="e">
        <f t="shared" si="30"/>
        <v>#REF!</v>
      </c>
      <c r="F163" s="3" t="e">
        <f t="shared" si="31"/>
        <v>#REF!</v>
      </c>
      <c r="G163" s="3" t="e">
        <f>AVERAGE(F163:F165)</f>
        <v>#REF!</v>
      </c>
    </row>
    <row r="164" spans="1:7" x14ac:dyDescent="0.25">
      <c r="B164" s="2" t="e">
        <f>Data!#REF!*Data!#REF!</f>
        <v>#REF!</v>
      </c>
      <c r="C164" s="11" t="e">
        <f t="shared" si="29"/>
        <v>#REF!</v>
      </c>
      <c r="D164" s="2" t="e">
        <f>Data!#REF!</f>
        <v>#REF!</v>
      </c>
      <c r="E164" s="11" t="e">
        <f t="shared" si="30"/>
        <v>#REF!</v>
      </c>
      <c r="F164" s="3" t="e">
        <f t="shared" si="31"/>
        <v>#REF!</v>
      </c>
    </row>
    <row r="165" spans="1:7" x14ac:dyDescent="0.25">
      <c r="B165" s="2" t="e">
        <f>Data!#REF!*Data!#REF!</f>
        <v>#REF!</v>
      </c>
      <c r="C165" s="11" t="e">
        <f t="shared" si="29"/>
        <v>#REF!</v>
      </c>
      <c r="D165" s="2" t="e">
        <f>Data!#REF!</f>
        <v>#REF!</v>
      </c>
      <c r="E165" s="11" t="e">
        <f t="shared" si="30"/>
        <v>#REF!</v>
      </c>
      <c r="F165" s="3" t="e">
        <f t="shared" si="31"/>
        <v>#REF!</v>
      </c>
    </row>
    <row r="166" spans="1:7" x14ac:dyDescent="0.25">
      <c r="A166" t="e">
        <f>Data!#REF!</f>
        <v>#REF!</v>
      </c>
      <c r="B166" s="2" t="e">
        <f>Data!#REF!*Data!#REF!</f>
        <v>#REF!</v>
      </c>
      <c r="C166" s="11" t="e">
        <f t="shared" si="29"/>
        <v>#REF!</v>
      </c>
      <c r="D166" s="2" t="e">
        <f>Data!#REF!</f>
        <v>#REF!</v>
      </c>
      <c r="E166" s="11" t="e">
        <f t="shared" si="30"/>
        <v>#REF!</v>
      </c>
      <c r="F166" s="3" t="e">
        <f t="shared" si="31"/>
        <v>#REF!</v>
      </c>
      <c r="G166" s="3" t="e">
        <f>AVERAGE(F166:F168)</f>
        <v>#REF!</v>
      </c>
    </row>
    <row r="167" spans="1:7" x14ac:dyDescent="0.25">
      <c r="B167" s="2" t="e">
        <f>Data!#REF!*Data!#REF!</f>
        <v>#REF!</v>
      </c>
      <c r="C167" s="11" t="e">
        <f t="shared" si="29"/>
        <v>#REF!</v>
      </c>
      <c r="D167" s="2" t="e">
        <f>Data!#REF!</f>
        <v>#REF!</v>
      </c>
      <c r="E167" s="11" t="e">
        <f t="shared" si="30"/>
        <v>#REF!</v>
      </c>
      <c r="F167" s="3" t="e">
        <f t="shared" si="31"/>
        <v>#REF!</v>
      </c>
    </row>
    <row r="168" spans="1:7" x14ac:dyDescent="0.25">
      <c r="B168" s="2" t="e">
        <f>Data!#REF!*Data!#REF!</f>
        <v>#REF!</v>
      </c>
      <c r="C168" s="11" t="e">
        <f t="shared" si="29"/>
        <v>#REF!</v>
      </c>
      <c r="D168" s="2" t="e">
        <f>Data!#REF!</f>
        <v>#REF!</v>
      </c>
      <c r="E168" s="11" t="e">
        <f t="shared" si="30"/>
        <v>#REF!</v>
      </c>
      <c r="F168" s="3" t="e">
        <f t="shared" si="31"/>
        <v>#REF!</v>
      </c>
    </row>
    <row r="169" spans="1:7" x14ac:dyDescent="0.25">
      <c r="A169" t="e">
        <f>Data!#REF!</f>
        <v>#REF!</v>
      </c>
      <c r="B169" s="2" t="e">
        <f>Data!#REF!*Data!#REF!</f>
        <v>#REF!</v>
      </c>
      <c r="C169" s="11" t="e">
        <f t="shared" si="29"/>
        <v>#REF!</v>
      </c>
      <c r="D169" s="2" t="e">
        <f>Data!#REF!</f>
        <v>#REF!</v>
      </c>
      <c r="E169" s="11" t="e">
        <f t="shared" si="30"/>
        <v>#REF!</v>
      </c>
      <c r="F169" s="3" t="e">
        <f t="shared" si="31"/>
        <v>#REF!</v>
      </c>
      <c r="G169" s="3" t="e">
        <f>AVERAGE(F169:F171)</f>
        <v>#REF!</v>
      </c>
    </row>
    <row r="170" spans="1:7" x14ac:dyDescent="0.25">
      <c r="B170" s="2" t="e">
        <f>Data!#REF!*Data!#REF!</f>
        <v>#REF!</v>
      </c>
      <c r="C170" s="11" t="e">
        <f t="shared" si="29"/>
        <v>#REF!</v>
      </c>
      <c r="D170" s="2" t="e">
        <f>Data!#REF!</f>
        <v>#REF!</v>
      </c>
      <c r="E170" s="11" t="e">
        <f t="shared" si="30"/>
        <v>#REF!</v>
      </c>
      <c r="F170" s="3" t="e">
        <f t="shared" si="31"/>
        <v>#REF!</v>
      </c>
    </row>
    <row r="171" spans="1:7" x14ac:dyDescent="0.25">
      <c r="B171" s="2" t="e">
        <f>Data!#REF!*Data!#REF!</f>
        <v>#REF!</v>
      </c>
      <c r="C171" s="11" t="e">
        <f t="shared" si="29"/>
        <v>#REF!</v>
      </c>
      <c r="D171" s="2" t="e">
        <f>Data!#REF!</f>
        <v>#REF!</v>
      </c>
      <c r="E171" s="11" t="e">
        <f t="shared" si="30"/>
        <v>#REF!</v>
      </c>
      <c r="F171" s="3" t="e">
        <f t="shared" si="31"/>
        <v>#REF!</v>
      </c>
    </row>
    <row r="172" spans="1:7" x14ac:dyDescent="0.25">
      <c r="A172" t="e">
        <f>Data!#REF!</f>
        <v>#REF!</v>
      </c>
      <c r="B172" s="2" t="e">
        <f>Data!#REF!*Data!#REF!</f>
        <v>#REF!</v>
      </c>
      <c r="C172" s="11" t="e">
        <f t="shared" si="29"/>
        <v>#REF!</v>
      </c>
      <c r="D172" s="2" t="e">
        <f>Data!#REF!</f>
        <v>#REF!</v>
      </c>
      <c r="E172" s="11" t="e">
        <f t="shared" si="30"/>
        <v>#REF!</v>
      </c>
      <c r="F172" s="3" t="e">
        <f t="shared" si="31"/>
        <v>#REF!</v>
      </c>
      <c r="G172" s="3" t="e">
        <f>AVERAGE(F172:F174)</f>
        <v>#REF!</v>
      </c>
    </row>
    <row r="173" spans="1:7" x14ac:dyDescent="0.25">
      <c r="B173" s="2" t="e">
        <f>Data!#REF!*Data!#REF!</f>
        <v>#REF!</v>
      </c>
      <c r="C173" s="11" t="e">
        <f t="shared" si="29"/>
        <v>#REF!</v>
      </c>
      <c r="D173" s="2" t="e">
        <f>Data!#REF!</f>
        <v>#REF!</v>
      </c>
      <c r="E173" s="11" t="e">
        <f t="shared" si="30"/>
        <v>#REF!</v>
      </c>
      <c r="F173" s="3" t="e">
        <f t="shared" si="31"/>
        <v>#REF!</v>
      </c>
    </row>
    <row r="174" spans="1:7" x14ac:dyDescent="0.25">
      <c r="B174" s="2" t="e">
        <f>Data!#REF!*Data!#REF!</f>
        <v>#REF!</v>
      </c>
      <c r="C174" s="11" t="e">
        <f t="shared" si="29"/>
        <v>#REF!</v>
      </c>
      <c r="D174" s="2" t="e">
        <f>Data!#REF!</f>
        <v>#REF!</v>
      </c>
      <c r="E174" s="11" t="e">
        <f t="shared" si="30"/>
        <v>#REF!</v>
      </c>
      <c r="F174" s="3" t="e">
        <f t="shared" si="31"/>
        <v>#REF!</v>
      </c>
    </row>
    <row r="175" spans="1:7" x14ac:dyDescent="0.25">
      <c r="A175" t="e">
        <f>Data!#REF!</f>
        <v>#REF!</v>
      </c>
      <c r="B175" s="2" t="e">
        <f>Data!#REF!*Data!#REF!</f>
        <v>#REF!</v>
      </c>
      <c r="C175" s="11" t="e">
        <f t="shared" ref="C175:C192" si="35">SQRT(B175)</f>
        <v>#REF!</v>
      </c>
      <c r="D175" s="2" t="e">
        <f>Data!#REF!</f>
        <v>#REF!</v>
      </c>
      <c r="E175" s="11" t="e">
        <f t="shared" ref="E175:E192" si="36">D175-(C175*I$22+I$21)</f>
        <v>#REF!</v>
      </c>
      <c r="F175" s="3" t="e">
        <f t="shared" ref="F175:F192" si="37">A$1*E175/A$2</f>
        <v>#REF!</v>
      </c>
      <c r="G175" s="3" t="e">
        <f>AVERAGE(F175:F177)</f>
        <v>#REF!</v>
      </c>
    </row>
    <row r="176" spans="1:7" x14ac:dyDescent="0.25">
      <c r="B176" s="2" t="e">
        <f>Data!#REF!*Data!#REF!</f>
        <v>#REF!</v>
      </c>
      <c r="C176" s="11" t="e">
        <f t="shared" si="35"/>
        <v>#REF!</v>
      </c>
      <c r="D176" s="2" t="e">
        <f>Data!#REF!</f>
        <v>#REF!</v>
      </c>
      <c r="E176" s="11" t="e">
        <f t="shared" si="36"/>
        <v>#REF!</v>
      </c>
      <c r="F176" s="3" t="e">
        <f t="shared" si="37"/>
        <v>#REF!</v>
      </c>
    </row>
    <row r="177" spans="1:7" x14ac:dyDescent="0.25">
      <c r="B177" s="2" t="e">
        <f>Data!#REF!*Data!#REF!</f>
        <v>#REF!</v>
      </c>
      <c r="C177" s="11" t="e">
        <f t="shared" si="35"/>
        <v>#REF!</v>
      </c>
      <c r="D177" s="2" t="e">
        <f>Data!#REF!</f>
        <v>#REF!</v>
      </c>
      <c r="E177" s="11" t="e">
        <f t="shared" si="36"/>
        <v>#REF!</v>
      </c>
      <c r="F177" s="3" t="e">
        <f t="shared" si="37"/>
        <v>#REF!</v>
      </c>
    </row>
    <row r="178" spans="1:7" x14ac:dyDescent="0.25">
      <c r="A178" t="e">
        <f>Data!#REF!</f>
        <v>#REF!</v>
      </c>
      <c r="B178" s="2" t="e">
        <f>Data!#REF!*Data!#REF!</f>
        <v>#REF!</v>
      </c>
      <c r="C178" s="11" t="e">
        <f t="shared" si="35"/>
        <v>#REF!</v>
      </c>
      <c r="D178" s="2" t="e">
        <f>Data!#REF!</f>
        <v>#REF!</v>
      </c>
      <c r="E178" s="11" t="e">
        <f t="shared" si="36"/>
        <v>#REF!</v>
      </c>
      <c r="F178" s="3" t="e">
        <f t="shared" si="37"/>
        <v>#REF!</v>
      </c>
      <c r="G178" s="3" t="e">
        <f>AVERAGE(F178:F180)</f>
        <v>#REF!</v>
      </c>
    </row>
    <row r="179" spans="1:7" x14ac:dyDescent="0.25">
      <c r="B179" s="2" t="e">
        <f>Data!#REF!*Data!#REF!</f>
        <v>#REF!</v>
      </c>
      <c r="C179" s="11" t="e">
        <f t="shared" si="35"/>
        <v>#REF!</v>
      </c>
      <c r="D179" s="2" t="e">
        <f>Data!#REF!</f>
        <v>#REF!</v>
      </c>
      <c r="E179" s="11" t="e">
        <f t="shared" si="36"/>
        <v>#REF!</v>
      </c>
      <c r="F179" s="3" t="e">
        <f t="shared" si="37"/>
        <v>#REF!</v>
      </c>
    </row>
    <row r="180" spans="1:7" x14ac:dyDescent="0.25">
      <c r="B180" s="2" t="e">
        <f>Data!#REF!*Data!#REF!</f>
        <v>#REF!</v>
      </c>
      <c r="C180" s="11" t="e">
        <f t="shared" si="35"/>
        <v>#REF!</v>
      </c>
      <c r="D180" s="2" t="e">
        <f>Data!#REF!</f>
        <v>#REF!</v>
      </c>
      <c r="E180" s="11" t="e">
        <f t="shared" si="36"/>
        <v>#REF!</v>
      </c>
      <c r="F180" s="3" t="e">
        <f t="shared" si="37"/>
        <v>#REF!</v>
      </c>
    </row>
    <row r="181" spans="1:7" x14ac:dyDescent="0.25">
      <c r="A181" t="e">
        <f>Data!#REF!</f>
        <v>#REF!</v>
      </c>
      <c r="B181" s="2" t="e">
        <f>Data!#REF!*Data!#REF!</f>
        <v>#REF!</v>
      </c>
      <c r="C181" s="11" t="e">
        <f t="shared" si="35"/>
        <v>#REF!</v>
      </c>
      <c r="D181" s="2" t="e">
        <f>Data!#REF!</f>
        <v>#REF!</v>
      </c>
      <c r="E181" s="11" t="e">
        <f t="shared" si="36"/>
        <v>#REF!</v>
      </c>
      <c r="F181" s="3" t="e">
        <f t="shared" si="37"/>
        <v>#REF!</v>
      </c>
      <c r="G181" s="3" t="e">
        <f>AVERAGE(F181:F183)</f>
        <v>#REF!</v>
      </c>
    </row>
    <row r="182" spans="1:7" x14ac:dyDescent="0.25">
      <c r="B182" s="2" t="e">
        <f>Data!#REF!*Data!#REF!</f>
        <v>#REF!</v>
      </c>
      <c r="C182" s="11" t="e">
        <f t="shared" si="35"/>
        <v>#REF!</v>
      </c>
      <c r="D182" s="2" t="e">
        <f>Data!#REF!</f>
        <v>#REF!</v>
      </c>
      <c r="E182" s="11" t="e">
        <f t="shared" si="36"/>
        <v>#REF!</v>
      </c>
      <c r="F182" s="3" t="e">
        <f t="shared" si="37"/>
        <v>#REF!</v>
      </c>
    </row>
    <row r="183" spans="1:7" x14ac:dyDescent="0.25">
      <c r="B183" s="2" t="e">
        <f>Data!#REF!*Data!#REF!</f>
        <v>#REF!</v>
      </c>
      <c r="C183" s="11" t="e">
        <f t="shared" si="35"/>
        <v>#REF!</v>
      </c>
      <c r="D183" s="2" t="e">
        <f>Data!#REF!</f>
        <v>#REF!</v>
      </c>
      <c r="E183" s="11" t="e">
        <f t="shared" si="36"/>
        <v>#REF!</v>
      </c>
      <c r="F183" s="3" t="e">
        <f t="shared" si="37"/>
        <v>#REF!</v>
      </c>
    </row>
    <row r="184" spans="1:7" x14ac:dyDescent="0.25">
      <c r="A184" t="e">
        <f>Data!#REF!</f>
        <v>#REF!</v>
      </c>
      <c r="B184" s="2" t="e">
        <f>Data!#REF!*Data!#REF!</f>
        <v>#REF!</v>
      </c>
      <c r="C184" s="11" t="e">
        <f t="shared" si="35"/>
        <v>#REF!</v>
      </c>
      <c r="D184" s="2" t="e">
        <f>Data!#REF!</f>
        <v>#REF!</v>
      </c>
      <c r="E184" s="11" t="e">
        <f t="shared" si="36"/>
        <v>#REF!</v>
      </c>
      <c r="F184" s="3" t="e">
        <f t="shared" si="37"/>
        <v>#REF!</v>
      </c>
      <c r="G184" s="3" t="e">
        <f>AVERAGE(F184:F186)</f>
        <v>#REF!</v>
      </c>
    </row>
    <row r="185" spans="1:7" x14ac:dyDescent="0.25">
      <c r="B185" s="2" t="e">
        <f>Data!#REF!*Data!#REF!</f>
        <v>#REF!</v>
      </c>
      <c r="C185" s="11" t="e">
        <f t="shared" si="35"/>
        <v>#REF!</v>
      </c>
      <c r="D185" s="2" t="e">
        <f>Data!#REF!</f>
        <v>#REF!</v>
      </c>
      <c r="E185" s="11" t="e">
        <f t="shared" si="36"/>
        <v>#REF!</v>
      </c>
      <c r="F185" s="3" t="e">
        <f t="shared" si="37"/>
        <v>#REF!</v>
      </c>
    </row>
    <row r="186" spans="1:7" x14ac:dyDescent="0.25">
      <c r="B186" s="2" t="e">
        <f>Data!#REF!*Data!#REF!</f>
        <v>#REF!</v>
      </c>
      <c r="C186" s="11" t="e">
        <f t="shared" si="35"/>
        <v>#REF!</v>
      </c>
      <c r="D186" s="2" t="e">
        <f>Data!#REF!</f>
        <v>#REF!</v>
      </c>
      <c r="E186" s="11" t="e">
        <f t="shared" si="36"/>
        <v>#REF!</v>
      </c>
      <c r="F186" s="3" t="e">
        <f t="shared" si="37"/>
        <v>#REF!</v>
      </c>
    </row>
    <row r="187" spans="1:7" x14ac:dyDescent="0.25">
      <c r="A187" t="e">
        <f>Data!#REF!</f>
        <v>#REF!</v>
      </c>
      <c r="B187" s="2" t="e">
        <f>Data!#REF!*Data!#REF!</f>
        <v>#REF!</v>
      </c>
      <c r="C187" s="11" t="e">
        <f t="shared" si="35"/>
        <v>#REF!</v>
      </c>
      <c r="D187" s="2" t="e">
        <f>Data!#REF!</f>
        <v>#REF!</v>
      </c>
      <c r="E187" s="11" t="e">
        <f t="shared" si="36"/>
        <v>#REF!</v>
      </c>
      <c r="F187" s="3" t="e">
        <f t="shared" si="37"/>
        <v>#REF!</v>
      </c>
      <c r="G187" s="3" t="e">
        <f>AVERAGE(F187:F189)</f>
        <v>#REF!</v>
      </c>
    </row>
    <row r="188" spans="1:7" x14ac:dyDescent="0.25">
      <c r="B188" s="2" t="e">
        <f>Data!#REF!*Data!#REF!</f>
        <v>#REF!</v>
      </c>
      <c r="C188" s="11" t="e">
        <f t="shared" si="35"/>
        <v>#REF!</v>
      </c>
      <c r="D188" s="2" t="e">
        <f>Data!#REF!</f>
        <v>#REF!</v>
      </c>
      <c r="E188" s="11" t="e">
        <f t="shared" si="36"/>
        <v>#REF!</v>
      </c>
      <c r="F188" s="3" t="e">
        <f t="shared" si="37"/>
        <v>#REF!</v>
      </c>
    </row>
    <row r="189" spans="1:7" x14ac:dyDescent="0.25">
      <c r="B189" s="2" t="e">
        <f>Data!#REF!*Data!#REF!</f>
        <v>#REF!</v>
      </c>
      <c r="C189" s="11" t="e">
        <f t="shared" si="35"/>
        <v>#REF!</v>
      </c>
      <c r="D189" s="2" t="e">
        <f>Data!#REF!</f>
        <v>#REF!</v>
      </c>
      <c r="E189" s="11" t="e">
        <f t="shared" si="36"/>
        <v>#REF!</v>
      </c>
      <c r="F189" s="3" t="e">
        <f t="shared" si="37"/>
        <v>#REF!</v>
      </c>
    </row>
    <row r="190" spans="1:7" x14ac:dyDescent="0.25">
      <c r="A190" t="e">
        <f>Data!#REF!</f>
        <v>#REF!</v>
      </c>
      <c r="B190" s="2" t="e">
        <f>Data!#REF!*Data!#REF!</f>
        <v>#REF!</v>
      </c>
      <c r="C190" s="11" t="e">
        <f t="shared" si="35"/>
        <v>#REF!</v>
      </c>
      <c r="D190" s="2" t="e">
        <f>Data!#REF!</f>
        <v>#REF!</v>
      </c>
      <c r="E190" s="11" t="e">
        <f t="shared" si="36"/>
        <v>#REF!</v>
      </c>
      <c r="F190" s="3" t="e">
        <f t="shared" si="37"/>
        <v>#REF!</v>
      </c>
      <c r="G190" s="3" t="e">
        <f>AVERAGE(F190:F192)</f>
        <v>#REF!</v>
      </c>
    </row>
    <row r="191" spans="1:7" x14ac:dyDescent="0.25">
      <c r="B191" s="2" t="e">
        <f>Data!#REF!*Data!#REF!</f>
        <v>#REF!</v>
      </c>
      <c r="C191" s="11" t="e">
        <f t="shared" si="35"/>
        <v>#REF!</v>
      </c>
      <c r="D191" s="2" t="e">
        <f>Data!#REF!</f>
        <v>#REF!</v>
      </c>
      <c r="E191" s="11" t="e">
        <f t="shared" si="36"/>
        <v>#REF!</v>
      </c>
      <c r="F191" s="3" t="e">
        <f t="shared" si="37"/>
        <v>#REF!</v>
      </c>
    </row>
    <row r="192" spans="1:7" x14ac:dyDescent="0.25">
      <c r="B192" s="2" t="e">
        <f>Data!#REF!*Data!#REF!</f>
        <v>#REF!</v>
      </c>
      <c r="C192" s="11" t="e">
        <f t="shared" si="35"/>
        <v>#REF!</v>
      </c>
      <c r="D192" s="2" t="e">
        <f>Data!#REF!</f>
        <v>#REF!</v>
      </c>
      <c r="E192" s="11" t="e">
        <f t="shared" si="36"/>
        <v>#REF!</v>
      </c>
      <c r="F192" s="3" t="e">
        <f t="shared" si="37"/>
        <v>#REF!</v>
      </c>
    </row>
    <row r="193" spans="1:7" x14ac:dyDescent="0.25">
      <c r="A193" t="e">
        <f>Data!#REF!</f>
        <v>#REF!</v>
      </c>
      <c r="B193" s="2" t="e">
        <f>Data!#REF!*Data!#REF!</f>
        <v>#REF!</v>
      </c>
      <c r="C193" s="11" t="e">
        <f t="shared" ref="C193:C222" si="38">SQRT(B193)</f>
        <v>#REF!</v>
      </c>
      <c r="D193" s="2" t="e">
        <f>Data!#REF!</f>
        <v>#REF!</v>
      </c>
      <c r="E193" s="11" t="e">
        <f t="shared" ref="E193:E222" si="39">D193-(C193*I$22+I$21)</f>
        <v>#REF!</v>
      </c>
      <c r="F193" s="3" t="e">
        <f t="shared" ref="F193:F222" si="40">A$1*E193/A$2</f>
        <v>#REF!</v>
      </c>
      <c r="G193" s="3" t="e">
        <f>AVERAGE(F193:F195)</f>
        <v>#REF!</v>
      </c>
    </row>
    <row r="194" spans="1:7" x14ac:dyDescent="0.25">
      <c r="B194" s="2" t="e">
        <f>Data!#REF!*Data!#REF!</f>
        <v>#REF!</v>
      </c>
      <c r="C194" s="11" t="e">
        <f t="shared" si="38"/>
        <v>#REF!</v>
      </c>
      <c r="D194" s="2" t="e">
        <f>Data!#REF!</f>
        <v>#REF!</v>
      </c>
      <c r="E194" s="11" t="e">
        <f t="shared" si="39"/>
        <v>#REF!</v>
      </c>
      <c r="F194" s="3" t="e">
        <f t="shared" si="40"/>
        <v>#REF!</v>
      </c>
    </row>
    <row r="195" spans="1:7" x14ac:dyDescent="0.25">
      <c r="B195" s="2" t="e">
        <f>Data!#REF!*Data!#REF!</f>
        <v>#REF!</v>
      </c>
      <c r="C195" s="11" t="e">
        <f t="shared" si="38"/>
        <v>#REF!</v>
      </c>
      <c r="D195" s="2" t="e">
        <f>Data!#REF!</f>
        <v>#REF!</v>
      </c>
      <c r="E195" s="11" t="e">
        <f t="shared" si="39"/>
        <v>#REF!</v>
      </c>
      <c r="F195" s="3" t="e">
        <f t="shared" si="40"/>
        <v>#REF!</v>
      </c>
    </row>
    <row r="196" spans="1:7" x14ac:dyDescent="0.25">
      <c r="A196" t="e">
        <f>Data!#REF!</f>
        <v>#REF!</v>
      </c>
      <c r="B196" s="2" t="e">
        <f>Data!#REF!*Data!#REF!</f>
        <v>#REF!</v>
      </c>
      <c r="C196" s="11" t="e">
        <f t="shared" si="38"/>
        <v>#REF!</v>
      </c>
      <c r="D196" s="2" t="e">
        <f>Data!#REF!</f>
        <v>#REF!</v>
      </c>
      <c r="E196" s="11" t="e">
        <f t="shared" si="39"/>
        <v>#REF!</v>
      </c>
      <c r="F196" s="3" t="e">
        <f t="shared" si="40"/>
        <v>#REF!</v>
      </c>
      <c r="G196" s="3" t="e">
        <f>AVERAGE(F196:F198)</f>
        <v>#REF!</v>
      </c>
    </row>
    <row r="197" spans="1:7" x14ac:dyDescent="0.25">
      <c r="B197" s="2" t="e">
        <f>Data!#REF!*Data!#REF!</f>
        <v>#REF!</v>
      </c>
      <c r="C197" s="11" t="e">
        <f t="shared" si="38"/>
        <v>#REF!</v>
      </c>
      <c r="D197" s="2" t="e">
        <f>Data!#REF!</f>
        <v>#REF!</v>
      </c>
      <c r="E197" s="11" t="e">
        <f t="shared" si="39"/>
        <v>#REF!</v>
      </c>
      <c r="F197" s="3" t="e">
        <f t="shared" si="40"/>
        <v>#REF!</v>
      </c>
    </row>
    <row r="198" spans="1:7" x14ac:dyDescent="0.25">
      <c r="B198" s="2" t="e">
        <f>Data!#REF!*Data!#REF!</f>
        <v>#REF!</v>
      </c>
      <c r="C198" s="11" t="e">
        <f t="shared" si="38"/>
        <v>#REF!</v>
      </c>
      <c r="D198" s="2" t="e">
        <f>Data!#REF!</f>
        <v>#REF!</v>
      </c>
      <c r="E198" s="11" t="e">
        <f t="shared" si="39"/>
        <v>#REF!</v>
      </c>
      <c r="F198" s="3" t="e">
        <f t="shared" si="40"/>
        <v>#REF!</v>
      </c>
    </row>
    <row r="199" spans="1:7" x14ac:dyDescent="0.25">
      <c r="A199" t="e">
        <f>Data!#REF!</f>
        <v>#REF!</v>
      </c>
      <c r="B199" s="2" t="e">
        <f>Data!#REF!*Data!#REF!</f>
        <v>#REF!</v>
      </c>
      <c r="C199" s="11" t="e">
        <f t="shared" si="38"/>
        <v>#REF!</v>
      </c>
      <c r="D199" s="2" t="e">
        <f>Data!#REF!</f>
        <v>#REF!</v>
      </c>
      <c r="E199" s="11" t="e">
        <f t="shared" si="39"/>
        <v>#REF!</v>
      </c>
      <c r="F199" s="3" t="e">
        <f t="shared" si="40"/>
        <v>#REF!</v>
      </c>
      <c r="G199" s="3" t="e">
        <f>AVERAGE(F199:F201)</f>
        <v>#REF!</v>
      </c>
    </row>
    <row r="200" spans="1:7" x14ac:dyDescent="0.25">
      <c r="B200" s="2" t="e">
        <f>Data!#REF!*Data!#REF!</f>
        <v>#REF!</v>
      </c>
      <c r="C200" s="11" t="e">
        <f t="shared" si="38"/>
        <v>#REF!</v>
      </c>
      <c r="D200" s="2" t="e">
        <f>Data!#REF!</f>
        <v>#REF!</v>
      </c>
      <c r="E200" s="11" t="e">
        <f t="shared" si="39"/>
        <v>#REF!</v>
      </c>
      <c r="F200" s="3" t="e">
        <f t="shared" si="40"/>
        <v>#REF!</v>
      </c>
    </row>
    <row r="201" spans="1:7" x14ac:dyDescent="0.25">
      <c r="B201" s="2" t="e">
        <f>Data!#REF!*Data!#REF!</f>
        <v>#REF!</v>
      </c>
      <c r="C201" s="11" t="e">
        <f t="shared" si="38"/>
        <v>#REF!</v>
      </c>
      <c r="D201" s="2" t="e">
        <f>Data!#REF!</f>
        <v>#REF!</v>
      </c>
      <c r="E201" s="11" t="e">
        <f t="shared" si="39"/>
        <v>#REF!</v>
      </c>
      <c r="F201" s="3" t="e">
        <f t="shared" si="40"/>
        <v>#REF!</v>
      </c>
    </row>
    <row r="202" spans="1:7" x14ac:dyDescent="0.25">
      <c r="A202" t="e">
        <f>Data!#REF!</f>
        <v>#REF!</v>
      </c>
      <c r="B202" s="2" t="e">
        <f>Data!#REF!*Data!#REF!</f>
        <v>#REF!</v>
      </c>
      <c r="C202" s="11" t="e">
        <f t="shared" si="38"/>
        <v>#REF!</v>
      </c>
      <c r="D202" s="2" t="e">
        <f>Data!#REF!</f>
        <v>#REF!</v>
      </c>
      <c r="E202" s="11" t="e">
        <f t="shared" si="39"/>
        <v>#REF!</v>
      </c>
      <c r="F202" s="3" t="e">
        <f t="shared" si="40"/>
        <v>#REF!</v>
      </c>
      <c r="G202" s="3" t="e">
        <f>AVERAGE(F202:F204)</f>
        <v>#REF!</v>
      </c>
    </row>
    <row r="203" spans="1:7" x14ac:dyDescent="0.25">
      <c r="B203" s="2" t="e">
        <f>Data!#REF!*Data!#REF!</f>
        <v>#REF!</v>
      </c>
      <c r="C203" s="11" t="e">
        <f t="shared" si="38"/>
        <v>#REF!</v>
      </c>
      <c r="D203" s="2" t="e">
        <f>Data!#REF!</f>
        <v>#REF!</v>
      </c>
      <c r="E203" s="11" t="e">
        <f t="shared" si="39"/>
        <v>#REF!</v>
      </c>
      <c r="F203" s="3" t="e">
        <f t="shared" si="40"/>
        <v>#REF!</v>
      </c>
    </row>
    <row r="204" spans="1:7" x14ac:dyDescent="0.25">
      <c r="B204" s="2" t="e">
        <f>Data!#REF!*Data!#REF!</f>
        <v>#REF!</v>
      </c>
      <c r="C204" s="11" t="e">
        <f t="shared" si="38"/>
        <v>#REF!</v>
      </c>
      <c r="D204" s="2" t="e">
        <f>Data!#REF!</f>
        <v>#REF!</v>
      </c>
      <c r="E204" s="11" t="e">
        <f t="shared" si="39"/>
        <v>#REF!</v>
      </c>
      <c r="F204" s="3" t="e">
        <f t="shared" si="40"/>
        <v>#REF!</v>
      </c>
    </row>
    <row r="205" spans="1:7" x14ac:dyDescent="0.25">
      <c r="A205" t="e">
        <f>Data!#REF!</f>
        <v>#REF!</v>
      </c>
      <c r="B205" s="2" t="e">
        <f>Data!#REF!*Data!#REF!</f>
        <v>#REF!</v>
      </c>
      <c r="C205" s="11" t="e">
        <f t="shared" si="38"/>
        <v>#REF!</v>
      </c>
      <c r="D205" s="2" t="e">
        <f>Data!#REF!</f>
        <v>#REF!</v>
      </c>
      <c r="E205" s="11" t="e">
        <f t="shared" si="39"/>
        <v>#REF!</v>
      </c>
      <c r="F205" s="3" t="e">
        <f t="shared" si="40"/>
        <v>#REF!</v>
      </c>
      <c r="G205" s="3" t="e">
        <f>AVERAGE(F205:F207)</f>
        <v>#REF!</v>
      </c>
    </row>
    <row r="206" spans="1:7" x14ac:dyDescent="0.25">
      <c r="B206" s="2" t="e">
        <f>Data!#REF!*Data!#REF!</f>
        <v>#REF!</v>
      </c>
      <c r="C206" s="11" t="e">
        <f t="shared" si="38"/>
        <v>#REF!</v>
      </c>
      <c r="D206" s="2" t="e">
        <f>Data!#REF!</f>
        <v>#REF!</v>
      </c>
      <c r="E206" s="11" t="e">
        <f t="shared" si="39"/>
        <v>#REF!</v>
      </c>
      <c r="F206" s="3" t="e">
        <f t="shared" si="40"/>
        <v>#REF!</v>
      </c>
    </row>
    <row r="207" spans="1:7" x14ac:dyDescent="0.25">
      <c r="B207" s="2" t="e">
        <f>Data!#REF!*Data!#REF!</f>
        <v>#REF!</v>
      </c>
      <c r="C207" s="11" t="e">
        <f t="shared" si="38"/>
        <v>#REF!</v>
      </c>
      <c r="D207" s="2" t="e">
        <f>Data!#REF!</f>
        <v>#REF!</v>
      </c>
      <c r="E207" s="11" t="e">
        <f t="shared" si="39"/>
        <v>#REF!</v>
      </c>
      <c r="F207" s="3" t="e">
        <f t="shared" si="40"/>
        <v>#REF!</v>
      </c>
    </row>
    <row r="208" spans="1:7" x14ac:dyDescent="0.25">
      <c r="A208" t="e">
        <f>Data!#REF!</f>
        <v>#REF!</v>
      </c>
      <c r="B208" s="2" t="e">
        <f>Data!#REF!*Data!#REF!</f>
        <v>#REF!</v>
      </c>
      <c r="C208" s="11" t="e">
        <f t="shared" si="38"/>
        <v>#REF!</v>
      </c>
      <c r="D208" s="2" t="e">
        <f>Data!#REF!</f>
        <v>#REF!</v>
      </c>
      <c r="E208" s="11" t="e">
        <f t="shared" si="39"/>
        <v>#REF!</v>
      </c>
      <c r="F208" s="3" t="e">
        <f t="shared" si="40"/>
        <v>#REF!</v>
      </c>
      <c r="G208" s="3" t="e">
        <f>AVERAGE(F208:F210)</f>
        <v>#REF!</v>
      </c>
    </row>
    <row r="209" spans="1:7" x14ac:dyDescent="0.25">
      <c r="B209" s="2" t="e">
        <f>Data!#REF!*Data!#REF!</f>
        <v>#REF!</v>
      </c>
      <c r="C209" s="11" t="e">
        <f t="shared" si="38"/>
        <v>#REF!</v>
      </c>
      <c r="D209" s="2" t="e">
        <f>Data!#REF!</f>
        <v>#REF!</v>
      </c>
      <c r="E209" s="11" t="e">
        <f t="shared" si="39"/>
        <v>#REF!</v>
      </c>
      <c r="F209" s="3" t="e">
        <f t="shared" si="40"/>
        <v>#REF!</v>
      </c>
    </row>
    <row r="210" spans="1:7" x14ac:dyDescent="0.25">
      <c r="B210" s="2" t="e">
        <f>Data!#REF!*Data!#REF!</f>
        <v>#REF!</v>
      </c>
      <c r="C210" s="11" t="e">
        <f t="shared" si="38"/>
        <v>#REF!</v>
      </c>
      <c r="D210" s="2" t="e">
        <f>Data!#REF!</f>
        <v>#REF!</v>
      </c>
      <c r="E210" s="11" t="e">
        <f t="shared" si="39"/>
        <v>#REF!</v>
      </c>
      <c r="F210" s="3" t="e">
        <f t="shared" si="40"/>
        <v>#REF!</v>
      </c>
    </row>
    <row r="211" spans="1:7" x14ac:dyDescent="0.25">
      <c r="A211" t="e">
        <f>Data!#REF!</f>
        <v>#REF!</v>
      </c>
      <c r="B211" s="2" t="e">
        <f>Data!#REF!*Data!#REF!</f>
        <v>#REF!</v>
      </c>
      <c r="C211" s="11" t="e">
        <f t="shared" si="38"/>
        <v>#REF!</v>
      </c>
      <c r="D211" s="2" t="e">
        <f>Data!#REF!</f>
        <v>#REF!</v>
      </c>
      <c r="E211" s="11" t="e">
        <f t="shared" si="39"/>
        <v>#REF!</v>
      </c>
      <c r="F211" s="3" t="e">
        <f t="shared" si="40"/>
        <v>#REF!</v>
      </c>
      <c r="G211" s="3" t="e">
        <f>AVERAGE(F211:F213)</f>
        <v>#REF!</v>
      </c>
    </row>
    <row r="212" spans="1:7" x14ac:dyDescent="0.25">
      <c r="B212" s="2" t="e">
        <f>Data!#REF!*Data!#REF!</f>
        <v>#REF!</v>
      </c>
      <c r="C212" s="11" t="e">
        <f t="shared" si="38"/>
        <v>#REF!</v>
      </c>
      <c r="D212" s="2" t="e">
        <f>Data!#REF!</f>
        <v>#REF!</v>
      </c>
      <c r="E212" s="11" t="e">
        <f t="shared" si="39"/>
        <v>#REF!</v>
      </c>
      <c r="F212" s="3" t="e">
        <f t="shared" si="40"/>
        <v>#REF!</v>
      </c>
    </row>
    <row r="213" spans="1:7" x14ac:dyDescent="0.25">
      <c r="B213" s="2" t="e">
        <f>Data!#REF!*Data!#REF!</f>
        <v>#REF!</v>
      </c>
      <c r="C213" s="11" t="e">
        <f t="shared" si="38"/>
        <v>#REF!</v>
      </c>
      <c r="D213" s="2" t="e">
        <f>Data!#REF!</f>
        <v>#REF!</v>
      </c>
      <c r="E213" s="11" t="e">
        <f t="shared" si="39"/>
        <v>#REF!</v>
      </c>
      <c r="F213" s="3" t="e">
        <f t="shared" si="40"/>
        <v>#REF!</v>
      </c>
    </row>
    <row r="214" spans="1:7" x14ac:dyDescent="0.25">
      <c r="A214" t="e">
        <f>Data!#REF!</f>
        <v>#REF!</v>
      </c>
      <c r="B214" s="2" t="e">
        <f>Data!#REF!*Data!#REF!</f>
        <v>#REF!</v>
      </c>
      <c r="C214" s="11" t="e">
        <f t="shared" si="38"/>
        <v>#REF!</v>
      </c>
      <c r="D214" s="2" t="e">
        <f>Data!#REF!</f>
        <v>#REF!</v>
      </c>
      <c r="E214" s="11" t="e">
        <f t="shared" si="39"/>
        <v>#REF!</v>
      </c>
      <c r="F214" s="3" t="e">
        <f t="shared" si="40"/>
        <v>#REF!</v>
      </c>
      <c r="G214" s="3" t="e">
        <f>AVERAGE(F214:F216)</f>
        <v>#REF!</v>
      </c>
    </row>
    <row r="215" spans="1:7" x14ac:dyDescent="0.25">
      <c r="B215" s="2" t="e">
        <f>Data!#REF!*Data!#REF!</f>
        <v>#REF!</v>
      </c>
      <c r="C215" s="11" t="e">
        <f t="shared" si="38"/>
        <v>#REF!</v>
      </c>
      <c r="D215" s="2" t="e">
        <f>Data!#REF!</f>
        <v>#REF!</v>
      </c>
      <c r="E215" s="11" t="e">
        <f t="shared" si="39"/>
        <v>#REF!</v>
      </c>
      <c r="F215" s="3" t="e">
        <f t="shared" si="40"/>
        <v>#REF!</v>
      </c>
    </row>
    <row r="216" spans="1:7" x14ac:dyDescent="0.25">
      <c r="B216" s="2" t="e">
        <f>Data!#REF!*Data!#REF!</f>
        <v>#REF!</v>
      </c>
      <c r="C216" s="11" t="e">
        <f t="shared" si="38"/>
        <v>#REF!</v>
      </c>
      <c r="D216" s="2" t="e">
        <f>Data!#REF!</f>
        <v>#REF!</v>
      </c>
      <c r="E216" s="11" t="e">
        <f t="shared" si="39"/>
        <v>#REF!</v>
      </c>
      <c r="F216" s="3" t="e">
        <f t="shared" si="40"/>
        <v>#REF!</v>
      </c>
    </row>
    <row r="217" spans="1:7" x14ac:dyDescent="0.25">
      <c r="A217" t="e">
        <f>Data!#REF!</f>
        <v>#REF!</v>
      </c>
      <c r="B217" s="2" t="e">
        <f>Data!#REF!*Data!#REF!</f>
        <v>#REF!</v>
      </c>
      <c r="C217" s="11" t="e">
        <f t="shared" si="38"/>
        <v>#REF!</v>
      </c>
      <c r="D217" s="2" t="e">
        <f>Data!#REF!</f>
        <v>#REF!</v>
      </c>
      <c r="E217" s="11" t="e">
        <f t="shared" si="39"/>
        <v>#REF!</v>
      </c>
      <c r="F217" s="3" t="e">
        <f t="shared" si="40"/>
        <v>#REF!</v>
      </c>
      <c r="G217" s="3" t="e">
        <f>AVERAGE(F217:F219)</f>
        <v>#REF!</v>
      </c>
    </row>
    <row r="218" spans="1:7" x14ac:dyDescent="0.25">
      <c r="B218" s="2" t="e">
        <f>Data!#REF!*Data!#REF!</f>
        <v>#REF!</v>
      </c>
      <c r="C218" s="11" t="e">
        <f t="shared" si="38"/>
        <v>#REF!</v>
      </c>
      <c r="D218" s="2" t="e">
        <f>Data!#REF!</f>
        <v>#REF!</v>
      </c>
      <c r="E218" s="11" t="e">
        <f t="shared" si="39"/>
        <v>#REF!</v>
      </c>
      <c r="F218" s="3" t="e">
        <f t="shared" si="40"/>
        <v>#REF!</v>
      </c>
    </row>
    <row r="219" spans="1:7" x14ac:dyDescent="0.25">
      <c r="B219" s="2" t="e">
        <f>Data!#REF!*Data!#REF!</f>
        <v>#REF!</v>
      </c>
      <c r="C219" s="11" t="e">
        <f t="shared" si="38"/>
        <v>#REF!</v>
      </c>
      <c r="D219" s="2" t="e">
        <f>Data!#REF!</f>
        <v>#REF!</v>
      </c>
      <c r="E219" s="11" t="e">
        <f t="shared" si="39"/>
        <v>#REF!</v>
      </c>
      <c r="F219" s="3" t="e">
        <f t="shared" si="40"/>
        <v>#REF!</v>
      </c>
    </row>
    <row r="220" spans="1:7" x14ac:dyDescent="0.25">
      <c r="A220" t="e">
        <f>Data!#REF!</f>
        <v>#REF!</v>
      </c>
      <c r="B220" s="2" t="e">
        <f>Data!#REF!*Data!#REF!</f>
        <v>#REF!</v>
      </c>
      <c r="C220" s="11" t="e">
        <f t="shared" si="38"/>
        <v>#REF!</v>
      </c>
      <c r="D220" s="2" t="e">
        <f>Data!#REF!</f>
        <v>#REF!</v>
      </c>
      <c r="E220" s="11" t="e">
        <f t="shared" si="39"/>
        <v>#REF!</v>
      </c>
      <c r="F220" s="3" t="e">
        <f t="shared" si="40"/>
        <v>#REF!</v>
      </c>
      <c r="G220" s="3" t="e">
        <f>AVERAGE(F220:F222)</f>
        <v>#REF!</v>
      </c>
    </row>
    <row r="221" spans="1:7" x14ac:dyDescent="0.25">
      <c r="B221" s="2" t="e">
        <f>Data!#REF!*Data!#REF!</f>
        <v>#REF!</v>
      </c>
      <c r="C221" s="11" t="e">
        <f t="shared" si="38"/>
        <v>#REF!</v>
      </c>
      <c r="D221" s="2" t="e">
        <f>Data!#REF!</f>
        <v>#REF!</v>
      </c>
      <c r="E221" s="11" t="e">
        <f t="shared" si="39"/>
        <v>#REF!</v>
      </c>
      <c r="F221" s="3" t="e">
        <f t="shared" si="40"/>
        <v>#REF!</v>
      </c>
    </row>
    <row r="222" spans="1:7" x14ac:dyDescent="0.25">
      <c r="B222" s="2" t="e">
        <f>Data!#REF!*Data!#REF!</f>
        <v>#REF!</v>
      </c>
      <c r="C222" s="11" t="e">
        <f t="shared" si="38"/>
        <v>#REF!</v>
      </c>
      <c r="D222" s="2" t="e">
        <f>Data!#REF!</f>
        <v>#REF!</v>
      </c>
      <c r="E222" s="11" t="e">
        <f t="shared" si="39"/>
        <v>#REF!</v>
      </c>
      <c r="F222" s="3" t="e">
        <f t="shared" si="40"/>
        <v>#REF!</v>
      </c>
    </row>
    <row r="223" spans="1:7" x14ac:dyDescent="0.25">
      <c r="B223" s="2"/>
      <c r="C223" s="11"/>
      <c r="D223" s="2"/>
      <c r="E223" s="11"/>
      <c r="F223" s="3"/>
      <c r="G223" s="3"/>
    </row>
    <row r="224" spans="1:7" x14ac:dyDescent="0.25">
      <c r="B224" s="2"/>
      <c r="C224" s="11"/>
      <c r="D224" s="2"/>
      <c r="E224" s="11"/>
      <c r="F224" s="3"/>
    </row>
    <row r="225" spans="2:7" x14ac:dyDescent="0.25">
      <c r="B225" s="2"/>
      <c r="C225" s="11"/>
      <c r="D225" s="2"/>
      <c r="E225" s="11"/>
      <c r="F225" s="3"/>
    </row>
    <row r="226" spans="2:7" x14ac:dyDescent="0.25">
      <c r="B226" s="2"/>
      <c r="C226" s="11"/>
      <c r="D226" s="2"/>
      <c r="E226" s="11"/>
      <c r="F226" s="3"/>
      <c r="G226" s="3"/>
    </row>
    <row r="227" spans="2:7" x14ac:dyDescent="0.25">
      <c r="B227" s="2"/>
      <c r="C227" s="11"/>
      <c r="D227" s="2"/>
      <c r="E227" s="11"/>
      <c r="F227" s="3"/>
    </row>
    <row r="228" spans="2:7" x14ac:dyDescent="0.25">
      <c r="B228" s="2"/>
      <c r="C228" s="11"/>
      <c r="D228" s="2"/>
      <c r="E228" s="11"/>
      <c r="F228" s="3"/>
    </row>
    <row r="229" spans="2:7" x14ac:dyDescent="0.25">
      <c r="B229" s="2"/>
      <c r="C229" s="11"/>
      <c r="D229" s="2"/>
      <c r="E229" s="11"/>
      <c r="F229" s="3"/>
      <c r="G229" s="3"/>
    </row>
    <row r="230" spans="2:7" x14ac:dyDescent="0.25">
      <c r="B230" s="2"/>
      <c r="C230" s="11"/>
      <c r="D230" s="2"/>
      <c r="E230" s="11"/>
      <c r="F230" s="3"/>
    </row>
    <row r="231" spans="2:7" x14ac:dyDescent="0.25">
      <c r="B231" s="2"/>
      <c r="C231" s="11"/>
      <c r="D231" s="2"/>
      <c r="E231" s="11"/>
      <c r="F231" s="3"/>
    </row>
    <row r="232" spans="2:7" x14ac:dyDescent="0.25">
      <c r="B232" s="2"/>
      <c r="C232" s="11"/>
      <c r="D232" s="2"/>
      <c r="E232" s="11"/>
      <c r="F232" s="3"/>
      <c r="G232" s="3"/>
    </row>
    <row r="233" spans="2:7" x14ac:dyDescent="0.25">
      <c r="B233" s="2"/>
      <c r="C233" s="11"/>
      <c r="D233" s="2"/>
      <c r="E233" s="11"/>
      <c r="F233" s="3"/>
    </row>
    <row r="234" spans="2:7" x14ac:dyDescent="0.25">
      <c r="B234" s="2"/>
      <c r="C234" s="11"/>
      <c r="D234" s="2"/>
      <c r="E234" s="11"/>
      <c r="F234" s="3"/>
    </row>
    <row r="235" spans="2:7" x14ac:dyDescent="0.25">
      <c r="B235" s="2"/>
      <c r="C235" s="11"/>
      <c r="D235" s="2"/>
      <c r="E235" s="11"/>
      <c r="F235" s="3"/>
      <c r="G235" s="3"/>
    </row>
    <row r="236" spans="2:7" x14ac:dyDescent="0.25">
      <c r="B236" s="2"/>
      <c r="C236" s="11"/>
      <c r="D236" s="2"/>
      <c r="E236" s="11"/>
      <c r="F236" s="3"/>
    </row>
    <row r="237" spans="2:7" x14ac:dyDescent="0.25">
      <c r="B237" s="2"/>
      <c r="C237" s="11"/>
      <c r="D237" s="2"/>
      <c r="E237" s="11"/>
      <c r="F237" s="3"/>
    </row>
    <row r="238" spans="2:7" x14ac:dyDescent="0.25">
      <c r="B238" s="2"/>
      <c r="C238" s="11"/>
      <c r="D238" s="2"/>
      <c r="E238" s="11"/>
      <c r="F238" s="3"/>
      <c r="G238" s="3"/>
    </row>
    <row r="239" spans="2:7" x14ac:dyDescent="0.25">
      <c r="B239" s="2"/>
      <c r="C239" s="11"/>
      <c r="D239" s="2"/>
      <c r="E239" s="11"/>
      <c r="F239" s="3"/>
    </row>
    <row r="240" spans="2:7" x14ac:dyDescent="0.25">
      <c r="B240" s="2"/>
      <c r="C240" s="11"/>
      <c r="D240" s="2"/>
      <c r="E240" s="11"/>
      <c r="F240" s="3"/>
    </row>
    <row r="241" spans="2:7" x14ac:dyDescent="0.25">
      <c r="B241" s="2"/>
      <c r="C241" s="11"/>
      <c r="D241" s="2"/>
      <c r="E241" s="11"/>
      <c r="F241" s="3"/>
      <c r="G241" s="3"/>
    </row>
    <row r="242" spans="2:7" x14ac:dyDescent="0.25">
      <c r="B242" s="2"/>
      <c r="C242" s="11"/>
      <c r="D242" s="2"/>
      <c r="E242" s="11"/>
      <c r="F242" s="3"/>
    </row>
    <row r="243" spans="2:7" x14ac:dyDescent="0.25">
      <c r="B243" s="2"/>
      <c r="C243" s="11"/>
      <c r="D243" s="2"/>
      <c r="E243" s="11"/>
      <c r="F243" s="3"/>
    </row>
    <row r="244" spans="2:7" x14ac:dyDescent="0.25">
      <c r="B244" s="2"/>
      <c r="C244" s="11"/>
      <c r="D244" s="2"/>
      <c r="E244" s="11"/>
      <c r="F244" s="3"/>
      <c r="G244" s="3"/>
    </row>
    <row r="245" spans="2:7" x14ac:dyDescent="0.25">
      <c r="B245" s="2"/>
      <c r="C245" s="11"/>
      <c r="D245" s="2"/>
      <c r="E245" s="11"/>
      <c r="F245" s="3"/>
    </row>
    <row r="246" spans="2:7" x14ac:dyDescent="0.25">
      <c r="B246" s="2"/>
      <c r="C246" s="11"/>
      <c r="D246" s="2"/>
      <c r="E246" s="11"/>
      <c r="F246" s="3"/>
    </row>
    <row r="247" spans="2:7" x14ac:dyDescent="0.25">
      <c r="B247" s="2"/>
      <c r="C247" s="11"/>
      <c r="D247" s="2"/>
      <c r="E247" s="11"/>
      <c r="F247" s="3"/>
      <c r="G247" s="3"/>
    </row>
    <row r="248" spans="2:7" x14ac:dyDescent="0.25">
      <c r="B248" s="2"/>
      <c r="C248" s="11"/>
      <c r="D248" s="2"/>
      <c r="E248" s="11"/>
      <c r="F248" s="3"/>
    </row>
    <row r="249" spans="2:7" x14ac:dyDescent="0.25">
      <c r="B249" s="2"/>
      <c r="C249" s="11"/>
      <c r="D249" s="2"/>
      <c r="E249" s="11"/>
      <c r="F249" s="3"/>
    </row>
    <row r="250" spans="2:7" x14ac:dyDescent="0.25">
      <c r="B250" s="2"/>
      <c r="C250" s="11"/>
      <c r="D250" s="2"/>
      <c r="E250" s="11"/>
      <c r="F250" s="3"/>
      <c r="G250" s="3"/>
    </row>
    <row r="251" spans="2:7" x14ac:dyDescent="0.25">
      <c r="B251" s="2"/>
      <c r="C251" s="11"/>
      <c r="D251" s="2"/>
      <c r="E251" s="11"/>
      <c r="F251" s="3"/>
    </row>
    <row r="252" spans="2:7" x14ac:dyDescent="0.25">
      <c r="B252" s="2"/>
      <c r="C252" s="11"/>
      <c r="D252" s="2"/>
      <c r="E252" s="11"/>
      <c r="F252" s="3"/>
    </row>
    <row r="253" spans="2:7" x14ac:dyDescent="0.25">
      <c r="B253" s="2"/>
      <c r="C253" s="11"/>
      <c r="D253" s="2"/>
      <c r="E253" s="11"/>
      <c r="F253" s="3"/>
      <c r="G253" s="3"/>
    </row>
    <row r="254" spans="2:7" x14ac:dyDescent="0.25">
      <c r="B254" s="2"/>
      <c r="C254" s="11"/>
      <c r="D254" s="2"/>
      <c r="E254" s="11"/>
      <c r="F254" s="3"/>
    </row>
    <row r="255" spans="2:7" x14ac:dyDescent="0.25">
      <c r="B255" s="2"/>
      <c r="C255" s="11"/>
      <c r="D255" s="2"/>
      <c r="E255" s="11"/>
      <c r="F255" s="3"/>
    </row>
    <row r="256" spans="2:7" x14ac:dyDescent="0.25">
      <c r="B256" s="2"/>
      <c r="C256" s="11"/>
      <c r="D256" s="2"/>
      <c r="E256" s="11"/>
      <c r="F256" s="3"/>
      <c r="G256" s="3"/>
    </row>
    <row r="257" spans="2:7" x14ac:dyDescent="0.25">
      <c r="B257" s="2"/>
      <c r="C257" s="11"/>
      <c r="D257" s="2"/>
      <c r="E257" s="11"/>
      <c r="F257" s="3"/>
    </row>
    <row r="258" spans="2:7" x14ac:dyDescent="0.25">
      <c r="B258" s="2"/>
      <c r="C258" s="11"/>
      <c r="D258" s="2"/>
      <c r="E258" s="11"/>
      <c r="F258" s="3"/>
    </row>
    <row r="259" spans="2:7" x14ac:dyDescent="0.25">
      <c r="B259" s="2"/>
      <c r="C259" s="11"/>
      <c r="D259" s="2"/>
      <c r="E259" s="11"/>
      <c r="F259" s="3"/>
      <c r="G259" s="3"/>
    </row>
    <row r="260" spans="2:7" x14ac:dyDescent="0.25">
      <c r="B260" s="2"/>
      <c r="C260" s="11"/>
      <c r="D260" s="2"/>
      <c r="E260" s="11"/>
      <c r="F260" s="3"/>
    </row>
    <row r="261" spans="2:7" x14ac:dyDescent="0.25">
      <c r="B261" s="2"/>
      <c r="C261" s="11"/>
      <c r="D261" s="2"/>
      <c r="E261" s="11"/>
      <c r="F261" s="3"/>
    </row>
    <row r="262" spans="2:7" x14ac:dyDescent="0.25">
      <c r="B262" s="2"/>
      <c r="C262" s="11"/>
      <c r="D262" s="2"/>
      <c r="E262" s="11"/>
      <c r="F262" s="3"/>
      <c r="G262" s="3"/>
    </row>
    <row r="263" spans="2:7" x14ac:dyDescent="0.25">
      <c r="B263" s="2"/>
      <c r="C263" s="11"/>
      <c r="D263" s="2"/>
      <c r="E263" s="11"/>
      <c r="F263" s="3"/>
    </row>
    <row r="264" spans="2:7" x14ac:dyDescent="0.25">
      <c r="B264" s="2"/>
      <c r="C264" s="11"/>
      <c r="D264" s="2"/>
      <c r="E264" s="11"/>
      <c r="F264" s="3"/>
    </row>
    <row r="265" spans="2:7" x14ac:dyDescent="0.25">
      <c r="B265" s="2"/>
      <c r="C265" s="11"/>
      <c r="D265" s="2"/>
      <c r="E265" s="11"/>
      <c r="F265" s="3"/>
      <c r="G265" s="3"/>
    </row>
    <row r="266" spans="2:7" x14ac:dyDescent="0.25">
      <c r="B266" s="2"/>
      <c r="C266" s="11"/>
      <c r="D266" s="2"/>
      <c r="E266" s="11"/>
      <c r="F266" s="3"/>
    </row>
    <row r="267" spans="2:7" x14ac:dyDescent="0.25">
      <c r="B267" s="2"/>
      <c r="C267" s="11"/>
      <c r="D267" s="2"/>
      <c r="E267" s="11"/>
      <c r="F267" s="3"/>
    </row>
    <row r="268" spans="2:7" x14ac:dyDescent="0.25">
      <c r="B268" s="2"/>
      <c r="C268" s="11"/>
      <c r="D268" s="2"/>
      <c r="E268" s="11"/>
      <c r="F268" s="3"/>
      <c r="G268" s="3"/>
    </row>
    <row r="269" spans="2:7" x14ac:dyDescent="0.25">
      <c r="B269" s="2"/>
      <c r="C269" s="11"/>
      <c r="D269" s="2"/>
      <c r="E269" s="11"/>
      <c r="F269" s="3"/>
    </row>
    <row r="270" spans="2:7" x14ac:dyDescent="0.25">
      <c r="B270" s="2"/>
      <c r="C270" s="11"/>
      <c r="D270" s="2"/>
      <c r="E270" s="11"/>
      <c r="F270" s="3"/>
    </row>
    <row r="271" spans="2:7" x14ac:dyDescent="0.25">
      <c r="B271" s="2"/>
      <c r="C271" s="11"/>
      <c r="D271" s="2"/>
      <c r="E271" s="11"/>
      <c r="F271" s="3"/>
      <c r="G271" s="3"/>
    </row>
    <row r="272" spans="2:7" x14ac:dyDescent="0.25">
      <c r="B272" s="2"/>
      <c r="C272" s="11"/>
      <c r="D272" s="2"/>
      <c r="E272" s="11"/>
      <c r="F272" s="3"/>
    </row>
    <row r="273" spans="2:7" x14ac:dyDescent="0.25">
      <c r="B273" s="2"/>
      <c r="C273" s="11"/>
      <c r="D273" s="2"/>
      <c r="E273" s="11"/>
      <c r="F273" s="3"/>
    </row>
    <row r="274" spans="2:7" x14ac:dyDescent="0.25">
      <c r="B274" s="2"/>
      <c r="C274" s="11"/>
      <c r="D274" s="2"/>
      <c r="E274" s="11"/>
      <c r="F274" s="3"/>
      <c r="G274" s="3"/>
    </row>
    <row r="275" spans="2:7" x14ac:dyDescent="0.25">
      <c r="B275" s="2"/>
      <c r="C275" s="11"/>
      <c r="D275" s="2"/>
      <c r="E275" s="11"/>
      <c r="F275" s="3"/>
    </row>
    <row r="276" spans="2:7" x14ac:dyDescent="0.25">
      <c r="B276" s="2"/>
      <c r="C276" s="11"/>
      <c r="D276" s="2"/>
      <c r="E276" s="11"/>
      <c r="F276" s="3"/>
    </row>
    <row r="277" spans="2:7" x14ac:dyDescent="0.25">
      <c r="B277" s="2"/>
      <c r="C277" s="11"/>
      <c r="D277" s="2"/>
      <c r="E277" s="11"/>
      <c r="F277" s="3"/>
      <c r="G277" s="3"/>
    </row>
    <row r="278" spans="2:7" x14ac:dyDescent="0.25">
      <c r="B278" s="2"/>
      <c r="C278" s="11"/>
      <c r="D278" s="2"/>
      <c r="E278" s="11"/>
      <c r="F278" s="3"/>
    </row>
    <row r="279" spans="2:7" x14ac:dyDescent="0.25">
      <c r="B279" s="2"/>
      <c r="C279" s="11"/>
      <c r="D279" s="2"/>
      <c r="E279" s="11"/>
      <c r="F279" s="3"/>
    </row>
    <row r="280" spans="2:7" x14ac:dyDescent="0.25">
      <c r="B280" s="2"/>
      <c r="C280" s="11"/>
      <c r="D280" s="2"/>
      <c r="E280" s="11"/>
      <c r="F280" s="3"/>
      <c r="G280" s="3"/>
    </row>
    <row r="281" spans="2:7" x14ac:dyDescent="0.25">
      <c r="B281" s="2"/>
      <c r="C281" s="11"/>
      <c r="D281" s="2"/>
      <c r="E281" s="11"/>
      <c r="F281" s="3"/>
    </row>
    <row r="282" spans="2:7" x14ac:dyDescent="0.25">
      <c r="B282" s="2"/>
      <c r="C282" s="11"/>
      <c r="D282" s="2"/>
      <c r="E282" s="11"/>
      <c r="F282" s="3"/>
    </row>
    <row r="283" spans="2:7" x14ac:dyDescent="0.25">
      <c r="B283" s="2"/>
      <c r="C283" s="11"/>
      <c r="D283" s="2"/>
      <c r="E283" s="11"/>
      <c r="F283" s="3"/>
      <c r="G283" s="3"/>
    </row>
    <row r="284" spans="2:7" x14ac:dyDescent="0.25">
      <c r="B284" s="2"/>
      <c r="C284" s="11"/>
      <c r="D284" s="2"/>
      <c r="E284" s="11"/>
      <c r="F284" s="3"/>
    </row>
    <row r="285" spans="2:7" x14ac:dyDescent="0.25">
      <c r="B285" s="2"/>
      <c r="C285" s="11"/>
      <c r="D285" s="2"/>
      <c r="E285" s="11"/>
      <c r="F285" s="3"/>
    </row>
    <row r="286" spans="2:7" x14ac:dyDescent="0.25">
      <c r="B286" s="2"/>
      <c r="C286" s="11"/>
      <c r="D286" s="2"/>
      <c r="E286" s="11"/>
      <c r="F286" s="3"/>
      <c r="G286" s="3"/>
    </row>
    <row r="287" spans="2:7" x14ac:dyDescent="0.25">
      <c r="B287" s="2"/>
      <c r="C287" s="11"/>
      <c r="D287" s="2"/>
      <c r="E287" s="11"/>
      <c r="F287" s="3"/>
    </row>
    <row r="288" spans="2:7" x14ac:dyDescent="0.25">
      <c r="B288" s="2"/>
      <c r="C288" s="11"/>
      <c r="D288" s="2"/>
      <c r="E288" s="11"/>
      <c r="F288" s="3"/>
    </row>
    <row r="289" spans="2:7" x14ac:dyDescent="0.25">
      <c r="B289" s="2"/>
      <c r="C289" s="11"/>
      <c r="D289" s="2"/>
      <c r="E289" s="11"/>
      <c r="F289" s="3"/>
      <c r="G289" s="3"/>
    </row>
    <row r="290" spans="2:7" x14ac:dyDescent="0.25">
      <c r="B290" s="2"/>
      <c r="C290" s="11"/>
      <c r="D290" s="2"/>
      <c r="E290" s="11"/>
      <c r="F290" s="3"/>
    </row>
    <row r="291" spans="2:7" x14ac:dyDescent="0.25">
      <c r="B291" s="2"/>
      <c r="C291" s="11"/>
      <c r="D291" s="2"/>
      <c r="E291" s="11"/>
      <c r="F291" s="3"/>
    </row>
    <row r="292" spans="2:7" x14ac:dyDescent="0.25">
      <c r="B292" s="2"/>
      <c r="C292" s="11"/>
      <c r="D292" s="2"/>
      <c r="E292" s="11"/>
      <c r="F292" s="3"/>
      <c r="G292" s="3"/>
    </row>
    <row r="293" spans="2:7" x14ac:dyDescent="0.25">
      <c r="B293" s="2"/>
      <c r="C293" s="11"/>
      <c r="D293" s="2"/>
      <c r="E293" s="11"/>
      <c r="F293" s="3"/>
    </row>
    <row r="294" spans="2:7" x14ac:dyDescent="0.25">
      <c r="B294" s="2"/>
      <c r="C294" s="11"/>
      <c r="D294" s="2"/>
      <c r="E294" s="11"/>
      <c r="F294" s="3"/>
    </row>
    <row r="295" spans="2:7" x14ac:dyDescent="0.25">
      <c r="B295" s="2"/>
      <c r="C295" s="11"/>
      <c r="D295" s="2"/>
      <c r="E295" s="11"/>
      <c r="F295" s="3"/>
      <c r="G295" s="3"/>
    </row>
    <row r="296" spans="2:7" x14ac:dyDescent="0.25">
      <c r="B296" s="2"/>
      <c r="C296" s="11"/>
      <c r="D296" s="2"/>
      <c r="E296" s="11"/>
      <c r="F296" s="3"/>
    </row>
    <row r="297" spans="2:7" x14ac:dyDescent="0.25">
      <c r="B297" s="2"/>
      <c r="C297" s="11"/>
      <c r="D297" s="2"/>
      <c r="E297" s="11"/>
      <c r="F297" s="3"/>
    </row>
    <row r="298" spans="2:7" x14ac:dyDescent="0.25">
      <c r="B298" s="2"/>
      <c r="C298" s="11"/>
      <c r="D298" s="2"/>
      <c r="E298" s="11"/>
      <c r="F298" s="3"/>
      <c r="G298" s="3"/>
    </row>
    <row r="299" spans="2:7" x14ac:dyDescent="0.25">
      <c r="B299" s="2"/>
      <c r="C299" s="11"/>
      <c r="D299" s="2"/>
      <c r="E299" s="11"/>
      <c r="F299" s="3"/>
    </row>
    <row r="300" spans="2:7" x14ac:dyDescent="0.25">
      <c r="B300" s="2"/>
      <c r="C300" s="11"/>
      <c r="D300" s="2"/>
      <c r="E300" s="11"/>
      <c r="F300" s="3"/>
    </row>
    <row r="301" spans="2:7" x14ac:dyDescent="0.25">
      <c r="B301" s="2"/>
      <c r="C301" s="11"/>
      <c r="D301" s="2"/>
      <c r="E301" s="11"/>
      <c r="F301" s="3"/>
      <c r="G301" s="3"/>
    </row>
    <row r="302" spans="2:7" x14ac:dyDescent="0.25">
      <c r="B302" s="2"/>
      <c r="C302" s="11"/>
      <c r="D302" s="2"/>
      <c r="E302" s="11"/>
      <c r="F302" s="3"/>
    </row>
    <row r="303" spans="2:7" x14ac:dyDescent="0.25">
      <c r="B303" s="2"/>
      <c r="C303" s="11"/>
      <c r="D303" s="2"/>
      <c r="E303" s="11"/>
      <c r="F303" s="3"/>
    </row>
    <row r="304" spans="2:7" x14ac:dyDescent="0.25">
      <c r="B304" s="2"/>
      <c r="C304" s="11"/>
      <c r="D304" s="2"/>
      <c r="E304" s="11"/>
      <c r="F304" s="3"/>
      <c r="G304" s="3"/>
    </row>
    <row r="305" spans="2:7" x14ac:dyDescent="0.25">
      <c r="B305" s="2"/>
      <c r="C305" s="11"/>
      <c r="D305" s="2"/>
      <c r="E305" s="11"/>
      <c r="F305" s="3"/>
    </row>
    <row r="306" spans="2:7" x14ac:dyDescent="0.25">
      <c r="B306" s="2"/>
      <c r="C306" s="11"/>
      <c r="D306" s="2"/>
      <c r="E306" s="11"/>
      <c r="F306" s="3"/>
    </row>
    <row r="307" spans="2:7" x14ac:dyDescent="0.25">
      <c r="B307" s="2"/>
      <c r="C307" s="11"/>
      <c r="D307" s="2"/>
      <c r="E307" s="11"/>
      <c r="F307" s="3"/>
      <c r="G307" s="3"/>
    </row>
    <row r="308" spans="2:7" x14ac:dyDescent="0.25">
      <c r="B308" s="2"/>
      <c r="C308" s="11"/>
      <c r="D308" s="2"/>
      <c r="E308" s="11"/>
      <c r="F308" s="3"/>
    </row>
    <row r="309" spans="2:7" x14ac:dyDescent="0.25">
      <c r="B309" s="2"/>
      <c r="C309" s="11"/>
      <c r="D309" s="2"/>
      <c r="E309" s="11"/>
      <c r="F309" s="3"/>
    </row>
    <row r="310" spans="2:7" x14ac:dyDescent="0.25">
      <c r="B310" s="2"/>
      <c r="C310" s="11"/>
      <c r="D310" s="2"/>
      <c r="E310" s="11"/>
      <c r="F310" s="3"/>
      <c r="G310" s="3"/>
    </row>
    <row r="311" spans="2:7" x14ac:dyDescent="0.25">
      <c r="B311" s="2"/>
      <c r="C311" s="11"/>
      <c r="D311" s="2"/>
      <c r="E311" s="11"/>
      <c r="F311" s="3"/>
    </row>
    <row r="312" spans="2:7" x14ac:dyDescent="0.25">
      <c r="B312" s="2"/>
      <c r="C312" s="11"/>
      <c r="D312" s="2"/>
      <c r="E312" s="11"/>
      <c r="F312" s="3"/>
    </row>
    <row r="313" spans="2:7" x14ac:dyDescent="0.25">
      <c r="B313" s="2"/>
      <c r="C313" s="11"/>
      <c r="D313" s="2"/>
      <c r="E313" s="11"/>
      <c r="F313" s="3"/>
      <c r="G313" s="3"/>
    </row>
    <row r="314" spans="2:7" x14ac:dyDescent="0.25">
      <c r="B314" s="2"/>
      <c r="C314" s="11"/>
      <c r="D314" s="2"/>
      <c r="E314" s="11"/>
      <c r="F314" s="3"/>
    </row>
    <row r="315" spans="2:7" x14ac:dyDescent="0.25">
      <c r="B315" s="2"/>
      <c r="C315" s="11"/>
      <c r="D315" s="2"/>
      <c r="E315" s="11"/>
      <c r="F315" s="3"/>
    </row>
    <row r="316" spans="2:7" x14ac:dyDescent="0.25">
      <c r="B316" s="2"/>
      <c r="C316" s="11"/>
      <c r="D316" s="2"/>
      <c r="E316" s="11"/>
      <c r="F316" s="3"/>
      <c r="G316" s="3"/>
    </row>
    <row r="317" spans="2:7" x14ac:dyDescent="0.25">
      <c r="B317" s="2"/>
      <c r="C317" s="11"/>
      <c r="D317" s="2"/>
      <c r="E317" s="11"/>
      <c r="F317" s="3"/>
    </row>
    <row r="318" spans="2:7" x14ac:dyDescent="0.25">
      <c r="B318" s="2"/>
      <c r="C318" s="11"/>
      <c r="D318" s="2"/>
      <c r="E318" s="11"/>
      <c r="F318" s="3"/>
    </row>
    <row r="319" spans="2:7" x14ac:dyDescent="0.25">
      <c r="B319" s="2"/>
      <c r="C319" s="11"/>
      <c r="D319" s="2"/>
      <c r="E319" s="11"/>
      <c r="F319" s="3"/>
      <c r="G319" s="3"/>
    </row>
    <row r="320" spans="2:7" x14ac:dyDescent="0.25">
      <c r="B320" s="2"/>
      <c r="C320" s="11"/>
      <c r="D320" s="2"/>
      <c r="E320" s="11"/>
      <c r="F320" s="3"/>
    </row>
    <row r="321" spans="2:7" x14ac:dyDescent="0.25">
      <c r="B321" s="2"/>
      <c r="C321" s="11"/>
      <c r="D321" s="2"/>
      <c r="E321" s="11"/>
      <c r="F321" s="3"/>
    </row>
    <row r="322" spans="2:7" x14ac:dyDescent="0.25">
      <c r="B322" s="2"/>
      <c r="C322" s="11"/>
      <c r="D322" s="2"/>
      <c r="E322" s="11"/>
      <c r="F322" s="3"/>
      <c r="G322" s="3"/>
    </row>
    <row r="323" spans="2:7" x14ac:dyDescent="0.25">
      <c r="B323" s="2"/>
      <c r="C323" s="11"/>
      <c r="D323" s="2"/>
      <c r="E323" s="11"/>
      <c r="F323" s="3"/>
    </row>
    <row r="324" spans="2:7" x14ac:dyDescent="0.25">
      <c r="B324" s="2"/>
      <c r="C324" s="11"/>
      <c r="D324" s="2"/>
      <c r="E324" s="11"/>
      <c r="F324" s="3"/>
    </row>
    <row r="325" spans="2:7" x14ac:dyDescent="0.25">
      <c r="B325" s="2"/>
      <c r="C325" s="11"/>
      <c r="D325" s="2"/>
      <c r="E325" s="11"/>
      <c r="F325" s="3"/>
      <c r="G325" s="3"/>
    </row>
    <row r="326" spans="2:7" x14ac:dyDescent="0.25">
      <c r="B326" s="2"/>
      <c r="C326" s="11"/>
      <c r="D326" s="2"/>
      <c r="E326" s="11"/>
      <c r="F326" s="3"/>
    </row>
    <row r="327" spans="2:7" x14ac:dyDescent="0.25">
      <c r="B327" s="2"/>
      <c r="C327" s="11"/>
      <c r="D327" s="2"/>
      <c r="E327" s="11"/>
      <c r="F327" s="3"/>
    </row>
    <row r="328" spans="2:7" x14ac:dyDescent="0.25">
      <c r="B328" s="2"/>
      <c r="C328" s="11"/>
      <c r="D328" s="2"/>
      <c r="E328" s="11"/>
      <c r="F328" s="3"/>
      <c r="G328" s="3"/>
    </row>
    <row r="329" spans="2:7" x14ac:dyDescent="0.25">
      <c r="B329" s="2"/>
      <c r="C329" s="11"/>
      <c r="D329" s="2"/>
      <c r="E329" s="11"/>
      <c r="F329" s="3"/>
    </row>
    <row r="330" spans="2:7" x14ac:dyDescent="0.25">
      <c r="B330" s="2"/>
      <c r="C330" s="11"/>
      <c r="D330" s="2"/>
      <c r="E330" s="11"/>
      <c r="F330" s="3"/>
    </row>
    <row r="331" spans="2:7" x14ac:dyDescent="0.25">
      <c r="B331" s="2"/>
      <c r="C331" s="11"/>
      <c r="D331" s="2"/>
      <c r="E331" s="11"/>
      <c r="F331" s="3"/>
      <c r="G331" s="3"/>
    </row>
    <row r="332" spans="2:7" x14ac:dyDescent="0.25">
      <c r="B332" s="2"/>
      <c r="C332" s="11"/>
      <c r="D332" s="2"/>
      <c r="E332" s="11"/>
      <c r="F332" s="3"/>
    </row>
    <row r="333" spans="2:7" x14ac:dyDescent="0.25">
      <c r="B333" s="2"/>
      <c r="C333" s="11"/>
      <c r="D333" s="2"/>
      <c r="E333" s="11"/>
      <c r="F333" s="3"/>
    </row>
    <row r="334" spans="2:7" x14ac:dyDescent="0.25">
      <c r="B334" s="2"/>
      <c r="C334" s="11"/>
      <c r="D334" s="2"/>
      <c r="E334" s="11"/>
      <c r="F334" s="3"/>
      <c r="G334" s="3"/>
    </row>
    <row r="335" spans="2:7" x14ac:dyDescent="0.25">
      <c r="B335" s="2"/>
      <c r="C335" s="11"/>
      <c r="D335" s="2"/>
      <c r="E335" s="11"/>
      <c r="F335" s="3"/>
    </row>
    <row r="336" spans="2:7" x14ac:dyDescent="0.25">
      <c r="B336" s="2"/>
      <c r="C336" s="11"/>
      <c r="D336" s="2"/>
      <c r="E336" s="11"/>
      <c r="F336" s="3"/>
    </row>
    <row r="337" spans="2:7" x14ac:dyDescent="0.25">
      <c r="B337" s="2"/>
      <c r="C337" s="11"/>
      <c r="D337" s="2"/>
      <c r="E337" s="11"/>
      <c r="F337" s="3"/>
      <c r="G337" s="3"/>
    </row>
    <row r="338" spans="2:7" x14ac:dyDescent="0.25">
      <c r="B338" s="2"/>
      <c r="C338" s="11"/>
      <c r="D338" s="2"/>
      <c r="E338" s="11"/>
      <c r="F338" s="3"/>
    </row>
    <row r="339" spans="2:7" x14ac:dyDescent="0.25">
      <c r="B339" s="2"/>
      <c r="C339" s="11"/>
      <c r="D339" s="2"/>
      <c r="E339" s="11"/>
      <c r="F339" s="3"/>
    </row>
    <row r="340" spans="2:7" x14ac:dyDescent="0.25">
      <c r="B340" s="2"/>
      <c r="C340" s="11"/>
      <c r="D340" s="2"/>
      <c r="E340" s="11"/>
      <c r="F340" s="3"/>
      <c r="G340" s="3"/>
    </row>
    <row r="341" spans="2:7" x14ac:dyDescent="0.25">
      <c r="B341" s="2"/>
      <c r="C341" s="11"/>
      <c r="D341" s="2"/>
      <c r="E341" s="11"/>
      <c r="F341" s="3"/>
    </row>
    <row r="342" spans="2:7" x14ac:dyDescent="0.25">
      <c r="B342" s="2"/>
      <c r="C342" s="11"/>
      <c r="D342" s="2"/>
      <c r="E342" s="11"/>
      <c r="F342" s="3"/>
    </row>
    <row r="343" spans="2:7" x14ac:dyDescent="0.25">
      <c r="B343" s="2"/>
      <c r="C343" s="11"/>
      <c r="D343" s="2"/>
      <c r="E343" s="11"/>
      <c r="F343" s="3"/>
      <c r="G343" s="3"/>
    </row>
    <row r="344" spans="2:7" x14ac:dyDescent="0.25">
      <c r="B344" s="2"/>
      <c r="C344" s="11"/>
      <c r="D344" s="2"/>
      <c r="E344" s="11"/>
      <c r="F344" s="3"/>
    </row>
    <row r="345" spans="2:7" x14ac:dyDescent="0.25">
      <c r="B345" s="2"/>
      <c r="C345" s="11"/>
      <c r="D345" s="2"/>
      <c r="E345" s="11"/>
      <c r="F345" s="3"/>
    </row>
    <row r="346" spans="2:7" x14ac:dyDescent="0.25">
      <c r="B346" s="2"/>
      <c r="C346" s="11"/>
      <c r="D346" s="2"/>
      <c r="E346" s="11"/>
      <c r="F346" s="3"/>
      <c r="G346" s="3"/>
    </row>
    <row r="347" spans="2:7" x14ac:dyDescent="0.25">
      <c r="B347" s="2"/>
      <c r="C347" s="11"/>
      <c r="D347" s="2"/>
      <c r="E347" s="11"/>
      <c r="F347" s="3"/>
    </row>
    <row r="348" spans="2:7" x14ac:dyDescent="0.25">
      <c r="B348" s="2"/>
      <c r="C348" s="11"/>
      <c r="D348" s="2"/>
      <c r="E348" s="11"/>
      <c r="F348" s="3"/>
    </row>
    <row r="349" spans="2:7" x14ac:dyDescent="0.25">
      <c r="B349" s="2"/>
      <c r="C349" s="11"/>
      <c r="D349" s="2"/>
      <c r="E349" s="11"/>
      <c r="F349" s="3"/>
      <c r="G349" s="3"/>
    </row>
    <row r="350" spans="2:7" x14ac:dyDescent="0.25">
      <c r="B350" s="2"/>
      <c r="C350" s="11"/>
      <c r="D350" s="2"/>
      <c r="E350" s="11"/>
      <c r="F350" s="3"/>
    </row>
    <row r="351" spans="2:7" x14ac:dyDescent="0.25">
      <c r="B351" s="2"/>
      <c r="C351" s="11"/>
      <c r="D351" s="2"/>
      <c r="E351" s="11"/>
      <c r="F351" s="3"/>
    </row>
    <row r="352" spans="2:7" x14ac:dyDescent="0.25">
      <c r="B352" s="2"/>
      <c r="C352" s="11"/>
      <c r="D352" s="2"/>
      <c r="E352" s="11"/>
      <c r="F352" s="3"/>
      <c r="G352" s="3"/>
    </row>
    <row r="353" spans="2:7" x14ac:dyDescent="0.25">
      <c r="B353" s="2"/>
      <c r="C353" s="11"/>
      <c r="D353" s="2"/>
      <c r="E353" s="11"/>
      <c r="F353" s="3"/>
    </row>
    <row r="354" spans="2:7" x14ac:dyDescent="0.25">
      <c r="B354" s="2"/>
      <c r="C354" s="11"/>
      <c r="D354" s="2"/>
      <c r="E354" s="11"/>
      <c r="F354" s="3"/>
    </row>
    <row r="355" spans="2:7" x14ac:dyDescent="0.25">
      <c r="B355" s="2"/>
      <c r="C355" s="11"/>
      <c r="D355" s="2"/>
      <c r="E355" s="11"/>
      <c r="F355" s="3"/>
      <c r="G355" s="3"/>
    </row>
    <row r="356" spans="2:7" x14ac:dyDescent="0.25">
      <c r="B356" s="2"/>
      <c r="C356" s="11"/>
      <c r="D356" s="2"/>
      <c r="E356" s="11"/>
      <c r="F356" s="3"/>
    </row>
    <row r="357" spans="2:7" x14ac:dyDescent="0.25">
      <c r="B357" s="2"/>
      <c r="C357" s="11"/>
      <c r="D357" s="2"/>
      <c r="E357" s="11"/>
      <c r="F357" s="3"/>
    </row>
    <row r="358" spans="2:7" x14ac:dyDescent="0.25">
      <c r="B358" s="2"/>
      <c r="C358" s="11"/>
      <c r="D358" s="2"/>
      <c r="E358" s="11"/>
      <c r="F358" s="3"/>
      <c r="G358" s="3"/>
    </row>
    <row r="359" spans="2:7" x14ac:dyDescent="0.25">
      <c r="B359" s="2"/>
      <c r="C359" s="11"/>
      <c r="D359" s="2"/>
      <c r="E359" s="11"/>
      <c r="F359" s="3"/>
    </row>
    <row r="360" spans="2:7" x14ac:dyDescent="0.25">
      <c r="B360" s="2"/>
      <c r="C360" s="11"/>
      <c r="D360" s="2"/>
      <c r="E360" s="11"/>
      <c r="F360" s="3"/>
    </row>
    <row r="361" spans="2:7" x14ac:dyDescent="0.25">
      <c r="B361" s="2"/>
      <c r="C361" s="11"/>
      <c r="D361" s="2"/>
      <c r="E361" s="11"/>
      <c r="F361" s="3"/>
      <c r="G361" s="3"/>
    </row>
    <row r="362" spans="2:7" x14ac:dyDescent="0.25">
      <c r="B362" s="2"/>
      <c r="C362" s="11"/>
      <c r="D362" s="2"/>
      <c r="E362" s="11"/>
      <c r="F362" s="3"/>
    </row>
    <row r="363" spans="2:7" x14ac:dyDescent="0.25">
      <c r="B363" s="2"/>
      <c r="C363" s="11"/>
      <c r="D363" s="2"/>
      <c r="E363" s="11"/>
      <c r="F363" s="3"/>
    </row>
    <row r="364" spans="2:7" x14ac:dyDescent="0.25">
      <c r="B364" s="2"/>
      <c r="C364" s="11"/>
      <c r="D364" s="2"/>
      <c r="E364" s="11"/>
      <c r="F364" s="3"/>
      <c r="G364" s="3"/>
    </row>
    <row r="365" spans="2:7" x14ac:dyDescent="0.25">
      <c r="B365" s="2"/>
      <c r="C365" s="11"/>
      <c r="D365" s="2"/>
      <c r="E365" s="11"/>
      <c r="F365" s="3"/>
    </row>
    <row r="366" spans="2:7" x14ac:dyDescent="0.25">
      <c r="B366" s="2"/>
      <c r="C366" s="11"/>
      <c r="D366" s="2"/>
      <c r="E366" s="11"/>
      <c r="F366" s="3"/>
    </row>
    <row r="367" spans="2:7" x14ac:dyDescent="0.25">
      <c r="B367" s="2"/>
      <c r="C367" s="11"/>
      <c r="D367" s="2"/>
      <c r="E367" s="11"/>
      <c r="F367" s="3"/>
      <c r="G367" s="3"/>
    </row>
    <row r="368" spans="2:7" x14ac:dyDescent="0.25">
      <c r="B368" s="2"/>
      <c r="C368" s="11"/>
      <c r="D368" s="2"/>
      <c r="E368" s="11"/>
      <c r="F368" s="3"/>
    </row>
    <row r="369" spans="2:7" x14ac:dyDescent="0.25">
      <c r="B369" s="2"/>
      <c r="C369" s="11"/>
      <c r="D369" s="2"/>
      <c r="E369" s="11"/>
      <c r="F369" s="3"/>
    </row>
    <row r="370" spans="2:7" x14ac:dyDescent="0.25">
      <c r="B370" s="2"/>
      <c r="C370" s="11"/>
      <c r="D370" s="2"/>
      <c r="E370" s="11"/>
      <c r="F370" s="3"/>
      <c r="G370" s="3"/>
    </row>
    <row r="371" spans="2:7" x14ac:dyDescent="0.25">
      <c r="B371" s="2"/>
      <c r="C371" s="11"/>
      <c r="D371" s="2"/>
      <c r="E371" s="11"/>
      <c r="F371" s="3"/>
    </row>
    <row r="372" spans="2:7" x14ac:dyDescent="0.25">
      <c r="B372" s="2"/>
      <c r="C372" s="11"/>
      <c r="D372" s="2"/>
      <c r="E372" s="11"/>
      <c r="F372" s="3"/>
    </row>
    <row r="373" spans="2:7" x14ac:dyDescent="0.25">
      <c r="B373" s="2"/>
      <c r="C373" s="11"/>
      <c r="D373" s="2"/>
      <c r="E373" s="11"/>
      <c r="F373" s="3"/>
      <c r="G373" s="3"/>
    </row>
    <row r="374" spans="2:7" x14ac:dyDescent="0.25">
      <c r="B374" s="2"/>
      <c r="C374" s="11"/>
      <c r="D374" s="2"/>
      <c r="E374" s="11"/>
      <c r="F374" s="3"/>
    </row>
    <row r="375" spans="2:7" x14ac:dyDescent="0.25">
      <c r="B375" s="2"/>
      <c r="C375" s="11"/>
      <c r="D375" s="2"/>
      <c r="E375" s="11"/>
      <c r="F375" s="3"/>
    </row>
    <row r="376" spans="2:7" x14ac:dyDescent="0.25">
      <c r="B376" s="2"/>
      <c r="C376" s="11"/>
      <c r="D376" s="2"/>
      <c r="E376" s="11"/>
      <c r="F376" s="3"/>
      <c r="G376" s="3"/>
    </row>
    <row r="377" spans="2:7" x14ac:dyDescent="0.25">
      <c r="B377" s="2"/>
      <c r="C377" s="11"/>
      <c r="D377" s="2"/>
      <c r="E377" s="11"/>
      <c r="F377" s="3"/>
    </row>
    <row r="378" spans="2:7" x14ac:dyDescent="0.25">
      <c r="B378" s="2"/>
      <c r="C378" s="11"/>
      <c r="D378" s="2"/>
      <c r="E378" s="11"/>
      <c r="F378" s="3"/>
    </row>
    <row r="379" spans="2:7" x14ac:dyDescent="0.25">
      <c r="B379" s="2"/>
      <c r="C379" s="11"/>
      <c r="D379" s="2"/>
      <c r="E379" s="11"/>
      <c r="F379" s="3"/>
      <c r="G379" s="3"/>
    </row>
    <row r="380" spans="2:7" x14ac:dyDescent="0.25">
      <c r="B380" s="2"/>
      <c r="C380" s="11"/>
      <c r="D380" s="2"/>
      <c r="E380" s="11"/>
      <c r="F380" s="3"/>
    </row>
    <row r="381" spans="2:7" x14ac:dyDescent="0.25">
      <c r="B381" s="2"/>
      <c r="C381" s="11"/>
      <c r="D381" s="2"/>
      <c r="E381" s="11"/>
      <c r="F381" s="3"/>
    </row>
    <row r="382" spans="2:7" x14ac:dyDescent="0.25">
      <c r="B382" s="2"/>
      <c r="C382" s="11"/>
      <c r="D382" s="2"/>
      <c r="E382" s="11"/>
      <c r="F382" s="3"/>
      <c r="G382" s="3"/>
    </row>
    <row r="383" spans="2:7" x14ac:dyDescent="0.25">
      <c r="B383" s="2"/>
      <c r="C383" s="11"/>
      <c r="D383" s="2"/>
      <c r="E383" s="11"/>
      <c r="F383" s="3"/>
    </row>
    <row r="384" spans="2:7" x14ac:dyDescent="0.25">
      <c r="B384" s="2"/>
      <c r="C384" s="11"/>
      <c r="D384" s="2"/>
      <c r="E384" s="11"/>
      <c r="F384" s="3"/>
    </row>
    <row r="385" spans="2:7" x14ac:dyDescent="0.25">
      <c r="B385" s="2"/>
      <c r="C385" s="11"/>
      <c r="D385" s="2"/>
      <c r="E385" s="11"/>
      <c r="F385" s="3"/>
      <c r="G385" s="3"/>
    </row>
    <row r="386" spans="2:7" x14ac:dyDescent="0.25">
      <c r="B386" s="2"/>
      <c r="C386" s="11"/>
      <c r="D386" s="2"/>
      <c r="E386" s="11"/>
      <c r="F386" s="3"/>
    </row>
    <row r="387" spans="2:7" x14ac:dyDescent="0.25">
      <c r="B387" s="2"/>
      <c r="C387" s="11"/>
      <c r="D387" s="2"/>
      <c r="E387" s="11"/>
      <c r="F387" s="3"/>
    </row>
    <row r="388" spans="2:7" x14ac:dyDescent="0.25">
      <c r="B388" s="2"/>
      <c r="C388" s="11"/>
      <c r="D388" s="2"/>
      <c r="E388" s="11"/>
      <c r="F388" s="3"/>
      <c r="G388" s="3"/>
    </row>
    <row r="389" spans="2:7" x14ac:dyDescent="0.25">
      <c r="B389" s="2"/>
      <c r="C389" s="11"/>
      <c r="D389" s="2"/>
      <c r="E389" s="11"/>
      <c r="F389" s="3"/>
    </row>
    <row r="390" spans="2:7" x14ac:dyDescent="0.25">
      <c r="B390" s="2"/>
      <c r="C390" s="11"/>
      <c r="D390" s="2"/>
      <c r="E390" s="11"/>
      <c r="F390" s="3"/>
    </row>
    <row r="391" spans="2:7" x14ac:dyDescent="0.25">
      <c r="B391" s="2"/>
      <c r="C391" s="11"/>
      <c r="D391" s="2"/>
      <c r="E391" s="11"/>
      <c r="F391" s="3"/>
      <c r="G391" s="3"/>
    </row>
    <row r="392" spans="2:7" x14ac:dyDescent="0.25">
      <c r="B392" s="2"/>
      <c r="C392" s="11"/>
      <c r="D392" s="2"/>
      <c r="E392" s="11"/>
      <c r="F392" s="3"/>
    </row>
    <row r="393" spans="2:7" x14ac:dyDescent="0.25">
      <c r="B393" s="2"/>
      <c r="C393" s="11"/>
      <c r="D393" s="2"/>
      <c r="E393" s="11"/>
      <c r="F393" s="3"/>
    </row>
    <row r="394" spans="2:7" x14ac:dyDescent="0.25">
      <c r="B394" s="2"/>
      <c r="C394" s="11"/>
      <c r="D394" s="2"/>
      <c r="E394" s="11"/>
      <c r="F394" s="3"/>
      <c r="G394" s="3"/>
    </row>
    <row r="395" spans="2:7" x14ac:dyDescent="0.25">
      <c r="B395" s="2"/>
      <c r="C395" s="11"/>
      <c r="D395" s="2"/>
      <c r="E395" s="11"/>
      <c r="F395" s="3"/>
    </row>
    <row r="396" spans="2:7" x14ac:dyDescent="0.25">
      <c r="B396" s="2"/>
      <c r="C396" s="11"/>
      <c r="D396" s="2"/>
      <c r="E396" s="11"/>
      <c r="F396" s="3"/>
    </row>
    <row r="397" spans="2:7" x14ac:dyDescent="0.25">
      <c r="B397" s="2"/>
      <c r="C397" s="11"/>
      <c r="D397" s="2"/>
      <c r="E397" s="11"/>
      <c r="F397" s="3"/>
      <c r="G397" s="3"/>
    </row>
    <row r="398" spans="2:7" x14ac:dyDescent="0.25">
      <c r="B398" s="2"/>
      <c r="C398" s="11"/>
      <c r="D398" s="2"/>
      <c r="E398" s="11"/>
      <c r="F398" s="3"/>
    </row>
    <row r="399" spans="2:7" x14ac:dyDescent="0.25">
      <c r="B399" s="2"/>
      <c r="C399" s="11"/>
      <c r="D399" s="2"/>
      <c r="E399" s="11"/>
      <c r="F399" s="3"/>
    </row>
    <row r="400" spans="2:7" x14ac:dyDescent="0.25">
      <c r="B400" s="2"/>
      <c r="C400" s="11"/>
      <c r="D400" s="2"/>
      <c r="E400" s="11"/>
      <c r="F400" s="3"/>
      <c r="G400" s="3"/>
    </row>
    <row r="401" spans="2:7" x14ac:dyDescent="0.25">
      <c r="B401" s="2"/>
      <c r="C401" s="11"/>
      <c r="D401" s="2"/>
      <c r="E401" s="11"/>
      <c r="F401" s="3"/>
    </row>
    <row r="402" spans="2:7" x14ac:dyDescent="0.25">
      <c r="B402" s="2"/>
      <c r="C402" s="11"/>
      <c r="D402" s="2"/>
      <c r="E402" s="11"/>
      <c r="F402" s="3"/>
    </row>
    <row r="403" spans="2:7" x14ac:dyDescent="0.25">
      <c r="B403" s="2"/>
      <c r="C403" s="11"/>
      <c r="D403" s="2"/>
      <c r="E403" s="11"/>
      <c r="F403" s="3"/>
      <c r="G403" s="3"/>
    </row>
    <row r="404" spans="2:7" x14ac:dyDescent="0.25">
      <c r="B404" s="2"/>
      <c r="C404" s="11"/>
      <c r="D404" s="2"/>
      <c r="E404" s="11"/>
      <c r="F404" s="3"/>
    </row>
    <row r="405" spans="2:7" x14ac:dyDescent="0.25">
      <c r="B405" s="2"/>
      <c r="C405" s="11"/>
      <c r="D405" s="2"/>
      <c r="E405" s="11"/>
      <c r="F405" s="3"/>
    </row>
    <row r="406" spans="2:7" x14ac:dyDescent="0.25">
      <c r="B406" s="2"/>
      <c r="C406" s="11"/>
      <c r="D406" s="2"/>
      <c r="E406" s="11"/>
      <c r="F406" s="3"/>
      <c r="G406" s="3"/>
    </row>
    <row r="407" spans="2:7" x14ac:dyDescent="0.25">
      <c r="B407" s="2"/>
      <c r="C407" s="11"/>
      <c r="D407" s="2"/>
      <c r="E407" s="11"/>
      <c r="F407" s="3"/>
    </row>
    <row r="408" spans="2:7" x14ac:dyDescent="0.25">
      <c r="B408" s="2"/>
      <c r="C408" s="11"/>
      <c r="D408" s="2"/>
      <c r="E408" s="11"/>
      <c r="F408" s="3"/>
    </row>
    <row r="409" spans="2:7" x14ac:dyDescent="0.25">
      <c r="B409" s="2"/>
      <c r="C409" s="11"/>
      <c r="D409" s="2"/>
      <c r="E409" s="11"/>
      <c r="F409" s="3"/>
      <c r="G409" s="3"/>
    </row>
    <row r="410" spans="2:7" x14ac:dyDescent="0.25">
      <c r="B410" s="2"/>
      <c r="C410" s="11"/>
      <c r="D410" s="2"/>
      <c r="E410" s="11"/>
      <c r="F410" s="3"/>
    </row>
    <row r="411" spans="2:7" x14ac:dyDescent="0.25">
      <c r="B411" s="2"/>
      <c r="C411" s="11"/>
      <c r="D411" s="2"/>
      <c r="E411" s="11"/>
      <c r="F411" s="3"/>
    </row>
    <row r="412" spans="2:7" x14ac:dyDescent="0.25">
      <c r="B412" s="2"/>
      <c r="C412" s="11"/>
      <c r="D412" s="2"/>
      <c r="E412" s="11"/>
      <c r="F412" s="3"/>
      <c r="G412" s="3"/>
    </row>
    <row r="413" spans="2:7" x14ac:dyDescent="0.25">
      <c r="B413" s="2"/>
      <c r="C413" s="11"/>
      <c r="D413" s="2"/>
      <c r="E413" s="11"/>
      <c r="F413" s="3"/>
    </row>
    <row r="414" spans="2:7" x14ac:dyDescent="0.25">
      <c r="B414" s="2"/>
      <c r="C414" s="11"/>
      <c r="D414" s="2"/>
      <c r="E414" s="11"/>
      <c r="F414" s="3"/>
    </row>
    <row r="415" spans="2:7" x14ac:dyDescent="0.25">
      <c r="B415" s="2"/>
      <c r="C415" s="11"/>
      <c r="D415" s="2"/>
      <c r="E415" s="11"/>
      <c r="F415" s="3"/>
      <c r="G415" s="3"/>
    </row>
    <row r="416" spans="2:7" x14ac:dyDescent="0.25">
      <c r="B416" s="2"/>
      <c r="C416" s="11"/>
      <c r="D416" s="2"/>
      <c r="E416" s="11"/>
      <c r="F416" s="3"/>
    </row>
    <row r="417" spans="2:7" x14ac:dyDescent="0.25">
      <c r="B417" s="2"/>
      <c r="C417" s="11"/>
      <c r="D417" s="2"/>
      <c r="E417" s="11"/>
      <c r="F417" s="3"/>
    </row>
    <row r="418" spans="2:7" x14ac:dyDescent="0.25">
      <c r="B418" s="2"/>
      <c r="C418" s="11"/>
      <c r="D418" s="2"/>
      <c r="E418" s="11"/>
      <c r="F418" s="3"/>
      <c r="G418" s="3"/>
    </row>
    <row r="419" spans="2:7" x14ac:dyDescent="0.25">
      <c r="B419" s="2"/>
      <c r="C419" s="11"/>
      <c r="D419" s="2"/>
      <c r="E419" s="11"/>
      <c r="F419" s="3"/>
    </row>
    <row r="420" spans="2:7" x14ac:dyDescent="0.25">
      <c r="B420" s="2"/>
      <c r="C420" s="11"/>
      <c r="D420" s="2"/>
      <c r="E420" s="11"/>
      <c r="F420" s="3"/>
    </row>
    <row r="421" spans="2:7" x14ac:dyDescent="0.25">
      <c r="B421" s="2"/>
      <c r="C421" s="11"/>
      <c r="D421" s="2"/>
      <c r="E421" s="11"/>
      <c r="F421" s="3"/>
      <c r="G421" s="3"/>
    </row>
    <row r="422" spans="2:7" x14ac:dyDescent="0.25">
      <c r="B422" s="2"/>
      <c r="C422" s="11"/>
      <c r="D422" s="2"/>
      <c r="E422" s="11"/>
      <c r="F422" s="3"/>
    </row>
    <row r="423" spans="2:7" x14ac:dyDescent="0.25">
      <c r="B423" s="2"/>
      <c r="C423" s="11"/>
      <c r="D423" s="2"/>
      <c r="E423" s="11"/>
      <c r="F423" s="3"/>
    </row>
    <row r="424" spans="2:7" x14ac:dyDescent="0.25">
      <c r="B424" s="2"/>
      <c r="C424" s="11"/>
      <c r="D424" s="2"/>
      <c r="E424" s="11"/>
      <c r="F424" s="3"/>
      <c r="G424" s="3"/>
    </row>
    <row r="425" spans="2:7" x14ac:dyDescent="0.25">
      <c r="B425" s="2"/>
      <c r="C425" s="11"/>
      <c r="D425" s="2"/>
      <c r="E425" s="11"/>
      <c r="F425" s="3"/>
    </row>
    <row r="426" spans="2:7" x14ac:dyDescent="0.25">
      <c r="B426" s="2"/>
      <c r="C426" s="11"/>
      <c r="D426" s="2"/>
      <c r="E426" s="11"/>
      <c r="F426" s="3"/>
    </row>
    <row r="427" spans="2:7" x14ac:dyDescent="0.25">
      <c r="B427" s="2"/>
      <c r="C427" s="11"/>
      <c r="D427" s="2"/>
      <c r="E427" s="11"/>
      <c r="F427" s="3"/>
      <c r="G427" s="3"/>
    </row>
    <row r="428" spans="2:7" x14ac:dyDescent="0.25">
      <c r="B428" s="2"/>
      <c r="C428" s="11"/>
      <c r="D428" s="2"/>
      <c r="E428" s="11"/>
      <c r="F428" s="3"/>
    </row>
    <row r="429" spans="2:7" x14ac:dyDescent="0.25">
      <c r="B429" s="2"/>
      <c r="C429" s="11"/>
      <c r="D429" s="2"/>
      <c r="E429" s="11"/>
      <c r="F429" s="3"/>
    </row>
    <row r="430" spans="2:7" x14ac:dyDescent="0.25">
      <c r="B430" s="2"/>
      <c r="C430" s="11"/>
      <c r="D430" s="2"/>
      <c r="E430" s="11"/>
      <c r="F430" s="3"/>
      <c r="G430" s="3"/>
    </row>
    <row r="431" spans="2:7" x14ac:dyDescent="0.25">
      <c r="B431" s="2"/>
      <c r="C431" s="11"/>
      <c r="D431" s="2"/>
      <c r="E431" s="11"/>
      <c r="F431" s="3"/>
    </row>
    <row r="432" spans="2:7" x14ac:dyDescent="0.25">
      <c r="B432" s="2"/>
      <c r="C432" s="11"/>
      <c r="D432" s="2"/>
      <c r="E432" s="11"/>
      <c r="F432" s="3"/>
    </row>
    <row r="433" spans="2:7" x14ac:dyDescent="0.25">
      <c r="B433" s="2"/>
      <c r="C433" s="11"/>
      <c r="D433" s="2"/>
      <c r="E433" s="11"/>
      <c r="F433" s="3"/>
      <c r="G433" s="3"/>
    </row>
    <row r="434" spans="2:7" x14ac:dyDescent="0.25">
      <c r="B434" s="2"/>
      <c r="C434" s="11"/>
      <c r="D434" s="2"/>
      <c r="E434" s="11"/>
      <c r="F434" s="3"/>
    </row>
    <row r="435" spans="2:7" x14ac:dyDescent="0.25">
      <c r="B435" s="2"/>
      <c r="C435" s="11"/>
      <c r="D435" s="2"/>
      <c r="E435" s="11"/>
      <c r="F435" s="3"/>
    </row>
    <row r="436" spans="2:7" x14ac:dyDescent="0.25">
      <c r="B436" s="2"/>
      <c r="C436" s="11"/>
      <c r="D436" s="2"/>
      <c r="E436" s="11"/>
      <c r="F436" s="3"/>
      <c r="G436" s="3"/>
    </row>
    <row r="437" spans="2:7" x14ac:dyDescent="0.25">
      <c r="B437" s="2"/>
      <c r="C437" s="11"/>
      <c r="D437" s="2"/>
      <c r="E437" s="11"/>
      <c r="F437" s="3"/>
    </row>
    <row r="438" spans="2:7" x14ac:dyDescent="0.25">
      <c r="B438" s="2"/>
      <c r="C438" s="11"/>
      <c r="D438" s="2"/>
      <c r="E438" s="11"/>
      <c r="F438" s="3"/>
    </row>
    <row r="439" spans="2:7" x14ac:dyDescent="0.25">
      <c r="B439" s="2"/>
      <c r="C439" s="11"/>
      <c r="D439" s="2"/>
      <c r="E439" s="11"/>
      <c r="F439" s="3"/>
      <c r="G439" s="3"/>
    </row>
    <row r="440" spans="2:7" x14ac:dyDescent="0.25">
      <c r="B440" s="2"/>
      <c r="C440" s="11"/>
      <c r="D440" s="2"/>
      <c r="E440" s="11"/>
      <c r="F440" s="3"/>
    </row>
    <row r="441" spans="2:7" x14ac:dyDescent="0.25">
      <c r="B441" s="2"/>
      <c r="C441" s="11"/>
      <c r="D441" s="2"/>
      <c r="E441" s="11"/>
      <c r="F441" s="3"/>
    </row>
    <row r="442" spans="2:7" x14ac:dyDescent="0.25">
      <c r="B442" s="2"/>
      <c r="C442" s="11"/>
      <c r="D442" s="2"/>
      <c r="E442" s="11"/>
      <c r="F442" s="3"/>
      <c r="G442" s="3"/>
    </row>
    <row r="443" spans="2:7" x14ac:dyDescent="0.25">
      <c r="B443" s="2"/>
      <c r="C443" s="11"/>
      <c r="D443" s="2"/>
      <c r="E443" s="11"/>
      <c r="F443" s="3"/>
    </row>
    <row r="444" spans="2:7" x14ac:dyDescent="0.25">
      <c r="B444" s="2"/>
      <c r="C444" s="11"/>
      <c r="D444" s="2"/>
      <c r="E444" s="11"/>
      <c r="F444" s="3"/>
    </row>
    <row r="445" spans="2:7" x14ac:dyDescent="0.25">
      <c r="B445" s="2"/>
      <c r="C445" s="11"/>
      <c r="D445" s="2"/>
      <c r="E445" s="11"/>
      <c r="F445" s="3"/>
      <c r="G445" s="3"/>
    </row>
    <row r="446" spans="2:7" x14ac:dyDescent="0.25">
      <c r="B446" s="2"/>
      <c r="C446" s="11"/>
      <c r="D446" s="2"/>
      <c r="E446" s="11"/>
      <c r="F446" s="3"/>
    </row>
    <row r="447" spans="2:7" x14ac:dyDescent="0.25">
      <c r="B447" s="2"/>
      <c r="C447" s="11"/>
      <c r="D447" s="2"/>
      <c r="E447" s="11"/>
      <c r="F447" s="3"/>
    </row>
    <row r="448" spans="2:7" x14ac:dyDescent="0.25">
      <c r="B448" s="2"/>
      <c r="C448" s="11"/>
      <c r="D448" s="2"/>
      <c r="E448" s="11"/>
      <c r="F448" s="3"/>
      <c r="G448" s="3"/>
    </row>
    <row r="449" spans="2:7" x14ac:dyDescent="0.25">
      <c r="B449" s="2"/>
      <c r="C449" s="11"/>
      <c r="D449" s="2"/>
      <c r="E449" s="11"/>
      <c r="F449" s="3"/>
    </row>
    <row r="450" spans="2:7" x14ac:dyDescent="0.25">
      <c r="B450" s="2"/>
      <c r="C450" s="11"/>
      <c r="D450" s="2"/>
      <c r="E450" s="11"/>
      <c r="F450" s="3"/>
    </row>
    <row r="451" spans="2:7" x14ac:dyDescent="0.25">
      <c r="B451" s="2"/>
      <c r="C451" s="11"/>
      <c r="D451" s="2"/>
      <c r="E451" s="11"/>
      <c r="F451" s="3"/>
      <c r="G451" s="3"/>
    </row>
    <row r="452" spans="2:7" x14ac:dyDescent="0.25">
      <c r="B452" s="2"/>
      <c r="C452" s="11"/>
      <c r="D452" s="2"/>
      <c r="E452" s="11"/>
      <c r="F452" s="3"/>
    </row>
    <row r="453" spans="2:7" x14ac:dyDescent="0.25">
      <c r="B453" s="2"/>
      <c r="C453" s="11"/>
      <c r="D453" s="2"/>
      <c r="E453" s="11"/>
      <c r="F453" s="3"/>
    </row>
    <row r="454" spans="2:7" x14ac:dyDescent="0.25">
      <c r="B454" s="2"/>
      <c r="C454" s="11"/>
      <c r="D454" s="2"/>
      <c r="E454" s="11"/>
      <c r="F454" s="3"/>
      <c r="G454" s="3"/>
    </row>
    <row r="455" spans="2:7" x14ac:dyDescent="0.25">
      <c r="B455" s="2"/>
      <c r="C455" s="11"/>
      <c r="D455" s="2"/>
      <c r="E455" s="11"/>
      <c r="F455" s="3"/>
    </row>
    <row r="456" spans="2:7" x14ac:dyDescent="0.25">
      <c r="B456" s="2"/>
      <c r="C456" s="11"/>
      <c r="D456" s="2"/>
      <c r="E456" s="11"/>
      <c r="F456" s="3"/>
    </row>
    <row r="457" spans="2:7" x14ac:dyDescent="0.25">
      <c r="B457" s="2"/>
      <c r="C457" s="11"/>
      <c r="D457" s="2"/>
      <c r="E457" s="11"/>
      <c r="F457" s="3"/>
      <c r="G457" s="3"/>
    </row>
    <row r="458" spans="2:7" x14ac:dyDescent="0.25">
      <c r="B458" s="2"/>
      <c r="C458" s="11"/>
      <c r="D458" s="2"/>
      <c r="E458" s="11"/>
      <c r="F458" s="3"/>
    </row>
    <row r="459" spans="2:7" x14ac:dyDescent="0.25">
      <c r="B459" s="2"/>
      <c r="C459" s="11"/>
      <c r="D459" s="2"/>
      <c r="E459" s="11"/>
      <c r="F459" s="3"/>
    </row>
    <row r="460" spans="2:7" x14ac:dyDescent="0.25">
      <c r="B460" s="2"/>
      <c r="C460" s="11"/>
      <c r="D460" s="2"/>
      <c r="E460" s="11"/>
      <c r="F460" s="3"/>
      <c r="G460" s="3"/>
    </row>
    <row r="461" spans="2:7" x14ac:dyDescent="0.25">
      <c r="B461" s="2"/>
      <c r="C461" s="11"/>
      <c r="D461" s="2"/>
      <c r="E461" s="11"/>
      <c r="F461" s="3"/>
    </row>
    <row r="462" spans="2:7" x14ac:dyDescent="0.25">
      <c r="B462" s="2"/>
      <c r="C462" s="11"/>
      <c r="D462" s="2"/>
      <c r="E462" s="11"/>
      <c r="F462" s="3"/>
    </row>
    <row r="463" spans="2:7" x14ac:dyDescent="0.25">
      <c r="B463" s="2"/>
      <c r="C463" s="11"/>
      <c r="D463" s="2"/>
      <c r="E463" s="11"/>
      <c r="F463" s="3"/>
      <c r="G463" s="3"/>
    </row>
    <row r="464" spans="2:7" x14ac:dyDescent="0.25">
      <c r="B464" s="2"/>
      <c r="C464" s="11"/>
      <c r="D464" s="2"/>
      <c r="E464" s="11"/>
      <c r="F464" s="3"/>
    </row>
    <row r="465" spans="2:7" x14ac:dyDescent="0.25">
      <c r="B465" s="2"/>
      <c r="C465" s="11"/>
      <c r="D465" s="2"/>
      <c r="E465" s="11"/>
      <c r="F465" s="3"/>
    </row>
    <row r="466" spans="2:7" x14ac:dyDescent="0.25">
      <c r="B466" s="2"/>
      <c r="C466" s="11"/>
      <c r="D466" s="2"/>
      <c r="E466" s="11"/>
      <c r="F466" s="3"/>
      <c r="G466" s="3"/>
    </row>
    <row r="467" spans="2:7" x14ac:dyDescent="0.25">
      <c r="B467" s="2"/>
      <c r="C467" s="11"/>
      <c r="D467" s="2"/>
      <c r="E467" s="11"/>
      <c r="F467" s="3"/>
    </row>
    <row r="468" spans="2:7" x14ac:dyDescent="0.25">
      <c r="B468" s="2"/>
      <c r="C468" s="11"/>
      <c r="D468" s="2"/>
      <c r="E468" s="11"/>
      <c r="F468" s="3"/>
    </row>
    <row r="469" spans="2:7" x14ac:dyDescent="0.25">
      <c r="B469" s="2"/>
      <c r="C469" s="11"/>
      <c r="D469" s="2"/>
      <c r="E469" s="11"/>
      <c r="F469" s="3"/>
      <c r="G469" s="3"/>
    </row>
    <row r="470" spans="2:7" x14ac:dyDescent="0.25">
      <c r="B470" s="2"/>
      <c r="C470" s="11"/>
      <c r="D470" s="2"/>
      <c r="E470" s="11"/>
      <c r="F470" s="3"/>
    </row>
    <row r="471" spans="2:7" x14ac:dyDescent="0.25">
      <c r="B471" s="2"/>
      <c r="C471" s="11"/>
      <c r="D471" s="2"/>
      <c r="E471" s="11"/>
      <c r="F471" s="3"/>
    </row>
    <row r="472" spans="2:7" x14ac:dyDescent="0.25">
      <c r="B472" s="2"/>
      <c r="C472" s="11"/>
      <c r="D472" s="2"/>
      <c r="E472" s="11"/>
      <c r="F472" s="3"/>
      <c r="G472" s="3"/>
    </row>
    <row r="473" spans="2:7" x14ac:dyDescent="0.25">
      <c r="B473" s="2"/>
      <c r="C473" s="11"/>
      <c r="D473" s="2"/>
      <c r="E473" s="11"/>
      <c r="F473" s="3"/>
    </row>
    <row r="474" spans="2:7" x14ac:dyDescent="0.25">
      <c r="B474" s="2"/>
      <c r="C474" s="11"/>
      <c r="D474" s="2"/>
      <c r="E474" s="11"/>
      <c r="F474" s="3"/>
    </row>
    <row r="475" spans="2:7" x14ac:dyDescent="0.25">
      <c r="B475" s="2"/>
      <c r="C475" s="11"/>
      <c r="D475" s="2"/>
      <c r="E475" s="11"/>
      <c r="F475" s="3"/>
      <c r="G475" s="3"/>
    </row>
    <row r="476" spans="2:7" x14ac:dyDescent="0.25">
      <c r="B476" s="2"/>
      <c r="C476" s="11"/>
      <c r="D476" s="2"/>
      <c r="E476" s="11"/>
      <c r="F476" s="3"/>
    </row>
    <row r="477" spans="2:7" x14ac:dyDescent="0.25">
      <c r="B477" s="2"/>
      <c r="C477" s="11"/>
      <c r="D477" s="2"/>
      <c r="E477" s="11"/>
      <c r="F477" s="3"/>
    </row>
    <row r="478" spans="2:7" x14ac:dyDescent="0.25">
      <c r="B478" s="2"/>
      <c r="C478" s="11"/>
      <c r="D478" s="2"/>
      <c r="E478" s="11"/>
      <c r="F478" s="3"/>
      <c r="G478" s="3"/>
    </row>
    <row r="479" spans="2:7" x14ac:dyDescent="0.25">
      <c r="B479" s="2"/>
      <c r="C479" s="11"/>
      <c r="D479" s="2"/>
      <c r="E479" s="11"/>
      <c r="F479" s="3"/>
    </row>
    <row r="480" spans="2:7" x14ac:dyDescent="0.25">
      <c r="B480" s="2"/>
      <c r="C480" s="11"/>
      <c r="D480" s="2"/>
      <c r="E480" s="11"/>
      <c r="F480" s="3"/>
    </row>
    <row r="481" spans="2:7" x14ac:dyDescent="0.25">
      <c r="B481" s="2"/>
      <c r="C481" s="11"/>
      <c r="D481" s="2"/>
      <c r="E481" s="11"/>
      <c r="F481" s="3"/>
      <c r="G481" s="3"/>
    </row>
    <row r="482" spans="2:7" x14ac:dyDescent="0.25">
      <c r="B482" s="2"/>
      <c r="C482" s="11"/>
      <c r="D482" s="2"/>
      <c r="E482" s="11"/>
      <c r="F482" s="3"/>
    </row>
    <row r="483" spans="2:7" x14ac:dyDescent="0.25">
      <c r="B483" s="2"/>
      <c r="C483" s="11"/>
      <c r="D483" s="2"/>
      <c r="E483" s="11"/>
      <c r="F483" s="3"/>
    </row>
    <row r="484" spans="2:7" x14ac:dyDescent="0.25">
      <c r="B484" s="2"/>
      <c r="C484" s="11"/>
      <c r="D484" s="2"/>
      <c r="E484" s="11"/>
      <c r="F484" s="3"/>
      <c r="G484" s="3"/>
    </row>
    <row r="485" spans="2:7" x14ac:dyDescent="0.25">
      <c r="B485" s="2"/>
      <c r="C485" s="11"/>
      <c r="D485" s="2"/>
      <c r="E485" s="11"/>
      <c r="F485" s="3"/>
    </row>
    <row r="486" spans="2:7" x14ac:dyDescent="0.25">
      <c r="B486" s="2"/>
      <c r="C486" s="11"/>
      <c r="D486" s="2"/>
      <c r="E486" s="11"/>
      <c r="F486" s="3"/>
    </row>
    <row r="487" spans="2:7" x14ac:dyDescent="0.25">
      <c r="B487" s="2"/>
      <c r="C487" s="11"/>
      <c r="D487" s="2"/>
      <c r="E487" s="11"/>
      <c r="F487" s="3"/>
      <c r="G487" s="3"/>
    </row>
    <row r="488" spans="2:7" x14ac:dyDescent="0.25">
      <c r="B488" s="2"/>
      <c r="C488" s="11"/>
      <c r="D488" s="2"/>
      <c r="E488" s="11"/>
      <c r="F488" s="3"/>
    </row>
    <row r="489" spans="2:7" x14ac:dyDescent="0.25">
      <c r="B489" s="2"/>
      <c r="C489" s="11"/>
      <c r="D489" s="2"/>
      <c r="E489" s="11"/>
      <c r="F489" s="3"/>
    </row>
    <row r="490" spans="2:7" x14ac:dyDescent="0.25">
      <c r="B490" s="2"/>
      <c r="C490" s="11"/>
      <c r="D490" s="2"/>
      <c r="E490" s="11"/>
      <c r="F490" s="3"/>
      <c r="G490" s="3"/>
    </row>
    <row r="491" spans="2:7" x14ac:dyDescent="0.25">
      <c r="B491" s="2"/>
      <c r="C491" s="11"/>
      <c r="D491" s="2"/>
      <c r="E491" s="11"/>
      <c r="F491" s="3"/>
    </row>
    <row r="492" spans="2:7" x14ac:dyDescent="0.25">
      <c r="B492" s="2"/>
      <c r="C492" s="11"/>
      <c r="D492" s="2"/>
      <c r="E492" s="11"/>
      <c r="F492" s="3"/>
    </row>
    <row r="493" spans="2:7" x14ac:dyDescent="0.25">
      <c r="B493" s="2"/>
      <c r="C493" s="11"/>
      <c r="D493" s="2"/>
      <c r="E493" s="11"/>
      <c r="F493" s="3"/>
      <c r="G493" s="3"/>
    </row>
    <row r="494" spans="2:7" x14ac:dyDescent="0.25">
      <c r="B494" s="2"/>
      <c r="C494" s="11"/>
      <c r="D494" s="2"/>
      <c r="E494" s="11"/>
      <c r="F494" s="3"/>
    </row>
    <row r="495" spans="2:7" x14ac:dyDescent="0.25">
      <c r="B495" s="2"/>
      <c r="C495" s="11"/>
      <c r="D495" s="2"/>
      <c r="E495" s="11"/>
      <c r="F495" s="3"/>
    </row>
    <row r="496" spans="2:7" x14ac:dyDescent="0.25">
      <c r="B496" s="2"/>
      <c r="C496" s="11"/>
      <c r="D496" s="2"/>
      <c r="E496" s="11"/>
      <c r="F496" s="3"/>
      <c r="G496" s="3"/>
    </row>
    <row r="497" spans="2:7" x14ac:dyDescent="0.25">
      <c r="B497" s="2"/>
      <c r="C497" s="11"/>
      <c r="D497" s="2"/>
      <c r="E497" s="11"/>
      <c r="F497" s="3"/>
    </row>
    <row r="498" spans="2:7" x14ac:dyDescent="0.25">
      <c r="B498" s="2"/>
      <c r="C498" s="11"/>
      <c r="D498" s="2"/>
      <c r="E498" s="11"/>
      <c r="F498" s="3"/>
    </row>
    <row r="499" spans="2:7" x14ac:dyDescent="0.25">
      <c r="B499" s="2"/>
      <c r="C499" s="11"/>
      <c r="D499" s="2"/>
      <c r="E499" s="11"/>
      <c r="F499" s="3"/>
      <c r="G499" s="3"/>
    </row>
    <row r="500" spans="2:7" x14ac:dyDescent="0.25">
      <c r="B500" s="2"/>
      <c r="C500" s="11"/>
      <c r="D500" s="2"/>
      <c r="E500" s="11"/>
      <c r="F500" s="3"/>
    </row>
    <row r="501" spans="2:7" x14ac:dyDescent="0.25">
      <c r="B501" s="2"/>
      <c r="C501" s="11"/>
      <c r="D501" s="2"/>
      <c r="E501" s="11"/>
      <c r="F501" s="3"/>
    </row>
    <row r="502" spans="2:7" x14ac:dyDescent="0.25">
      <c r="B502" s="2"/>
      <c r="C502" s="11"/>
      <c r="D502" s="2"/>
      <c r="E502" s="11"/>
      <c r="F502" s="3"/>
      <c r="G502" s="3"/>
    </row>
    <row r="503" spans="2:7" x14ac:dyDescent="0.25">
      <c r="B503" s="2"/>
      <c r="C503" s="11"/>
      <c r="D503" s="2"/>
      <c r="E503" s="11"/>
      <c r="F503" s="3"/>
    </row>
    <row r="504" spans="2:7" x14ac:dyDescent="0.25">
      <c r="B504" s="2"/>
      <c r="C504" s="11"/>
      <c r="D504" s="2"/>
      <c r="E504" s="11"/>
      <c r="F50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0"/>
  <sheetViews>
    <sheetView zoomScaleNormal="100" workbookViewId="0">
      <selection activeCell="G5" sqref="G5:O25"/>
    </sheetView>
  </sheetViews>
  <sheetFormatPr defaultColWidth="8.77734375" defaultRowHeight="13.2" x14ac:dyDescent="0.25"/>
  <cols>
    <col min="1" max="1" width="23.33203125" customWidth="1"/>
    <col min="8" max="8" width="9.44140625" bestFit="1" customWidth="1"/>
  </cols>
  <sheetData>
    <row r="1" spans="1:12" x14ac:dyDescent="0.25">
      <c r="A1">
        <f>'30N2'!A1</f>
        <v>531.20000000000005</v>
      </c>
      <c r="B1" s="16" t="s">
        <v>72</v>
      </c>
    </row>
    <row r="2" spans="1:12" x14ac:dyDescent="0.25">
      <c r="A2" s="2" t="e">
        <f>'30N2'!A2</f>
        <v>#REF!</v>
      </c>
      <c r="B2" s="16" t="s">
        <v>73</v>
      </c>
    </row>
    <row r="4" spans="1:12" x14ac:dyDescent="0.25">
      <c r="B4" s="4" t="s">
        <v>54</v>
      </c>
      <c r="C4" s="4" t="s">
        <v>55</v>
      </c>
      <c r="E4" t="s">
        <v>61</v>
      </c>
    </row>
    <row r="5" spans="1:12" x14ac:dyDescent="0.25">
      <c r="B5" s="4" t="s">
        <v>2</v>
      </c>
      <c r="C5" s="4" t="s">
        <v>3</v>
      </c>
      <c r="D5" s="4" t="s">
        <v>59</v>
      </c>
      <c r="E5" s="4" t="s">
        <v>60</v>
      </c>
      <c r="G5" t="s">
        <v>9</v>
      </c>
    </row>
    <row r="6" spans="1:12" ht="13.8" thickBot="1" x14ac:dyDescent="0.3"/>
    <row r="7" spans="1:12" x14ac:dyDescent="0.25">
      <c r="A7">
        <f>'30N2'!A7</f>
        <v>20</v>
      </c>
      <c r="B7" s="2">
        <f>Data!C8</f>
        <v>1.799815E-10</v>
      </c>
      <c r="C7" s="2">
        <f>Data!D8</f>
        <v>8.6242489999999994E-11</v>
      </c>
      <c r="D7" s="2">
        <f>C7-(B7*H$22+H$21)</f>
        <v>8.2248582103189291E-11</v>
      </c>
      <c r="E7" s="3" t="e">
        <f>A$1*D7/A$2</f>
        <v>#REF!</v>
      </c>
      <c r="G7" s="14" t="s">
        <v>10</v>
      </c>
      <c r="H7" s="14"/>
    </row>
    <row r="8" spans="1:12" x14ac:dyDescent="0.25">
      <c r="B8" s="2">
        <f>Data!C9</f>
        <v>1.7994929999999999E-10</v>
      </c>
      <c r="C8" s="2">
        <f>Data!D9</f>
        <v>8.6220270000000001E-11</v>
      </c>
      <c r="D8" s="2">
        <f t="shared" ref="D8:D30" si="0">C8-(B8*H$22+H$21)</f>
        <v>8.2226587356415619E-11</v>
      </c>
      <c r="E8" s="3" t="e">
        <f t="shared" ref="E8:E30" si="1">A$1*D8/A$2</f>
        <v>#REF!</v>
      </c>
      <c r="G8" t="s">
        <v>11</v>
      </c>
      <c r="H8">
        <v>0.99981929668797853</v>
      </c>
    </row>
    <row r="9" spans="1:12" x14ac:dyDescent="0.25">
      <c r="B9" s="2">
        <f>Data!C10</f>
        <v>1.7990719999999999E-10</v>
      </c>
      <c r="C9" s="2">
        <f>Data!D10</f>
        <v>8.6191930000000004E-11</v>
      </c>
      <c r="D9" s="2">
        <f t="shared" si="0"/>
        <v>8.2198541864515877E-11</v>
      </c>
      <c r="E9" s="3" t="e">
        <f t="shared" si="1"/>
        <v>#REF!</v>
      </c>
      <c r="G9" t="s">
        <v>12</v>
      </c>
      <c r="H9">
        <v>0.99963862602964404</v>
      </c>
    </row>
    <row r="10" spans="1:12" x14ac:dyDescent="0.25">
      <c r="A10">
        <f>'30N2'!A10</f>
        <v>30</v>
      </c>
      <c r="B10" s="2">
        <f>Data!C11</f>
        <v>1.55852E-10</v>
      </c>
      <c r="C10" s="2">
        <f>Data!D11</f>
        <v>7.2999359999999999E-11</v>
      </c>
      <c r="D10" s="2">
        <f t="shared" si="0"/>
        <v>6.9174248616375199E-11</v>
      </c>
      <c r="E10" s="3" t="e">
        <f t="shared" si="1"/>
        <v>#REF!</v>
      </c>
      <c r="G10" t="s">
        <v>13</v>
      </c>
      <c r="H10">
        <v>0.99963077007376666</v>
      </c>
    </row>
    <row r="11" spans="1:12" x14ac:dyDescent="0.25">
      <c r="B11" s="2">
        <f>Data!C12</f>
        <v>1.5583540000000001E-10</v>
      </c>
      <c r="C11" s="2">
        <f>Data!D12</f>
        <v>7.2987329999999995E-11</v>
      </c>
      <c r="D11" s="2">
        <f t="shared" si="0"/>
        <v>6.9162334740709258E-11</v>
      </c>
      <c r="E11" s="3" t="e">
        <f t="shared" si="1"/>
        <v>#REF!</v>
      </c>
      <c r="G11" t="s">
        <v>14</v>
      </c>
      <c r="H11">
        <v>6.3671909778847793E-13</v>
      </c>
    </row>
    <row r="12" spans="1:12" ht="13.8" thickBot="1" x14ac:dyDescent="0.3">
      <c r="B12" s="2">
        <f>Data!C13</f>
        <v>1.557933E-10</v>
      </c>
      <c r="C12" s="2">
        <f>Data!D13</f>
        <v>7.2956430000000006E-11</v>
      </c>
      <c r="D12" s="2">
        <f t="shared" si="0"/>
        <v>6.9131729248809525E-11</v>
      </c>
      <c r="E12" s="3" t="e">
        <f t="shared" si="1"/>
        <v>#REF!</v>
      </c>
      <c r="G12" s="5" t="s">
        <v>15</v>
      </c>
      <c r="H12" s="5">
        <v>48</v>
      </c>
    </row>
    <row r="13" spans="1:12" x14ac:dyDescent="0.25">
      <c r="A13" t="str">
        <f>'30N2'!A13</f>
        <v>Openwater_IN_T1_1</v>
      </c>
      <c r="B13" s="2">
        <f>Data!C14</f>
        <v>1.7725860000000001E-10</v>
      </c>
      <c r="C13" s="2">
        <f>Data!D14</f>
        <v>7.6452429999999999E-11</v>
      </c>
      <c r="D13" s="2">
        <f t="shared" si="0"/>
        <v>7.2477569991697302E-11</v>
      </c>
      <c r="E13" s="3" t="e">
        <f t="shared" si="1"/>
        <v>#REF!</v>
      </c>
    </row>
    <row r="14" spans="1:12" ht="13.8" thickBot="1" x14ac:dyDescent="0.3">
      <c r="B14" s="2">
        <f>Data!C15</f>
        <v>1.7728099999999999E-10</v>
      </c>
      <c r="C14" s="2">
        <f>Data!D15</f>
        <v>7.6454839999999994E-11</v>
      </c>
      <c r="D14" s="2">
        <f t="shared" si="0"/>
        <v>7.2479823293800723E-11</v>
      </c>
      <c r="E14" s="3" t="e">
        <f t="shared" si="1"/>
        <v>#REF!</v>
      </c>
      <c r="G14" t="s">
        <v>16</v>
      </c>
    </row>
    <row r="15" spans="1:12" x14ac:dyDescent="0.25">
      <c r="B15" s="2">
        <f>Data!C16</f>
        <v>1.7734E-10</v>
      </c>
      <c r="C15" s="2">
        <f>Data!D16</f>
        <v>7.6454770000000005E-11</v>
      </c>
      <c r="D15" s="2">
        <f t="shared" si="0"/>
        <v>7.2479340562733864E-11</v>
      </c>
      <c r="E15" s="3" t="e">
        <f t="shared" si="1"/>
        <v>#REF!</v>
      </c>
      <c r="G15" s="13"/>
      <c r="H15" s="13" t="s">
        <v>21</v>
      </c>
      <c r="I15" s="13" t="s">
        <v>22</v>
      </c>
      <c r="J15" s="13" t="s">
        <v>23</v>
      </c>
      <c r="K15" s="13" t="s">
        <v>24</v>
      </c>
      <c r="L15" s="13" t="s">
        <v>25</v>
      </c>
    </row>
    <row r="16" spans="1:12" x14ac:dyDescent="0.25">
      <c r="A16" t="str">
        <f>'30N2'!A16</f>
        <v>Openwater_1_T1_1</v>
      </c>
      <c r="B16" s="2">
        <f>Data!C17</f>
        <v>1.7813349999999999E-10</v>
      </c>
      <c r="C16" s="2">
        <f>Data!D17</f>
        <v>7.0374350000000002E-11</v>
      </c>
      <c r="D16" s="2">
        <f t="shared" si="0"/>
        <v>6.6393369679656598E-11</v>
      </c>
      <c r="E16" s="3" t="e">
        <f t="shared" si="1"/>
        <v>#REF!</v>
      </c>
      <c r="G16" t="s">
        <v>17</v>
      </c>
      <c r="H16">
        <v>1</v>
      </c>
      <c r="I16">
        <v>5.158693744717019E-20</v>
      </c>
      <c r="J16">
        <v>5.158693744717019E-20</v>
      </c>
      <c r="K16">
        <v>127245.95728925987</v>
      </c>
      <c r="L16">
        <v>7.9668051839846166E-81</v>
      </c>
    </row>
    <row r="17" spans="1:15" x14ac:dyDescent="0.25">
      <c r="B17" s="2">
        <f>Data!C18</f>
        <v>1.7816139999999999E-10</v>
      </c>
      <c r="C17" s="2">
        <f>Data!D18</f>
        <v>7.0355289999999998E-11</v>
      </c>
      <c r="D17" s="2">
        <f t="shared" si="0"/>
        <v>6.6374114506830049E-11</v>
      </c>
      <c r="E17" s="3" t="e">
        <f t="shared" si="1"/>
        <v>#REF!</v>
      </c>
      <c r="G17" t="s">
        <v>18</v>
      </c>
      <c r="H17">
        <v>46</v>
      </c>
      <c r="I17">
        <v>1.8648915636474375E-23</v>
      </c>
      <c r="J17">
        <v>4.0541120948857337E-25</v>
      </c>
    </row>
    <row r="18" spans="1:15" ht="13.8" thickBot="1" x14ac:dyDescent="0.3">
      <c r="B18" s="2">
        <f>Data!C19</f>
        <v>1.781898E-10</v>
      </c>
      <c r="C18" s="2">
        <f>Data!D19</f>
        <v>7.0280459999999996E-11</v>
      </c>
      <c r="D18" s="2">
        <f t="shared" si="0"/>
        <v>6.6299085836282612E-11</v>
      </c>
      <c r="E18" s="3" t="e">
        <f t="shared" si="1"/>
        <v>#REF!</v>
      </c>
      <c r="G18" s="5" t="s">
        <v>19</v>
      </c>
      <c r="H18" s="5">
        <v>47</v>
      </c>
      <c r="I18" s="5">
        <v>5.1605586362806664E-20</v>
      </c>
      <c r="J18" s="5"/>
      <c r="K18" s="5"/>
      <c r="L18" s="5"/>
    </row>
    <row r="19" spans="1:15" ht="13.8" thickBot="1" x14ac:dyDescent="0.3">
      <c r="A19" t="e">
        <f>'30N2'!A19</f>
        <v>#REF!</v>
      </c>
      <c r="B19" s="2" t="e">
        <f>Data!#REF!</f>
        <v>#REF!</v>
      </c>
      <c r="C19" s="2" t="e">
        <f>Data!#REF!</f>
        <v>#REF!</v>
      </c>
      <c r="D19" s="2" t="e">
        <f t="shared" si="0"/>
        <v>#REF!</v>
      </c>
      <c r="E19" s="3" t="e">
        <f t="shared" si="1"/>
        <v>#REF!</v>
      </c>
    </row>
    <row r="20" spans="1:15" x14ac:dyDescent="0.25">
      <c r="B20" s="2" t="e">
        <f>Data!#REF!</f>
        <v>#REF!</v>
      </c>
      <c r="C20" s="2" t="e">
        <f>Data!#REF!</f>
        <v>#REF!</v>
      </c>
      <c r="D20" s="2" t="e">
        <f t="shared" si="0"/>
        <v>#REF!</v>
      </c>
      <c r="E20" s="3" t="e">
        <f t="shared" si="1"/>
        <v>#REF!</v>
      </c>
      <c r="G20" s="13"/>
      <c r="H20" s="13" t="s">
        <v>26</v>
      </c>
      <c r="I20" s="13" t="s">
        <v>14</v>
      </c>
      <c r="J20" s="13" t="s">
        <v>27</v>
      </c>
      <c r="K20" s="13" t="s">
        <v>28</v>
      </c>
      <c r="L20" s="13" t="s">
        <v>29</v>
      </c>
      <c r="M20" s="13" t="s">
        <v>30</v>
      </c>
      <c r="N20" s="13" t="s">
        <v>31</v>
      </c>
      <c r="O20" s="13" t="s">
        <v>32</v>
      </c>
    </row>
    <row r="21" spans="1:15" x14ac:dyDescent="0.25">
      <c r="B21" s="2" t="e">
        <f>Data!#REF!</f>
        <v>#REF!</v>
      </c>
      <c r="C21" s="2" t="e">
        <f>Data!#REF!</f>
        <v>#REF!</v>
      </c>
      <c r="D21" s="2" t="e">
        <f t="shared" si="0"/>
        <v>#REF!</v>
      </c>
      <c r="E21" s="3" t="e">
        <f t="shared" si="1"/>
        <v>#REF!</v>
      </c>
      <c r="G21" t="s">
        <v>20</v>
      </c>
      <c r="H21">
        <v>2.734857786449159E-12</v>
      </c>
      <c r="I21">
        <v>1.0787438360839824E-12</v>
      </c>
      <c r="J21">
        <v>2.535224485154087</v>
      </c>
      <c r="K21">
        <v>1.4701500997473074E-2</v>
      </c>
      <c r="L21">
        <v>5.6345906643424787E-13</v>
      </c>
      <c r="M21">
        <v>4.9062565064640705E-12</v>
      </c>
      <c r="N21">
        <v>5.6345906643424787E-13</v>
      </c>
      <c r="O21">
        <v>4.9062565064640705E-12</v>
      </c>
    </row>
    <row r="22" spans="1:15" ht="13.8" thickBot="1" x14ac:dyDescent="0.3">
      <c r="A22" t="e">
        <f>'30N2'!A22</f>
        <v>#REF!</v>
      </c>
      <c r="B22" s="2" t="e">
        <f>Data!#REF!</f>
        <v>#REF!</v>
      </c>
      <c r="C22" s="2" t="e">
        <f>Data!#REF!</f>
        <v>#REF!</v>
      </c>
      <c r="D22" s="2" t="e">
        <f t="shared" si="0"/>
        <v>#REF!</v>
      </c>
      <c r="E22" s="3" t="e">
        <f t="shared" si="1"/>
        <v>#REF!</v>
      </c>
      <c r="G22" s="5" t="s">
        <v>33</v>
      </c>
      <c r="H22" s="5">
        <v>6.9954418113058504E-3</v>
      </c>
      <c r="I22" s="5">
        <v>1.9610702518733931E-5</v>
      </c>
      <c r="J22" s="5">
        <v>356.7155131042943</v>
      </c>
      <c r="K22" s="5">
        <v>7.96680518398439E-81</v>
      </c>
      <c r="L22" s="5">
        <v>6.955967514514173E-3</v>
      </c>
      <c r="M22" s="5">
        <v>7.0349161080975279E-3</v>
      </c>
      <c r="N22" s="5">
        <v>6.955967514514173E-3</v>
      </c>
      <c r="O22" s="5">
        <v>7.0349161080975279E-3</v>
      </c>
    </row>
    <row r="23" spans="1:15" x14ac:dyDescent="0.25">
      <c r="B23" s="2" t="e">
        <f>Data!#REF!</f>
        <v>#REF!</v>
      </c>
      <c r="C23" s="2" t="e">
        <f>Data!#REF!</f>
        <v>#REF!</v>
      </c>
      <c r="D23" s="2" t="e">
        <f t="shared" si="0"/>
        <v>#REF!</v>
      </c>
      <c r="E23" s="3" t="e">
        <f t="shared" si="1"/>
        <v>#REF!</v>
      </c>
    </row>
    <row r="24" spans="1:15" x14ac:dyDescent="0.25">
      <c r="B24" s="2" t="e">
        <f>Data!#REF!</f>
        <v>#REF!</v>
      </c>
      <c r="C24" s="2" t="e">
        <f>Data!#REF!</f>
        <v>#REF!</v>
      </c>
      <c r="D24" s="2" t="e">
        <f t="shared" si="0"/>
        <v>#REF!</v>
      </c>
      <c r="E24" s="3" t="e">
        <f t="shared" si="1"/>
        <v>#REF!</v>
      </c>
    </row>
    <row r="25" spans="1:15" x14ac:dyDescent="0.25">
      <c r="A25" t="e">
        <f>'30N2'!A25</f>
        <v>#REF!</v>
      </c>
      <c r="B25" s="2" t="e">
        <f>Data!#REF!</f>
        <v>#REF!</v>
      </c>
      <c r="C25" s="2" t="e">
        <f>Data!#REF!</f>
        <v>#REF!</v>
      </c>
      <c r="D25" s="2" t="e">
        <f t="shared" si="0"/>
        <v>#REF!</v>
      </c>
      <c r="E25" s="3" t="e">
        <f t="shared" si="1"/>
        <v>#REF!</v>
      </c>
    </row>
    <row r="26" spans="1:15" x14ac:dyDescent="0.25">
      <c r="B26" s="2" t="e">
        <f>Data!#REF!</f>
        <v>#REF!</v>
      </c>
      <c r="C26" s="2" t="e">
        <f>Data!#REF!</f>
        <v>#REF!</v>
      </c>
      <c r="D26" s="2" t="e">
        <f t="shared" si="0"/>
        <v>#REF!</v>
      </c>
      <c r="E26" s="3" t="e">
        <f t="shared" si="1"/>
        <v>#REF!</v>
      </c>
    </row>
    <row r="27" spans="1:15" x14ac:dyDescent="0.25">
      <c r="B27" s="2" t="e">
        <f>Data!#REF!</f>
        <v>#REF!</v>
      </c>
      <c r="C27" s="2" t="e">
        <f>Data!#REF!</f>
        <v>#REF!</v>
      </c>
      <c r="D27" s="2" t="e">
        <f t="shared" si="0"/>
        <v>#REF!</v>
      </c>
      <c r="E27" s="3" t="e">
        <f t="shared" si="1"/>
        <v>#REF!</v>
      </c>
    </row>
    <row r="28" spans="1:15" x14ac:dyDescent="0.25">
      <c r="A28" t="e">
        <f>'30N2'!A28</f>
        <v>#REF!</v>
      </c>
      <c r="B28" s="2" t="e">
        <f>Data!#REF!</f>
        <v>#REF!</v>
      </c>
      <c r="C28" s="2" t="e">
        <f>Data!#REF!</f>
        <v>#REF!</v>
      </c>
      <c r="D28" s="2" t="e">
        <f t="shared" si="0"/>
        <v>#REF!</v>
      </c>
      <c r="E28" s="3" t="e">
        <f t="shared" si="1"/>
        <v>#REF!</v>
      </c>
    </row>
    <row r="29" spans="1:15" x14ac:dyDescent="0.25">
      <c r="B29" s="2" t="e">
        <f>Data!#REF!</f>
        <v>#REF!</v>
      </c>
      <c r="C29" s="2" t="e">
        <f>Data!#REF!</f>
        <v>#REF!</v>
      </c>
      <c r="D29" s="2" t="e">
        <f t="shared" si="0"/>
        <v>#REF!</v>
      </c>
      <c r="E29" s="3" t="e">
        <f t="shared" si="1"/>
        <v>#REF!</v>
      </c>
    </row>
    <row r="30" spans="1:15" x14ac:dyDescent="0.25">
      <c r="B30" s="2" t="e">
        <f>Data!#REF!</f>
        <v>#REF!</v>
      </c>
      <c r="C30" s="2" t="e">
        <f>Data!#REF!</f>
        <v>#REF!</v>
      </c>
      <c r="D30" s="2" t="e">
        <f t="shared" si="0"/>
        <v>#REF!</v>
      </c>
      <c r="E30" s="3" t="e">
        <f t="shared" si="1"/>
        <v>#REF!</v>
      </c>
    </row>
    <row r="31" spans="1:15" x14ac:dyDescent="0.25">
      <c r="A31" t="e">
        <f>'30N2'!A31</f>
        <v>#REF!</v>
      </c>
      <c r="B31" s="2" t="e">
        <f>Data!#REF!</f>
        <v>#REF!</v>
      </c>
      <c r="C31" s="2" t="e">
        <f>Data!#REF!</f>
        <v>#REF!</v>
      </c>
      <c r="D31" s="2" t="e">
        <f t="shared" ref="D31:D42" si="2">C31-(B31*H$22+H$21)</f>
        <v>#REF!</v>
      </c>
      <c r="E31" s="3" t="e">
        <f t="shared" ref="E31:E42" si="3">A$1*D31/A$2</f>
        <v>#REF!</v>
      </c>
    </row>
    <row r="32" spans="1:15" x14ac:dyDescent="0.25">
      <c r="B32" s="2" t="e">
        <f>Data!#REF!</f>
        <v>#REF!</v>
      </c>
      <c r="C32" s="2" t="e">
        <f>Data!#REF!</f>
        <v>#REF!</v>
      </c>
      <c r="D32" s="2" t="e">
        <f t="shared" si="2"/>
        <v>#REF!</v>
      </c>
      <c r="E32" s="3" t="e">
        <f t="shared" si="3"/>
        <v>#REF!</v>
      </c>
    </row>
    <row r="33" spans="1:5" x14ac:dyDescent="0.25">
      <c r="B33" s="2" t="e">
        <f>Data!#REF!</f>
        <v>#REF!</v>
      </c>
      <c r="C33" s="2" t="e">
        <f>Data!#REF!</f>
        <v>#REF!</v>
      </c>
      <c r="D33" s="2" t="e">
        <f t="shared" si="2"/>
        <v>#REF!</v>
      </c>
      <c r="E33" s="3" t="e">
        <f t="shared" si="3"/>
        <v>#REF!</v>
      </c>
    </row>
    <row r="34" spans="1:5" x14ac:dyDescent="0.25">
      <c r="A34" t="e">
        <f>'30N2'!A34</f>
        <v>#REF!</v>
      </c>
      <c r="B34" s="2" t="e">
        <f>Data!#REF!</f>
        <v>#REF!</v>
      </c>
      <c r="C34" s="2" t="e">
        <f>Data!#REF!</f>
        <v>#REF!</v>
      </c>
      <c r="D34" s="2" t="e">
        <f t="shared" si="2"/>
        <v>#REF!</v>
      </c>
      <c r="E34" s="3" t="e">
        <f t="shared" si="3"/>
        <v>#REF!</v>
      </c>
    </row>
    <row r="35" spans="1:5" x14ac:dyDescent="0.25">
      <c r="B35" s="2" t="e">
        <f>Data!#REF!</f>
        <v>#REF!</v>
      </c>
      <c r="C35" s="2" t="e">
        <f>Data!#REF!</f>
        <v>#REF!</v>
      </c>
      <c r="D35" s="2" t="e">
        <f t="shared" si="2"/>
        <v>#REF!</v>
      </c>
      <c r="E35" s="3" t="e">
        <f t="shared" si="3"/>
        <v>#REF!</v>
      </c>
    </row>
    <row r="36" spans="1:5" x14ac:dyDescent="0.25">
      <c r="B36" s="2" t="e">
        <f>Data!#REF!</f>
        <v>#REF!</v>
      </c>
      <c r="C36" s="2" t="e">
        <f>Data!#REF!</f>
        <v>#REF!</v>
      </c>
      <c r="D36" s="2" t="e">
        <f t="shared" si="2"/>
        <v>#REF!</v>
      </c>
      <c r="E36" s="3" t="e">
        <f t="shared" si="3"/>
        <v>#REF!</v>
      </c>
    </row>
    <row r="37" spans="1:5" x14ac:dyDescent="0.25">
      <c r="A37" t="e">
        <f>'30N2'!A37</f>
        <v>#REF!</v>
      </c>
      <c r="B37" s="2" t="e">
        <f>Data!#REF!</f>
        <v>#REF!</v>
      </c>
      <c r="C37" s="2" t="e">
        <f>Data!#REF!</f>
        <v>#REF!</v>
      </c>
      <c r="D37" s="2" t="e">
        <f t="shared" si="2"/>
        <v>#REF!</v>
      </c>
      <c r="E37" s="3" t="e">
        <f t="shared" si="3"/>
        <v>#REF!</v>
      </c>
    </row>
    <row r="38" spans="1:5" x14ac:dyDescent="0.25">
      <c r="B38" s="2" t="e">
        <f>Data!#REF!</f>
        <v>#REF!</v>
      </c>
      <c r="C38" s="2" t="e">
        <f>Data!#REF!</f>
        <v>#REF!</v>
      </c>
      <c r="D38" s="2" t="e">
        <f t="shared" si="2"/>
        <v>#REF!</v>
      </c>
      <c r="E38" s="3" t="e">
        <f t="shared" si="3"/>
        <v>#REF!</v>
      </c>
    </row>
    <row r="39" spans="1:5" x14ac:dyDescent="0.25">
      <c r="B39" s="2" t="e">
        <f>Data!#REF!</f>
        <v>#REF!</v>
      </c>
      <c r="C39" s="2" t="e">
        <f>Data!#REF!</f>
        <v>#REF!</v>
      </c>
      <c r="D39" s="2" t="e">
        <f t="shared" si="2"/>
        <v>#REF!</v>
      </c>
      <c r="E39" s="3" t="e">
        <f t="shared" si="3"/>
        <v>#REF!</v>
      </c>
    </row>
    <row r="40" spans="1:5" x14ac:dyDescent="0.25">
      <c r="A40" t="e">
        <f>'30N2'!A40</f>
        <v>#REF!</v>
      </c>
      <c r="B40" s="2" t="e">
        <f>Data!#REF!</f>
        <v>#REF!</v>
      </c>
      <c r="C40" s="2" t="e">
        <f>Data!#REF!</f>
        <v>#REF!</v>
      </c>
      <c r="D40" s="2" t="e">
        <f t="shared" si="2"/>
        <v>#REF!</v>
      </c>
      <c r="E40" s="3" t="e">
        <f t="shared" si="3"/>
        <v>#REF!</v>
      </c>
    </row>
    <row r="41" spans="1:5" x14ac:dyDescent="0.25">
      <c r="B41" s="2" t="e">
        <f>Data!#REF!</f>
        <v>#REF!</v>
      </c>
      <c r="C41" s="2" t="e">
        <f>Data!#REF!</f>
        <v>#REF!</v>
      </c>
      <c r="D41" s="2" t="e">
        <f t="shared" si="2"/>
        <v>#REF!</v>
      </c>
      <c r="E41" s="3" t="e">
        <f t="shared" si="3"/>
        <v>#REF!</v>
      </c>
    </row>
    <row r="42" spans="1:5" x14ac:dyDescent="0.25">
      <c r="B42" s="2" t="e">
        <f>Data!#REF!</f>
        <v>#REF!</v>
      </c>
      <c r="C42" s="2" t="e">
        <f>Data!#REF!</f>
        <v>#REF!</v>
      </c>
      <c r="D42" s="2" t="e">
        <f t="shared" si="2"/>
        <v>#REF!</v>
      </c>
      <c r="E42" s="3" t="e">
        <f t="shared" si="3"/>
        <v>#REF!</v>
      </c>
    </row>
    <row r="43" spans="1:5" x14ac:dyDescent="0.25">
      <c r="A43" t="e">
        <f>'30N2'!A31</f>
        <v>#REF!</v>
      </c>
      <c r="B43" s="2" t="e">
        <f>Data!#REF!</f>
        <v>#REF!</v>
      </c>
      <c r="C43" s="2" t="e">
        <f>Data!#REF!</f>
        <v>#REF!</v>
      </c>
      <c r="D43" s="2" t="e">
        <f t="shared" ref="D43:D54" si="4">C43-(B43*H$22+H$21)</f>
        <v>#REF!</v>
      </c>
      <c r="E43" s="3" t="e">
        <f t="shared" ref="E43:E54" si="5">A$1*D43/A$2</f>
        <v>#REF!</v>
      </c>
    </row>
    <row r="44" spans="1:5" x14ac:dyDescent="0.25">
      <c r="B44" s="2" t="e">
        <f>Data!#REF!</f>
        <v>#REF!</v>
      </c>
      <c r="C44" s="2" t="e">
        <f>Data!#REF!</f>
        <v>#REF!</v>
      </c>
      <c r="D44" s="2" t="e">
        <f t="shared" si="4"/>
        <v>#REF!</v>
      </c>
      <c r="E44" s="3" t="e">
        <f t="shared" si="5"/>
        <v>#REF!</v>
      </c>
    </row>
    <row r="45" spans="1:5" x14ac:dyDescent="0.25">
      <c r="B45" s="2" t="e">
        <f>Data!#REF!</f>
        <v>#REF!</v>
      </c>
      <c r="C45" s="2" t="e">
        <f>Data!#REF!</f>
        <v>#REF!</v>
      </c>
      <c r="D45" s="2" t="e">
        <f t="shared" si="4"/>
        <v>#REF!</v>
      </c>
      <c r="E45" s="3" t="e">
        <f t="shared" si="5"/>
        <v>#REF!</v>
      </c>
    </row>
    <row r="46" spans="1:5" x14ac:dyDescent="0.25">
      <c r="A46" t="e">
        <f>'30N2'!A34</f>
        <v>#REF!</v>
      </c>
      <c r="B46" s="2" t="e">
        <f>Data!#REF!</f>
        <v>#REF!</v>
      </c>
      <c r="C46" s="2" t="e">
        <f>Data!#REF!</f>
        <v>#REF!</v>
      </c>
      <c r="D46" s="2" t="e">
        <f t="shared" si="4"/>
        <v>#REF!</v>
      </c>
      <c r="E46" s="3" t="e">
        <f t="shared" si="5"/>
        <v>#REF!</v>
      </c>
    </row>
    <row r="47" spans="1:5" x14ac:dyDescent="0.25">
      <c r="B47" s="2" t="e">
        <f>Data!#REF!</f>
        <v>#REF!</v>
      </c>
      <c r="C47" s="2" t="e">
        <f>Data!#REF!</f>
        <v>#REF!</v>
      </c>
      <c r="D47" s="2" t="e">
        <f t="shared" si="4"/>
        <v>#REF!</v>
      </c>
      <c r="E47" s="3" t="e">
        <f t="shared" si="5"/>
        <v>#REF!</v>
      </c>
    </row>
    <row r="48" spans="1:5" x14ac:dyDescent="0.25">
      <c r="B48" s="2" t="e">
        <f>Data!#REF!</f>
        <v>#REF!</v>
      </c>
      <c r="C48" s="2" t="e">
        <f>Data!#REF!</f>
        <v>#REF!</v>
      </c>
      <c r="D48" s="2" t="e">
        <f t="shared" si="4"/>
        <v>#REF!</v>
      </c>
      <c r="E48" s="3" t="e">
        <f t="shared" si="5"/>
        <v>#REF!</v>
      </c>
    </row>
    <row r="49" spans="1:6" x14ac:dyDescent="0.25">
      <c r="A49" t="e">
        <f>'30N2'!A37</f>
        <v>#REF!</v>
      </c>
      <c r="B49" s="2" t="e">
        <f>Data!#REF!</f>
        <v>#REF!</v>
      </c>
      <c r="C49" s="2" t="e">
        <f>Data!#REF!</f>
        <v>#REF!</v>
      </c>
      <c r="D49" s="2" t="e">
        <f t="shared" si="4"/>
        <v>#REF!</v>
      </c>
      <c r="E49" s="3" t="e">
        <f t="shared" si="5"/>
        <v>#REF!</v>
      </c>
    </row>
    <row r="50" spans="1:6" x14ac:dyDescent="0.25">
      <c r="B50" s="2" t="e">
        <f>Data!#REF!</f>
        <v>#REF!</v>
      </c>
      <c r="C50" s="2" t="e">
        <f>Data!#REF!</f>
        <v>#REF!</v>
      </c>
      <c r="D50" s="2" t="e">
        <f t="shared" si="4"/>
        <v>#REF!</v>
      </c>
      <c r="E50" s="3" t="e">
        <f t="shared" si="5"/>
        <v>#REF!</v>
      </c>
    </row>
    <row r="51" spans="1:6" x14ac:dyDescent="0.25">
      <c r="B51" s="2" t="e">
        <f>Data!#REF!</f>
        <v>#REF!</v>
      </c>
      <c r="C51" s="2" t="e">
        <f>Data!#REF!</f>
        <v>#REF!</v>
      </c>
      <c r="D51" s="2" t="e">
        <f t="shared" si="4"/>
        <v>#REF!</v>
      </c>
      <c r="E51" s="3" t="e">
        <f t="shared" si="5"/>
        <v>#REF!</v>
      </c>
    </row>
    <row r="52" spans="1:6" x14ac:dyDescent="0.25">
      <c r="A52" t="e">
        <f>'30N2'!A40</f>
        <v>#REF!</v>
      </c>
      <c r="B52" s="2" t="e">
        <f>Data!#REF!</f>
        <v>#REF!</v>
      </c>
      <c r="C52" s="2" t="e">
        <f>Data!#REF!</f>
        <v>#REF!</v>
      </c>
      <c r="D52" s="2" t="e">
        <f t="shared" si="4"/>
        <v>#REF!</v>
      </c>
      <c r="E52" s="3" t="e">
        <f t="shared" si="5"/>
        <v>#REF!</v>
      </c>
    </row>
    <row r="53" spans="1:6" x14ac:dyDescent="0.25">
      <c r="B53" s="2" t="e">
        <f>Data!#REF!</f>
        <v>#REF!</v>
      </c>
      <c r="C53" s="2" t="e">
        <f>Data!#REF!</f>
        <v>#REF!</v>
      </c>
      <c r="D53" s="2" t="e">
        <f t="shared" si="4"/>
        <v>#REF!</v>
      </c>
      <c r="E53" s="3" t="e">
        <f t="shared" si="5"/>
        <v>#REF!</v>
      </c>
    </row>
    <row r="54" spans="1:6" x14ac:dyDescent="0.25">
      <c r="B54" s="2" t="e">
        <f>Data!#REF!</f>
        <v>#REF!</v>
      </c>
      <c r="C54" s="2" t="e">
        <f>Data!#REF!</f>
        <v>#REF!</v>
      </c>
      <c r="D54" s="2" t="e">
        <f t="shared" si="4"/>
        <v>#REF!</v>
      </c>
      <c r="E54" s="3" t="e">
        <f t="shared" si="5"/>
        <v>#REF!</v>
      </c>
    </row>
    <row r="55" spans="1:6" x14ac:dyDescent="0.25">
      <c r="A55" t="str">
        <f>'30N2'!A55</f>
        <v>Openwater_2_T1_1</v>
      </c>
      <c r="B55" s="2">
        <f>Data!C20</f>
        <v>1.7892779999999999E-10</v>
      </c>
      <c r="C55" s="2">
        <f>Data!D20</f>
        <v>7.0417650000000001E-11</v>
      </c>
      <c r="D55" s="2">
        <f>C55-(B55*H$22+H$21)</f>
        <v>6.6431113200225878E-11</v>
      </c>
      <c r="E55" s="3" t="e">
        <f>A$1*D55/A$2</f>
        <v>#REF!</v>
      </c>
      <c r="F55" s="3" t="e">
        <f>AVERAGE(E55:E57)</f>
        <v>#REF!</v>
      </c>
    </row>
    <row r="56" spans="1:6" x14ac:dyDescent="0.25">
      <c r="B56" s="2">
        <f>Data!C21</f>
        <v>1.7888699999999999E-10</v>
      </c>
      <c r="C56" s="2">
        <f>Data!D21</f>
        <v>7.0416519999999995E-11</v>
      </c>
      <c r="D56" s="2">
        <f>C56-(B56*H$22+H$21)</f>
        <v>6.643026861425177E-11</v>
      </c>
      <c r="E56" s="3" t="e">
        <f>A$1*D56/A$2</f>
        <v>#REF!</v>
      </c>
    </row>
    <row r="57" spans="1:6" x14ac:dyDescent="0.25">
      <c r="B57" s="2">
        <f>Data!C22</f>
        <v>1.7881E-10</v>
      </c>
      <c r="C57" s="2">
        <f>Data!D22</f>
        <v>7.0392009999999999E-11</v>
      </c>
      <c r="D57" s="2">
        <f>C57-(B57*H$22+H$21)</f>
        <v>6.640629726327124E-11</v>
      </c>
      <c r="E57" s="3" t="e">
        <f>A$1*D57/A$2</f>
        <v>#REF!</v>
      </c>
    </row>
    <row r="58" spans="1:6" x14ac:dyDescent="0.25">
      <c r="A58">
        <f>'30N2'!A58</f>
        <v>20</v>
      </c>
      <c r="B58" s="2">
        <f>Data!C23</f>
        <v>1.774373E-10</v>
      </c>
      <c r="C58" s="2">
        <f>Data!D23</f>
        <v>8.3961300000000001E-11</v>
      </c>
      <c r="D58" s="2">
        <f t="shared" ref="D58:D90" si="6">C58-(B58*H$22+H$21)</f>
        <v>7.9985189906245619E-11</v>
      </c>
      <c r="E58" s="3" t="e">
        <f t="shared" ref="E58:E90" si="7">A$1*D58/A$2</f>
        <v>#REF!</v>
      </c>
      <c r="F58" s="3" t="e">
        <f>AVERAGE(E58:E60)</f>
        <v>#REF!</v>
      </c>
    </row>
    <row r="59" spans="1:6" x14ac:dyDescent="0.25">
      <c r="B59" s="2">
        <f>Data!C24</f>
        <v>1.773901E-10</v>
      </c>
      <c r="C59" s="2">
        <f>Data!D24</f>
        <v>8.3989259999999998E-11</v>
      </c>
      <c r="D59" s="2">
        <f t="shared" si="6"/>
        <v>8.0013480091099116E-11</v>
      </c>
      <c r="E59" s="3" t="e">
        <f t="shared" si="7"/>
        <v>#REF!</v>
      </c>
    </row>
    <row r="60" spans="1:6" x14ac:dyDescent="0.25">
      <c r="B60" s="2">
        <f>Data!C25</f>
        <v>1.7731440000000001E-10</v>
      </c>
      <c r="C60" s="2">
        <f>Data!D25</f>
        <v>8.400151E-11</v>
      </c>
      <c r="D60" s="2">
        <f t="shared" si="6"/>
        <v>8.0026259646044227E-11</v>
      </c>
      <c r="E60" s="3" t="e">
        <f t="shared" si="7"/>
        <v>#REF!</v>
      </c>
    </row>
    <row r="61" spans="1:6" x14ac:dyDescent="0.25">
      <c r="A61">
        <f>'30N2'!A61</f>
        <v>30</v>
      </c>
      <c r="B61" s="2">
        <f>Data!C26</f>
        <v>1.545517E-10</v>
      </c>
      <c r="C61" s="2">
        <f>Data!D26</f>
        <v>7.2203449999999995E-11</v>
      </c>
      <c r="D61" s="2">
        <f t="shared" si="6"/>
        <v>6.8387434789362433E-11</v>
      </c>
      <c r="E61" s="3" t="e">
        <f t="shared" si="7"/>
        <v>#REF!</v>
      </c>
      <c r="F61" s="3" t="e">
        <f>AVERAGE(E61:E63)</f>
        <v>#REF!</v>
      </c>
    </row>
    <row r="62" spans="1:6" x14ac:dyDescent="0.25">
      <c r="B62" s="2">
        <f>Data!C27</f>
        <v>1.545312E-10</v>
      </c>
      <c r="C62" s="2">
        <f>Data!D27</f>
        <v>7.2194269999999995E-11</v>
      </c>
      <c r="D62" s="2">
        <f t="shared" si="6"/>
        <v>6.837839819591957E-11</v>
      </c>
      <c r="E62" s="3" t="e">
        <f t="shared" si="7"/>
        <v>#REF!</v>
      </c>
    </row>
    <row r="63" spans="1:6" x14ac:dyDescent="0.25">
      <c r="B63" s="2">
        <f>Data!C28</f>
        <v>1.545475E-10</v>
      </c>
      <c r="C63" s="2">
        <f>Data!D28</f>
        <v>7.2196739999999999E-11</v>
      </c>
      <c r="D63" s="2">
        <f t="shared" si="6"/>
        <v>6.838075417021805E-11</v>
      </c>
      <c r="E63" s="3" t="e">
        <f t="shared" si="7"/>
        <v>#REF!</v>
      </c>
    </row>
    <row r="64" spans="1:6" x14ac:dyDescent="0.25">
      <c r="A64" t="str">
        <f>'30N2'!A64</f>
        <v>Openwater_3_T1_1</v>
      </c>
      <c r="B64" s="2">
        <f>Data!C29</f>
        <v>1.7470790000000001E-10</v>
      </c>
      <c r="C64" s="2">
        <f>Data!D29</f>
        <v>6.95979E-11</v>
      </c>
      <c r="D64" s="2">
        <f t="shared" si="6"/>
        <v>6.5640883265125401E-11</v>
      </c>
      <c r="E64" s="3" t="e">
        <f t="shared" si="7"/>
        <v>#REF!</v>
      </c>
      <c r="F64" s="3" t="e">
        <f>AVERAGE(E64:E66)</f>
        <v>#REF!</v>
      </c>
    </row>
    <row r="65" spans="1:6" x14ac:dyDescent="0.25">
      <c r="B65" s="2">
        <f>Data!C30</f>
        <v>1.746871E-10</v>
      </c>
      <c r="C65" s="2">
        <f>Data!D30</f>
        <v>6.9583269999999995E-11</v>
      </c>
      <c r="D65" s="2">
        <f t="shared" si="6"/>
        <v>6.5626398770315072E-11</v>
      </c>
      <c r="E65" s="3" t="e">
        <f t="shared" si="7"/>
        <v>#REF!</v>
      </c>
    </row>
    <row r="66" spans="1:6" x14ac:dyDescent="0.25">
      <c r="B66" s="2">
        <f>Data!C31</f>
        <v>1.7468120000000001E-10</v>
      </c>
      <c r="C66" s="2">
        <f>Data!D31</f>
        <v>6.957972E-11</v>
      </c>
      <c r="D66" s="2">
        <f t="shared" si="6"/>
        <v>6.5622890043421763E-11</v>
      </c>
      <c r="E66" s="3" t="e">
        <f t="shared" si="7"/>
        <v>#REF!</v>
      </c>
    </row>
    <row r="67" spans="1:6" x14ac:dyDescent="0.25">
      <c r="A67" t="str">
        <f>'30N2'!A67</f>
        <v>Openwater_4_T1_1</v>
      </c>
      <c r="B67" s="2">
        <f>Data!C32</f>
        <v>1.7654030000000001E-10</v>
      </c>
      <c r="C67" s="2">
        <f>Data!D32</f>
        <v>6.1036939999999995E-11</v>
      </c>
      <c r="D67" s="2">
        <f t="shared" si="6"/>
        <v>5.7067104817550355E-11</v>
      </c>
      <c r="E67" s="3" t="e">
        <f t="shared" si="7"/>
        <v>#REF!</v>
      </c>
      <c r="F67" s="3" t="e">
        <f>AVERAGE(E67:E69)</f>
        <v>#REF!</v>
      </c>
    </row>
    <row r="68" spans="1:6" x14ac:dyDescent="0.25">
      <c r="B68" s="2">
        <f>Data!C33</f>
        <v>1.7657370000000001E-10</v>
      </c>
      <c r="C68" s="2">
        <f>Data!D33</f>
        <v>6.1032720000000001E-11</v>
      </c>
      <c r="D68" s="2">
        <f t="shared" si="6"/>
        <v>5.7062651169793865E-11</v>
      </c>
      <c r="E68" s="3" t="e">
        <f t="shared" si="7"/>
        <v>#REF!</v>
      </c>
    </row>
    <row r="69" spans="1:6" x14ac:dyDescent="0.25">
      <c r="B69" s="2">
        <f>Data!C34</f>
        <v>1.7655799999999999E-10</v>
      </c>
      <c r="C69" s="2">
        <f>Data!D34</f>
        <v>6.1004049999999995E-11</v>
      </c>
      <c r="D69" s="2">
        <f t="shared" si="6"/>
        <v>5.7034090998230298E-11</v>
      </c>
      <c r="E69" s="3" t="e">
        <f t="shared" si="7"/>
        <v>#REF!</v>
      </c>
    </row>
    <row r="70" spans="1:6" x14ac:dyDescent="0.25">
      <c r="A70" t="str">
        <f>'30N2'!A70</f>
        <v>SAVa_IN_T1_1</v>
      </c>
      <c r="B70" s="2">
        <f>Data!C35</f>
        <v>1.906481E-10</v>
      </c>
      <c r="C70" s="2">
        <f>Data!D35</f>
        <v>6.1671050000000004E-11</v>
      </c>
      <c r="D70" s="2">
        <f t="shared" si="6"/>
        <v>5.7602524523564825E-11</v>
      </c>
      <c r="E70" s="3" t="e">
        <f t="shared" si="7"/>
        <v>#REF!</v>
      </c>
      <c r="F70" s="3" t="e">
        <f>AVERAGE(E70:E72)</f>
        <v>#REF!</v>
      </c>
    </row>
    <row r="71" spans="1:6" x14ac:dyDescent="0.25">
      <c r="B71" s="2">
        <f>Data!C36</f>
        <v>1.9072070000000001E-10</v>
      </c>
      <c r="C71" s="2">
        <f>Data!D36</f>
        <v>6.1715510000000001E-11</v>
      </c>
      <c r="D71" s="2">
        <f t="shared" si="6"/>
        <v>5.7646476654489325E-11</v>
      </c>
      <c r="E71" s="3" t="e">
        <f t="shared" si="7"/>
        <v>#REF!</v>
      </c>
    </row>
    <row r="72" spans="1:6" x14ac:dyDescent="0.25">
      <c r="B72" s="2">
        <f>Data!C37</f>
        <v>1.9042060000000001E-10</v>
      </c>
      <c r="C72" s="2">
        <f>Data!D37</f>
        <v>6.1602819999999999E-11</v>
      </c>
      <c r="D72" s="2">
        <f t="shared" si="6"/>
        <v>5.7535885986576894E-11</v>
      </c>
      <c r="E72" s="3" t="e">
        <f t="shared" si="7"/>
        <v>#REF!</v>
      </c>
    </row>
    <row r="73" spans="1:6" x14ac:dyDescent="0.25">
      <c r="A73">
        <f>'30N2'!A73</f>
        <v>20</v>
      </c>
      <c r="B73" s="2">
        <f>Data!C38</f>
        <v>1.751026E-10</v>
      </c>
      <c r="C73" s="2">
        <f>Data!D38</f>
        <v>8.2292559999999999E-11</v>
      </c>
      <c r="D73" s="2">
        <f t="shared" si="6"/>
        <v>7.8332782164242481E-11</v>
      </c>
      <c r="E73" s="3" t="e">
        <f t="shared" si="7"/>
        <v>#REF!</v>
      </c>
      <c r="F73" s="3" t="e">
        <f>AVERAGE(E73:E75)</f>
        <v>#REF!</v>
      </c>
    </row>
    <row r="74" spans="1:6" x14ac:dyDescent="0.25">
      <c r="B74" s="2">
        <f>Data!C39</f>
        <v>1.7505180000000001E-10</v>
      </c>
      <c r="C74" s="2">
        <f>Data!D39</f>
        <v>8.2318419999999999E-11</v>
      </c>
      <c r="D74" s="2">
        <f t="shared" si="6"/>
        <v>7.8358997532686489E-11</v>
      </c>
      <c r="E74" s="3" t="e">
        <f t="shared" si="7"/>
        <v>#REF!</v>
      </c>
    </row>
    <row r="75" spans="1:6" x14ac:dyDescent="0.25">
      <c r="B75" s="2">
        <f>Data!C40</f>
        <v>1.75007E-10</v>
      </c>
      <c r="C75" s="2">
        <f>Data!D40</f>
        <v>8.2337620000000006E-11</v>
      </c>
      <c r="D75" s="2">
        <f t="shared" si="6"/>
        <v>7.8378510928479643E-11</v>
      </c>
      <c r="E75" s="3" t="e">
        <f t="shared" si="7"/>
        <v>#REF!</v>
      </c>
    </row>
    <row r="76" spans="1:6" x14ac:dyDescent="0.25">
      <c r="A76">
        <f>'30N2'!A76</f>
        <v>30</v>
      </c>
      <c r="B76" s="2">
        <f>Data!C41</f>
        <v>1.5260469999999999E-10</v>
      </c>
      <c r="C76" s="2">
        <f>Data!D41</f>
        <v>7.0961760000000001E-11</v>
      </c>
      <c r="D76" s="2">
        <f t="shared" si="6"/>
        <v>6.715936491456905E-11</v>
      </c>
      <c r="E76" s="3" t="e">
        <f t="shared" si="7"/>
        <v>#REF!</v>
      </c>
      <c r="F76" s="3" t="e">
        <f>AVERAGE(E76:E78)</f>
        <v>#REF!</v>
      </c>
    </row>
    <row r="77" spans="1:6" x14ac:dyDescent="0.25">
      <c r="B77" s="2">
        <f>Data!C42</f>
        <v>1.524989E-10</v>
      </c>
      <c r="C77" s="2">
        <f>Data!D42</f>
        <v>7.0928650000000004E-11</v>
      </c>
      <c r="D77" s="2">
        <f t="shared" si="6"/>
        <v>6.7126995032312695E-11</v>
      </c>
      <c r="E77" s="3" t="e">
        <f t="shared" si="7"/>
        <v>#REF!</v>
      </c>
    </row>
    <row r="78" spans="1:6" x14ac:dyDescent="0.25">
      <c r="B78" s="2">
        <f>Data!C43</f>
        <v>1.523994E-10</v>
      </c>
      <c r="C78" s="2">
        <f>Data!D43</f>
        <v>7.0887720000000002E-11</v>
      </c>
      <c r="D78" s="2">
        <f t="shared" si="6"/>
        <v>6.7086761078772922E-11</v>
      </c>
      <c r="E78" s="3" t="e">
        <f t="shared" si="7"/>
        <v>#REF!</v>
      </c>
    </row>
    <row r="79" spans="1:6" x14ac:dyDescent="0.25">
      <c r="A79" t="e">
        <f>'30N2'!A79</f>
        <v>#REF!</v>
      </c>
      <c r="B79" s="2" t="e">
        <f>Data!#REF!</f>
        <v>#REF!</v>
      </c>
      <c r="C79" s="2" t="e">
        <f>Data!#REF!</f>
        <v>#REF!</v>
      </c>
      <c r="D79" s="2" t="e">
        <f t="shared" si="6"/>
        <v>#REF!</v>
      </c>
      <c r="E79" s="3" t="e">
        <f t="shared" si="7"/>
        <v>#REF!</v>
      </c>
      <c r="F79" s="3" t="e">
        <f>AVERAGE(E79:E81)</f>
        <v>#REF!</v>
      </c>
    </row>
    <row r="80" spans="1:6" x14ac:dyDescent="0.25">
      <c r="B80" s="2" t="e">
        <f>Data!#REF!</f>
        <v>#REF!</v>
      </c>
      <c r="C80" s="2" t="e">
        <f>Data!#REF!</f>
        <v>#REF!</v>
      </c>
      <c r="D80" s="2" t="e">
        <f t="shared" si="6"/>
        <v>#REF!</v>
      </c>
      <c r="E80" s="3" t="e">
        <f t="shared" si="7"/>
        <v>#REF!</v>
      </c>
    </row>
    <row r="81" spans="1:6" x14ac:dyDescent="0.25">
      <c r="B81" s="2" t="e">
        <f>Data!#REF!</f>
        <v>#REF!</v>
      </c>
      <c r="C81" s="2" t="e">
        <f>Data!#REF!</f>
        <v>#REF!</v>
      </c>
      <c r="D81" s="2" t="e">
        <f t="shared" si="6"/>
        <v>#REF!</v>
      </c>
      <c r="E81" s="3" t="e">
        <f t="shared" si="7"/>
        <v>#REF!</v>
      </c>
    </row>
    <row r="82" spans="1:6" x14ac:dyDescent="0.25">
      <c r="A82" t="e">
        <f>'30N2'!A82</f>
        <v>#REF!</v>
      </c>
      <c r="B82" s="2" t="e">
        <f>Data!#REF!</f>
        <v>#REF!</v>
      </c>
      <c r="C82" s="2" t="e">
        <f>Data!#REF!</f>
        <v>#REF!</v>
      </c>
      <c r="D82" s="2" t="e">
        <f t="shared" si="6"/>
        <v>#REF!</v>
      </c>
      <c r="E82" s="3" t="e">
        <f t="shared" si="7"/>
        <v>#REF!</v>
      </c>
      <c r="F82" s="3" t="e">
        <f>AVERAGE(E82:E84)</f>
        <v>#REF!</v>
      </c>
    </row>
    <row r="83" spans="1:6" x14ac:dyDescent="0.25">
      <c r="B83" s="2" t="e">
        <f>Data!#REF!</f>
        <v>#REF!</v>
      </c>
      <c r="C83" s="2" t="e">
        <f>Data!#REF!</f>
        <v>#REF!</v>
      </c>
      <c r="D83" s="2" t="e">
        <f t="shared" si="6"/>
        <v>#REF!</v>
      </c>
      <c r="E83" s="3" t="e">
        <f t="shared" si="7"/>
        <v>#REF!</v>
      </c>
    </row>
    <row r="84" spans="1:6" x14ac:dyDescent="0.25">
      <c r="B84" s="2" t="e">
        <f>Data!#REF!</f>
        <v>#REF!</v>
      </c>
      <c r="C84" s="2" t="e">
        <f>Data!#REF!</f>
        <v>#REF!</v>
      </c>
      <c r="D84" s="2" t="e">
        <f t="shared" si="6"/>
        <v>#REF!</v>
      </c>
      <c r="E84" s="3" t="e">
        <f t="shared" si="7"/>
        <v>#REF!</v>
      </c>
    </row>
    <row r="85" spans="1:6" x14ac:dyDescent="0.25">
      <c r="A85" t="e">
        <f>'30N2'!A85</f>
        <v>#REF!</v>
      </c>
      <c r="B85" s="2" t="e">
        <f>Data!#REF!</f>
        <v>#REF!</v>
      </c>
      <c r="C85" s="2" t="e">
        <f>Data!#REF!</f>
        <v>#REF!</v>
      </c>
      <c r="D85" s="2" t="e">
        <f t="shared" si="6"/>
        <v>#REF!</v>
      </c>
      <c r="E85" s="3" t="e">
        <f t="shared" si="7"/>
        <v>#REF!</v>
      </c>
      <c r="F85" s="3" t="e">
        <f>AVERAGE(E85:E87)</f>
        <v>#REF!</v>
      </c>
    </row>
    <row r="86" spans="1:6" x14ac:dyDescent="0.25">
      <c r="B86" s="2" t="e">
        <f>Data!#REF!</f>
        <v>#REF!</v>
      </c>
      <c r="C86" s="2" t="e">
        <f>Data!#REF!</f>
        <v>#REF!</v>
      </c>
      <c r="D86" s="2" t="e">
        <f t="shared" si="6"/>
        <v>#REF!</v>
      </c>
      <c r="E86" s="3" t="e">
        <f t="shared" si="7"/>
        <v>#REF!</v>
      </c>
    </row>
    <row r="87" spans="1:6" x14ac:dyDescent="0.25">
      <c r="B87" s="2" t="e">
        <f>Data!#REF!</f>
        <v>#REF!</v>
      </c>
      <c r="C87" s="2" t="e">
        <f>Data!#REF!</f>
        <v>#REF!</v>
      </c>
      <c r="D87" s="2" t="e">
        <f t="shared" si="6"/>
        <v>#REF!</v>
      </c>
      <c r="E87" s="3" t="e">
        <f t="shared" si="7"/>
        <v>#REF!</v>
      </c>
    </row>
    <row r="88" spans="1:6" x14ac:dyDescent="0.25">
      <c r="A88" t="e">
        <f>'30N2'!A88</f>
        <v>#REF!</v>
      </c>
      <c r="B88" s="2" t="e">
        <f>Data!#REF!</f>
        <v>#REF!</v>
      </c>
      <c r="C88" s="2" t="e">
        <f>Data!#REF!</f>
        <v>#REF!</v>
      </c>
      <c r="D88" s="2" t="e">
        <f t="shared" si="6"/>
        <v>#REF!</v>
      </c>
      <c r="E88" s="3" t="e">
        <f t="shared" si="7"/>
        <v>#REF!</v>
      </c>
      <c r="F88" s="3" t="e">
        <f>AVERAGE(E88:E90)</f>
        <v>#REF!</v>
      </c>
    </row>
    <row r="89" spans="1:6" x14ac:dyDescent="0.25">
      <c r="B89" s="2" t="e">
        <f>Data!#REF!</f>
        <v>#REF!</v>
      </c>
      <c r="C89" s="2" t="e">
        <f>Data!#REF!</f>
        <v>#REF!</v>
      </c>
      <c r="D89" s="2" t="e">
        <f t="shared" si="6"/>
        <v>#REF!</v>
      </c>
      <c r="E89" s="3" t="e">
        <f t="shared" si="7"/>
        <v>#REF!</v>
      </c>
    </row>
    <row r="90" spans="1:6" x14ac:dyDescent="0.25">
      <c r="B90" s="2" t="e">
        <f>Data!#REF!</f>
        <v>#REF!</v>
      </c>
      <c r="C90" s="2" t="e">
        <f>Data!#REF!</f>
        <v>#REF!</v>
      </c>
      <c r="D90" s="2" t="e">
        <f t="shared" si="6"/>
        <v>#REF!</v>
      </c>
      <c r="E90" s="3" t="e">
        <f t="shared" si="7"/>
        <v>#REF!</v>
      </c>
    </row>
    <row r="91" spans="1:6" x14ac:dyDescent="0.25">
      <c r="A91" t="e">
        <f>'30N2'!A91</f>
        <v>#REF!</v>
      </c>
      <c r="B91" s="2" t="e">
        <f>Data!#REF!</f>
        <v>#REF!</v>
      </c>
      <c r="C91" s="2" t="e">
        <f>Data!#REF!</f>
        <v>#REF!</v>
      </c>
      <c r="D91" s="2" t="e">
        <f t="shared" ref="D91:D102" si="8">C91-(B91*H$22+H$21)</f>
        <v>#REF!</v>
      </c>
      <c r="E91" s="3" t="e">
        <f t="shared" ref="E91:E102" si="9">A$1*D91/A$2</f>
        <v>#REF!</v>
      </c>
      <c r="F91" s="3" t="e">
        <f>AVERAGE(E91:E93)</f>
        <v>#REF!</v>
      </c>
    </row>
    <row r="92" spans="1:6" x14ac:dyDescent="0.25">
      <c r="B92" s="2" t="e">
        <f>Data!#REF!</f>
        <v>#REF!</v>
      </c>
      <c r="C92" s="2" t="e">
        <f>Data!#REF!</f>
        <v>#REF!</v>
      </c>
      <c r="D92" s="2" t="e">
        <f t="shared" si="8"/>
        <v>#REF!</v>
      </c>
      <c r="E92" s="3" t="e">
        <f t="shared" si="9"/>
        <v>#REF!</v>
      </c>
    </row>
    <row r="93" spans="1:6" x14ac:dyDescent="0.25">
      <c r="B93" s="2" t="e">
        <f>Data!#REF!</f>
        <v>#REF!</v>
      </c>
      <c r="C93" s="2" t="e">
        <f>Data!#REF!</f>
        <v>#REF!</v>
      </c>
      <c r="D93" s="2" t="e">
        <f t="shared" si="8"/>
        <v>#REF!</v>
      </c>
      <c r="E93" s="3" t="e">
        <f t="shared" si="9"/>
        <v>#REF!</v>
      </c>
    </row>
    <row r="94" spans="1:6" x14ac:dyDescent="0.25">
      <c r="A94" t="e">
        <f>'30N2'!A94</f>
        <v>#REF!</v>
      </c>
      <c r="B94" s="2" t="e">
        <f>Data!#REF!</f>
        <v>#REF!</v>
      </c>
      <c r="C94" s="2" t="e">
        <f>Data!#REF!</f>
        <v>#REF!</v>
      </c>
      <c r="D94" s="2" t="e">
        <f t="shared" si="8"/>
        <v>#REF!</v>
      </c>
      <c r="E94" s="3" t="e">
        <f t="shared" si="9"/>
        <v>#REF!</v>
      </c>
      <c r="F94" s="3" t="e">
        <f>AVERAGE(E94:E96)</f>
        <v>#REF!</v>
      </c>
    </row>
    <row r="95" spans="1:6" x14ac:dyDescent="0.25">
      <c r="B95" s="2" t="e">
        <f>Data!#REF!</f>
        <v>#REF!</v>
      </c>
      <c r="C95" s="2" t="e">
        <f>Data!#REF!</f>
        <v>#REF!</v>
      </c>
      <c r="D95" s="2" t="e">
        <f t="shared" si="8"/>
        <v>#REF!</v>
      </c>
      <c r="E95" s="3" t="e">
        <f t="shared" si="9"/>
        <v>#REF!</v>
      </c>
    </row>
    <row r="96" spans="1:6" x14ac:dyDescent="0.25">
      <c r="B96" s="2" t="e">
        <f>Data!#REF!</f>
        <v>#REF!</v>
      </c>
      <c r="C96" s="2" t="e">
        <f>Data!#REF!</f>
        <v>#REF!</v>
      </c>
      <c r="D96" s="2" t="e">
        <f t="shared" si="8"/>
        <v>#REF!</v>
      </c>
      <c r="E96" s="3" t="e">
        <f t="shared" si="9"/>
        <v>#REF!</v>
      </c>
    </row>
    <row r="97" spans="1:6" x14ac:dyDescent="0.25">
      <c r="A97" t="e">
        <f>'30N2'!A97</f>
        <v>#REF!</v>
      </c>
      <c r="B97" s="2" t="e">
        <f>Data!#REF!</f>
        <v>#REF!</v>
      </c>
      <c r="C97" s="2" t="e">
        <f>Data!#REF!</f>
        <v>#REF!</v>
      </c>
      <c r="D97" s="2" t="e">
        <f t="shared" si="8"/>
        <v>#REF!</v>
      </c>
      <c r="E97" s="3" t="e">
        <f t="shared" si="9"/>
        <v>#REF!</v>
      </c>
      <c r="F97" s="3" t="e">
        <f>AVERAGE(E97:E99)</f>
        <v>#REF!</v>
      </c>
    </row>
    <row r="98" spans="1:6" x14ac:dyDescent="0.25">
      <c r="B98" s="2" t="e">
        <f>Data!#REF!</f>
        <v>#REF!</v>
      </c>
      <c r="C98" s="2" t="e">
        <f>Data!#REF!</f>
        <v>#REF!</v>
      </c>
      <c r="D98" s="2" t="e">
        <f t="shared" si="8"/>
        <v>#REF!</v>
      </c>
      <c r="E98" s="3" t="e">
        <f t="shared" si="9"/>
        <v>#REF!</v>
      </c>
    </row>
    <row r="99" spans="1:6" x14ac:dyDescent="0.25">
      <c r="B99" s="2" t="e">
        <f>Data!#REF!</f>
        <v>#REF!</v>
      </c>
      <c r="C99" s="2" t="e">
        <f>Data!#REF!</f>
        <v>#REF!</v>
      </c>
      <c r="D99" s="2" t="e">
        <f t="shared" si="8"/>
        <v>#REF!</v>
      </c>
      <c r="E99" s="3" t="e">
        <f t="shared" si="9"/>
        <v>#REF!</v>
      </c>
    </row>
    <row r="100" spans="1:6" x14ac:dyDescent="0.25">
      <c r="A100" t="e">
        <f>'30N2'!A100</f>
        <v>#REF!</v>
      </c>
      <c r="B100" s="2" t="e">
        <f>Data!#REF!</f>
        <v>#REF!</v>
      </c>
      <c r="C100" s="2" t="e">
        <f>Data!#REF!</f>
        <v>#REF!</v>
      </c>
      <c r="D100" s="2" t="e">
        <f t="shared" si="8"/>
        <v>#REF!</v>
      </c>
      <c r="E100" s="3" t="e">
        <f t="shared" si="9"/>
        <v>#REF!</v>
      </c>
      <c r="F100" s="3" t="e">
        <f>AVERAGE(E100:E102)</f>
        <v>#REF!</v>
      </c>
    </row>
    <row r="101" spans="1:6" x14ac:dyDescent="0.25">
      <c r="B101" s="2" t="e">
        <f>Data!#REF!</f>
        <v>#REF!</v>
      </c>
      <c r="C101" s="2" t="e">
        <f>Data!#REF!</f>
        <v>#REF!</v>
      </c>
      <c r="D101" s="2" t="e">
        <f t="shared" si="8"/>
        <v>#REF!</v>
      </c>
      <c r="E101" s="3" t="e">
        <f t="shared" si="9"/>
        <v>#REF!</v>
      </c>
    </row>
    <row r="102" spans="1:6" x14ac:dyDescent="0.25">
      <c r="B102" s="2" t="e">
        <f>Data!#REF!</f>
        <v>#REF!</v>
      </c>
      <c r="C102" s="2" t="e">
        <f>Data!#REF!</f>
        <v>#REF!</v>
      </c>
      <c r="D102" s="2" t="e">
        <f t="shared" si="8"/>
        <v>#REF!</v>
      </c>
      <c r="E102" s="3" t="e">
        <f t="shared" si="9"/>
        <v>#REF!</v>
      </c>
    </row>
    <row r="103" spans="1:6" x14ac:dyDescent="0.25">
      <c r="A103" t="e">
        <f>'30N2'!A103</f>
        <v>#REF!</v>
      </c>
      <c r="B103" s="2" t="e">
        <f>Data!#REF!</f>
        <v>#REF!</v>
      </c>
      <c r="C103" s="2" t="e">
        <f>Data!#REF!</f>
        <v>#REF!</v>
      </c>
      <c r="D103" s="2" t="e">
        <f t="shared" ref="D103:D114" si="10">C103-(B103*H$22+H$21)</f>
        <v>#REF!</v>
      </c>
      <c r="E103" s="3" t="e">
        <f t="shared" ref="E103:E114" si="11">A$1*D103/A$2</f>
        <v>#REF!</v>
      </c>
      <c r="F103" s="3" t="e">
        <f>AVERAGE(E103:E105)</f>
        <v>#REF!</v>
      </c>
    </row>
    <row r="104" spans="1:6" x14ac:dyDescent="0.25">
      <c r="B104" s="2" t="e">
        <f>Data!#REF!</f>
        <v>#REF!</v>
      </c>
      <c r="C104" s="2" t="e">
        <f>Data!#REF!</f>
        <v>#REF!</v>
      </c>
      <c r="D104" s="2" t="e">
        <f t="shared" si="10"/>
        <v>#REF!</v>
      </c>
      <c r="E104" s="3" t="e">
        <f t="shared" si="11"/>
        <v>#REF!</v>
      </c>
    </row>
    <row r="105" spans="1:6" x14ac:dyDescent="0.25">
      <c r="B105" s="2" t="e">
        <f>Data!#REF!</f>
        <v>#REF!</v>
      </c>
      <c r="C105" s="2" t="e">
        <f>Data!#REF!</f>
        <v>#REF!</v>
      </c>
      <c r="D105" s="2" t="e">
        <f t="shared" si="10"/>
        <v>#REF!</v>
      </c>
      <c r="E105" s="3" t="e">
        <f t="shared" si="11"/>
        <v>#REF!</v>
      </c>
    </row>
    <row r="106" spans="1:6" x14ac:dyDescent="0.25">
      <c r="A106" t="e">
        <f>'30N2'!A106</f>
        <v>#REF!</v>
      </c>
      <c r="B106" s="2" t="e">
        <f>Data!#REF!</f>
        <v>#REF!</v>
      </c>
      <c r="C106" s="2" t="e">
        <f>Data!#REF!</f>
        <v>#REF!</v>
      </c>
      <c r="D106" s="2" t="e">
        <f t="shared" si="10"/>
        <v>#REF!</v>
      </c>
      <c r="E106" s="3" t="e">
        <f t="shared" si="11"/>
        <v>#REF!</v>
      </c>
      <c r="F106" s="3" t="e">
        <f>AVERAGE(E106:E108)</f>
        <v>#REF!</v>
      </c>
    </row>
    <row r="107" spans="1:6" x14ac:dyDescent="0.25">
      <c r="B107" s="2" t="e">
        <f>Data!#REF!</f>
        <v>#REF!</v>
      </c>
      <c r="C107" s="2" t="e">
        <f>Data!#REF!</f>
        <v>#REF!</v>
      </c>
      <c r="D107" s="2" t="e">
        <f t="shared" si="10"/>
        <v>#REF!</v>
      </c>
      <c r="E107" s="3" t="e">
        <f t="shared" si="11"/>
        <v>#REF!</v>
      </c>
    </row>
    <row r="108" spans="1:6" x14ac:dyDescent="0.25">
      <c r="B108" s="2" t="e">
        <f>Data!#REF!</f>
        <v>#REF!</v>
      </c>
      <c r="C108" s="2" t="e">
        <f>Data!#REF!</f>
        <v>#REF!</v>
      </c>
      <c r="D108" s="2" t="e">
        <f t="shared" si="10"/>
        <v>#REF!</v>
      </c>
      <c r="E108" s="3" t="e">
        <f t="shared" si="11"/>
        <v>#REF!</v>
      </c>
    </row>
    <row r="109" spans="1:6" x14ac:dyDescent="0.25">
      <c r="A109" t="e">
        <f>'30N2'!A109</f>
        <v>#REF!</v>
      </c>
      <c r="B109" s="2" t="e">
        <f>Data!#REF!</f>
        <v>#REF!</v>
      </c>
      <c r="C109" s="2" t="e">
        <f>Data!#REF!</f>
        <v>#REF!</v>
      </c>
      <c r="D109" s="2" t="e">
        <f t="shared" si="10"/>
        <v>#REF!</v>
      </c>
      <c r="E109" s="3" t="e">
        <f t="shared" si="11"/>
        <v>#REF!</v>
      </c>
      <c r="F109" s="3" t="e">
        <f>AVERAGE(E109:E111)</f>
        <v>#REF!</v>
      </c>
    </row>
    <row r="110" spans="1:6" x14ac:dyDescent="0.25">
      <c r="B110" s="2" t="e">
        <f>Data!#REF!</f>
        <v>#REF!</v>
      </c>
      <c r="C110" s="2" t="e">
        <f>Data!#REF!</f>
        <v>#REF!</v>
      </c>
      <c r="D110" s="2" t="e">
        <f t="shared" si="10"/>
        <v>#REF!</v>
      </c>
      <c r="E110" s="3" t="e">
        <f t="shared" si="11"/>
        <v>#REF!</v>
      </c>
    </row>
    <row r="111" spans="1:6" x14ac:dyDescent="0.25">
      <c r="B111" s="2" t="e">
        <f>Data!#REF!</f>
        <v>#REF!</v>
      </c>
      <c r="C111" s="2" t="e">
        <f>Data!#REF!</f>
        <v>#REF!</v>
      </c>
      <c r="D111" s="2" t="e">
        <f t="shared" si="10"/>
        <v>#REF!</v>
      </c>
      <c r="E111" s="3" t="e">
        <f t="shared" si="11"/>
        <v>#REF!</v>
      </c>
    </row>
    <row r="112" spans="1:6" x14ac:dyDescent="0.25">
      <c r="A112" t="e">
        <f>'30N2'!A112</f>
        <v>#REF!</v>
      </c>
      <c r="B112" s="2" t="e">
        <f>Data!#REF!</f>
        <v>#REF!</v>
      </c>
      <c r="C112" s="2" t="e">
        <f>Data!#REF!</f>
        <v>#REF!</v>
      </c>
      <c r="D112" s="2" t="e">
        <f t="shared" si="10"/>
        <v>#REF!</v>
      </c>
      <c r="E112" s="3" t="e">
        <f t="shared" si="11"/>
        <v>#REF!</v>
      </c>
      <c r="F112" s="3" t="e">
        <f>AVERAGE(E112:E114)</f>
        <v>#REF!</v>
      </c>
    </row>
    <row r="113" spans="1:6" x14ac:dyDescent="0.25">
      <c r="B113" s="2" t="e">
        <f>Data!#REF!</f>
        <v>#REF!</v>
      </c>
      <c r="C113" s="2" t="e">
        <f>Data!#REF!</f>
        <v>#REF!</v>
      </c>
      <c r="D113" s="2" t="e">
        <f t="shared" si="10"/>
        <v>#REF!</v>
      </c>
      <c r="E113" s="3" t="e">
        <f t="shared" si="11"/>
        <v>#REF!</v>
      </c>
    </row>
    <row r="114" spans="1:6" x14ac:dyDescent="0.25">
      <c r="B114" s="2" t="e">
        <f>Data!#REF!</f>
        <v>#REF!</v>
      </c>
      <c r="C114" s="2" t="e">
        <f>Data!#REF!</f>
        <v>#REF!</v>
      </c>
      <c r="D114" s="2" t="e">
        <f t="shared" si="10"/>
        <v>#REF!</v>
      </c>
      <c r="E114" s="3" t="e">
        <f t="shared" si="11"/>
        <v>#REF!</v>
      </c>
    </row>
    <row r="115" spans="1:6" x14ac:dyDescent="0.25">
      <c r="A115" t="e">
        <f>'30N2'!A115</f>
        <v>#REF!</v>
      </c>
      <c r="B115" s="2" t="e">
        <f>Data!#REF!</f>
        <v>#REF!</v>
      </c>
      <c r="C115" s="2" t="e">
        <f>Data!#REF!</f>
        <v>#REF!</v>
      </c>
      <c r="D115" s="2" t="e">
        <f t="shared" ref="D115:D132" si="12">C115-(B115*H$22+H$21)</f>
        <v>#REF!</v>
      </c>
      <c r="E115" s="3" t="e">
        <f t="shared" ref="E115:E132" si="13">A$1*D115/A$2</f>
        <v>#REF!</v>
      </c>
      <c r="F115" s="3" t="e">
        <f>AVERAGE(E115:E117)</f>
        <v>#REF!</v>
      </c>
    </row>
    <row r="116" spans="1:6" x14ac:dyDescent="0.25">
      <c r="B116" s="2" t="e">
        <f>Data!#REF!</f>
        <v>#REF!</v>
      </c>
      <c r="C116" s="2" t="e">
        <f>Data!#REF!</f>
        <v>#REF!</v>
      </c>
      <c r="D116" s="2" t="e">
        <f t="shared" si="12"/>
        <v>#REF!</v>
      </c>
      <c r="E116" s="3" t="e">
        <f t="shared" si="13"/>
        <v>#REF!</v>
      </c>
    </row>
    <row r="117" spans="1:6" x14ac:dyDescent="0.25">
      <c r="B117" s="2" t="e">
        <f>Data!#REF!</f>
        <v>#REF!</v>
      </c>
      <c r="C117" s="2" t="e">
        <f>Data!#REF!</f>
        <v>#REF!</v>
      </c>
      <c r="D117" s="2" t="e">
        <f t="shared" si="12"/>
        <v>#REF!</v>
      </c>
      <c r="E117" s="3" t="e">
        <f t="shared" si="13"/>
        <v>#REF!</v>
      </c>
    </row>
    <row r="118" spans="1:6" x14ac:dyDescent="0.25">
      <c r="A118" t="e">
        <f>'30N2'!A118</f>
        <v>#REF!</v>
      </c>
      <c r="B118" s="2" t="e">
        <f>Data!#REF!</f>
        <v>#REF!</v>
      </c>
      <c r="C118" s="2" t="e">
        <f>Data!#REF!</f>
        <v>#REF!</v>
      </c>
      <c r="D118" s="2" t="e">
        <f t="shared" si="12"/>
        <v>#REF!</v>
      </c>
      <c r="E118" s="3" t="e">
        <f t="shared" si="13"/>
        <v>#REF!</v>
      </c>
      <c r="F118" s="3" t="e">
        <f>AVERAGE(E118:E120)</f>
        <v>#REF!</v>
      </c>
    </row>
    <row r="119" spans="1:6" x14ac:dyDescent="0.25">
      <c r="B119" s="2" t="e">
        <f>Data!#REF!</f>
        <v>#REF!</v>
      </c>
      <c r="C119" s="2" t="e">
        <f>Data!#REF!</f>
        <v>#REF!</v>
      </c>
      <c r="D119" s="2" t="e">
        <f t="shared" si="12"/>
        <v>#REF!</v>
      </c>
      <c r="E119" s="3" t="e">
        <f t="shared" si="13"/>
        <v>#REF!</v>
      </c>
    </row>
    <row r="120" spans="1:6" x14ac:dyDescent="0.25">
      <c r="B120" s="2" t="e">
        <f>Data!#REF!</f>
        <v>#REF!</v>
      </c>
      <c r="C120" s="2" t="e">
        <f>Data!#REF!</f>
        <v>#REF!</v>
      </c>
      <c r="D120" s="2" t="e">
        <f t="shared" si="12"/>
        <v>#REF!</v>
      </c>
      <c r="E120" s="3" t="e">
        <f t="shared" si="13"/>
        <v>#REF!</v>
      </c>
    </row>
    <row r="121" spans="1:6" x14ac:dyDescent="0.25">
      <c r="A121" t="e">
        <f>'30N2'!A121</f>
        <v>#REF!</v>
      </c>
      <c r="B121" s="2" t="e">
        <f>Data!#REF!</f>
        <v>#REF!</v>
      </c>
      <c r="C121" s="2" t="e">
        <f>Data!#REF!</f>
        <v>#REF!</v>
      </c>
      <c r="D121" s="2" t="e">
        <f t="shared" si="12"/>
        <v>#REF!</v>
      </c>
      <c r="E121" s="3" t="e">
        <f t="shared" si="13"/>
        <v>#REF!</v>
      </c>
      <c r="F121" s="3" t="e">
        <f>AVERAGE(E121:E123)</f>
        <v>#REF!</v>
      </c>
    </row>
    <row r="122" spans="1:6" x14ac:dyDescent="0.25">
      <c r="B122" s="2" t="e">
        <f>Data!#REF!</f>
        <v>#REF!</v>
      </c>
      <c r="C122" s="2" t="e">
        <f>Data!#REF!</f>
        <v>#REF!</v>
      </c>
      <c r="D122" s="2" t="e">
        <f t="shared" si="12"/>
        <v>#REF!</v>
      </c>
      <c r="E122" s="3" t="e">
        <f t="shared" si="13"/>
        <v>#REF!</v>
      </c>
    </row>
    <row r="123" spans="1:6" x14ac:dyDescent="0.25">
      <c r="B123" s="2" t="e">
        <f>Data!#REF!</f>
        <v>#REF!</v>
      </c>
      <c r="C123" s="2" t="e">
        <f>Data!#REF!</f>
        <v>#REF!</v>
      </c>
      <c r="D123" s="2" t="e">
        <f t="shared" si="12"/>
        <v>#REF!</v>
      </c>
      <c r="E123" s="3" t="e">
        <f t="shared" si="13"/>
        <v>#REF!</v>
      </c>
    </row>
    <row r="124" spans="1:6" x14ac:dyDescent="0.25">
      <c r="A124" t="e">
        <f>'30N2'!A124</f>
        <v>#REF!</v>
      </c>
      <c r="B124" s="2" t="e">
        <f>Data!#REF!</f>
        <v>#REF!</v>
      </c>
      <c r="C124" s="2" t="e">
        <f>Data!#REF!</f>
        <v>#REF!</v>
      </c>
      <c r="D124" s="2" t="e">
        <f t="shared" si="12"/>
        <v>#REF!</v>
      </c>
      <c r="E124" s="3" t="e">
        <f t="shared" si="13"/>
        <v>#REF!</v>
      </c>
      <c r="F124" s="3" t="e">
        <f>AVERAGE(E124:E126)</f>
        <v>#REF!</v>
      </c>
    </row>
    <row r="125" spans="1:6" x14ac:dyDescent="0.25">
      <c r="B125" s="2" t="e">
        <f>Data!#REF!</f>
        <v>#REF!</v>
      </c>
      <c r="C125" s="2" t="e">
        <f>Data!#REF!</f>
        <v>#REF!</v>
      </c>
      <c r="D125" s="2" t="e">
        <f t="shared" si="12"/>
        <v>#REF!</v>
      </c>
      <c r="E125" s="3" t="e">
        <f t="shared" si="13"/>
        <v>#REF!</v>
      </c>
    </row>
    <row r="126" spans="1:6" x14ac:dyDescent="0.25">
      <c r="B126" s="2" t="e">
        <f>Data!#REF!</f>
        <v>#REF!</v>
      </c>
      <c r="C126" s="2" t="e">
        <f>Data!#REF!</f>
        <v>#REF!</v>
      </c>
      <c r="D126" s="2" t="e">
        <f t="shared" si="12"/>
        <v>#REF!</v>
      </c>
      <c r="E126" s="3" t="e">
        <f t="shared" si="13"/>
        <v>#REF!</v>
      </c>
    </row>
    <row r="127" spans="1:6" x14ac:dyDescent="0.25">
      <c r="A127" t="e">
        <f>'30N2'!A127</f>
        <v>#REF!</v>
      </c>
      <c r="B127" s="2" t="e">
        <f>Data!#REF!</f>
        <v>#REF!</v>
      </c>
      <c r="C127" s="2" t="e">
        <f>Data!#REF!</f>
        <v>#REF!</v>
      </c>
      <c r="D127" s="2" t="e">
        <f t="shared" si="12"/>
        <v>#REF!</v>
      </c>
      <c r="E127" s="3" t="e">
        <f t="shared" si="13"/>
        <v>#REF!</v>
      </c>
      <c r="F127" s="3" t="e">
        <f>AVERAGE(E127:E129)</f>
        <v>#REF!</v>
      </c>
    </row>
    <row r="128" spans="1:6" x14ac:dyDescent="0.25">
      <c r="B128" s="2" t="e">
        <f>Data!#REF!</f>
        <v>#REF!</v>
      </c>
      <c r="C128" s="2" t="e">
        <f>Data!#REF!</f>
        <v>#REF!</v>
      </c>
      <c r="D128" s="2" t="e">
        <f t="shared" si="12"/>
        <v>#REF!</v>
      </c>
      <c r="E128" s="3" t="e">
        <f t="shared" si="13"/>
        <v>#REF!</v>
      </c>
    </row>
    <row r="129" spans="1:6" x14ac:dyDescent="0.25">
      <c r="B129" s="2" t="e">
        <f>Data!#REF!</f>
        <v>#REF!</v>
      </c>
      <c r="C129" s="2" t="e">
        <f>Data!#REF!</f>
        <v>#REF!</v>
      </c>
      <c r="D129" s="2" t="e">
        <f t="shared" si="12"/>
        <v>#REF!</v>
      </c>
      <c r="E129" s="3" t="e">
        <f t="shared" si="13"/>
        <v>#REF!</v>
      </c>
    </row>
    <row r="130" spans="1:6" x14ac:dyDescent="0.25">
      <c r="A130" t="e">
        <f>'30N2'!A130</f>
        <v>#REF!</v>
      </c>
      <c r="B130" s="2" t="e">
        <f>Data!#REF!</f>
        <v>#REF!</v>
      </c>
      <c r="C130" s="2" t="e">
        <f>Data!#REF!</f>
        <v>#REF!</v>
      </c>
      <c r="D130" s="2" t="e">
        <f t="shared" si="12"/>
        <v>#REF!</v>
      </c>
      <c r="E130" s="3" t="e">
        <f t="shared" si="13"/>
        <v>#REF!</v>
      </c>
      <c r="F130" s="3" t="e">
        <f>AVERAGE(E130:E132)</f>
        <v>#REF!</v>
      </c>
    </row>
    <row r="131" spans="1:6" x14ac:dyDescent="0.25">
      <c r="B131" s="2" t="e">
        <f>Data!#REF!</f>
        <v>#REF!</v>
      </c>
      <c r="C131" s="2" t="e">
        <f>Data!#REF!</f>
        <v>#REF!</v>
      </c>
      <c r="D131" s="2" t="e">
        <f t="shared" si="12"/>
        <v>#REF!</v>
      </c>
      <c r="E131" s="3" t="e">
        <f t="shared" si="13"/>
        <v>#REF!</v>
      </c>
    </row>
    <row r="132" spans="1:6" x14ac:dyDescent="0.25">
      <c r="B132" s="2" t="e">
        <f>Data!#REF!</f>
        <v>#REF!</v>
      </c>
      <c r="C132" s="2" t="e">
        <f>Data!#REF!</f>
        <v>#REF!</v>
      </c>
      <c r="D132" s="2" t="e">
        <f t="shared" si="12"/>
        <v>#REF!</v>
      </c>
      <c r="E132" s="3" t="e">
        <f t="shared" si="13"/>
        <v>#REF!</v>
      </c>
    </row>
    <row r="133" spans="1:6" x14ac:dyDescent="0.25">
      <c r="A133" t="e">
        <f>'30N2'!A133</f>
        <v>#REF!</v>
      </c>
      <c r="B133" s="2" t="e">
        <f>Data!#REF!</f>
        <v>#REF!</v>
      </c>
      <c r="C133" s="2" t="e">
        <f>Data!#REF!</f>
        <v>#REF!</v>
      </c>
      <c r="D133" s="2" t="e">
        <f t="shared" ref="D133:D174" si="14">C133-(B133*H$22+H$21)</f>
        <v>#REF!</v>
      </c>
      <c r="E133" s="3" t="e">
        <f t="shared" ref="E133:E174" si="15">A$1*D133/A$2</f>
        <v>#REF!</v>
      </c>
      <c r="F133" s="3" t="e">
        <f>AVERAGE(E133:E135)</f>
        <v>#REF!</v>
      </c>
    </row>
    <row r="134" spans="1:6" x14ac:dyDescent="0.25">
      <c r="B134" s="2" t="e">
        <f>Data!#REF!</f>
        <v>#REF!</v>
      </c>
      <c r="C134" s="2" t="e">
        <f>Data!#REF!</f>
        <v>#REF!</v>
      </c>
      <c r="D134" s="2" t="e">
        <f t="shared" si="14"/>
        <v>#REF!</v>
      </c>
      <c r="E134" s="3" t="e">
        <f t="shared" si="15"/>
        <v>#REF!</v>
      </c>
    </row>
    <row r="135" spans="1:6" x14ac:dyDescent="0.25">
      <c r="B135" s="2" t="e">
        <f>Data!#REF!</f>
        <v>#REF!</v>
      </c>
      <c r="C135" s="2" t="e">
        <f>Data!#REF!</f>
        <v>#REF!</v>
      </c>
      <c r="D135" s="2" t="e">
        <f t="shared" si="14"/>
        <v>#REF!</v>
      </c>
      <c r="E135" s="3" t="e">
        <f t="shared" si="15"/>
        <v>#REF!</v>
      </c>
    </row>
    <row r="136" spans="1:6" x14ac:dyDescent="0.25">
      <c r="A136" t="e">
        <f>'30N2'!A136</f>
        <v>#REF!</v>
      </c>
      <c r="B136" s="2" t="e">
        <f>Data!#REF!</f>
        <v>#REF!</v>
      </c>
      <c r="C136" s="2" t="e">
        <f>Data!#REF!</f>
        <v>#REF!</v>
      </c>
      <c r="D136" s="2" t="e">
        <f t="shared" si="14"/>
        <v>#REF!</v>
      </c>
      <c r="E136" s="3" t="e">
        <f t="shared" si="15"/>
        <v>#REF!</v>
      </c>
      <c r="F136" s="3" t="e">
        <f>AVERAGE(E136:E138)</f>
        <v>#REF!</v>
      </c>
    </row>
    <row r="137" spans="1:6" x14ac:dyDescent="0.25">
      <c r="B137" s="2" t="e">
        <f>Data!#REF!</f>
        <v>#REF!</v>
      </c>
      <c r="C137" s="2" t="e">
        <f>Data!#REF!</f>
        <v>#REF!</v>
      </c>
      <c r="D137" s="2" t="e">
        <f t="shared" si="14"/>
        <v>#REF!</v>
      </c>
      <c r="E137" s="3" t="e">
        <f t="shared" si="15"/>
        <v>#REF!</v>
      </c>
    </row>
    <row r="138" spans="1:6" x14ac:dyDescent="0.25">
      <c r="B138" s="2" t="e">
        <f>Data!#REF!</f>
        <v>#REF!</v>
      </c>
      <c r="C138" s="2" t="e">
        <f>Data!#REF!</f>
        <v>#REF!</v>
      </c>
      <c r="D138" s="2" t="e">
        <f t="shared" si="14"/>
        <v>#REF!</v>
      </c>
      <c r="E138" s="3" t="e">
        <f t="shared" si="15"/>
        <v>#REF!</v>
      </c>
    </row>
    <row r="139" spans="1:6" x14ac:dyDescent="0.25">
      <c r="A139" t="e">
        <f>'30N2'!A139</f>
        <v>#REF!</v>
      </c>
      <c r="B139" s="2" t="e">
        <f>Data!#REF!</f>
        <v>#REF!</v>
      </c>
      <c r="C139" s="2" t="e">
        <f>Data!#REF!</f>
        <v>#REF!</v>
      </c>
      <c r="D139" s="2" t="e">
        <f t="shared" si="14"/>
        <v>#REF!</v>
      </c>
      <c r="E139" s="3" t="e">
        <f t="shared" si="15"/>
        <v>#REF!</v>
      </c>
      <c r="F139" s="3" t="e">
        <f>AVERAGE(E139:E141)</f>
        <v>#REF!</v>
      </c>
    </row>
    <row r="140" spans="1:6" x14ac:dyDescent="0.25">
      <c r="B140" s="2" t="e">
        <f>Data!#REF!</f>
        <v>#REF!</v>
      </c>
      <c r="C140" s="2" t="e">
        <f>Data!#REF!</f>
        <v>#REF!</v>
      </c>
      <c r="D140" s="2" t="e">
        <f t="shared" si="14"/>
        <v>#REF!</v>
      </c>
      <c r="E140" s="3" t="e">
        <f t="shared" si="15"/>
        <v>#REF!</v>
      </c>
    </row>
    <row r="141" spans="1:6" x14ac:dyDescent="0.25">
      <c r="B141" s="2" t="e">
        <f>Data!#REF!</f>
        <v>#REF!</v>
      </c>
      <c r="C141" s="2" t="e">
        <f>Data!#REF!</f>
        <v>#REF!</v>
      </c>
      <c r="D141" s="2" t="e">
        <f t="shared" si="14"/>
        <v>#REF!</v>
      </c>
      <c r="E141" s="3" t="e">
        <f t="shared" si="15"/>
        <v>#REF!</v>
      </c>
    </row>
    <row r="142" spans="1:6" x14ac:dyDescent="0.25">
      <c r="A142" t="e">
        <f>'30N2'!A142</f>
        <v>#REF!</v>
      </c>
      <c r="B142" s="2" t="e">
        <f>Data!#REF!</f>
        <v>#REF!</v>
      </c>
      <c r="C142" s="2" t="e">
        <f>Data!#REF!</f>
        <v>#REF!</v>
      </c>
      <c r="D142" s="2" t="e">
        <f t="shared" si="14"/>
        <v>#REF!</v>
      </c>
      <c r="E142" s="3" t="e">
        <f t="shared" si="15"/>
        <v>#REF!</v>
      </c>
      <c r="F142" s="3" t="e">
        <f>AVERAGE(E142:E144)</f>
        <v>#REF!</v>
      </c>
    </row>
    <row r="143" spans="1:6" x14ac:dyDescent="0.25">
      <c r="B143" s="2" t="e">
        <f>Data!#REF!</f>
        <v>#REF!</v>
      </c>
      <c r="C143" s="2" t="e">
        <f>Data!#REF!</f>
        <v>#REF!</v>
      </c>
      <c r="D143" s="2" t="e">
        <f t="shared" si="14"/>
        <v>#REF!</v>
      </c>
      <c r="E143" s="3" t="e">
        <f t="shared" si="15"/>
        <v>#REF!</v>
      </c>
    </row>
    <row r="144" spans="1:6" x14ac:dyDescent="0.25">
      <c r="B144" s="2" t="e">
        <f>Data!#REF!</f>
        <v>#REF!</v>
      </c>
      <c r="C144" s="2" t="e">
        <f>Data!#REF!</f>
        <v>#REF!</v>
      </c>
      <c r="D144" s="2" t="e">
        <f t="shared" si="14"/>
        <v>#REF!</v>
      </c>
      <c r="E144" s="3" t="e">
        <f t="shared" si="15"/>
        <v>#REF!</v>
      </c>
    </row>
    <row r="145" spans="1:6" x14ac:dyDescent="0.25">
      <c r="A145" t="e">
        <f>'30N2'!A145</f>
        <v>#REF!</v>
      </c>
      <c r="B145" s="2" t="e">
        <f>Data!#REF!</f>
        <v>#REF!</v>
      </c>
      <c r="C145" s="2" t="e">
        <f>Data!#REF!</f>
        <v>#REF!</v>
      </c>
      <c r="D145" s="2" t="e">
        <f t="shared" si="14"/>
        <v>#REF!</v>
      </c>
      <c r="E145" s="3" t="e">
        <f t="shared" si="15"/>
        <v>#REF!</v>
      </c>
      <c r="F145" s="3" t="e">
        <f>AVERAGE(E145:E147)</f>
        <v>#REF!</v>
      </c>
    </row>
    <row r="146" spans="1:6" x14ac:dyDescent="0.25">
      <c r="B146" s="2" t="e">
        <f>Data!#REF!</f>
        <v>#REF!</v>
      </c>
      <c r="C146" s="2" t="e">
        <f>Data!#REF!</f>
        <v>#REF!</v>
      </c>
      <c r="D146" s="2" t="e">
        <f t="shared" si="14"/>
        <v>#REF!</v>
      </c>
      <c r="E146" s="3" t="e">
        <f t="shared" si="15"/>
        <v>#REF!</v>
      </c>
    </row>
    <row r="147" spans="1:6" x14ac:dyDescent="0.25">
      <c r="B147" s="2" t="e">
        <f>Data!#REF!</f>
        <v>#REF!</v>
      </c>
      <c r="C147" s="2" t="e">
        <f>Data!#REF!</f>
        <v>#REF!</v>
      </c>
      <c r="D147" s="2" t="e">
        <f t="shared" si="14"/>
        <v>#REF!</v>
      </c>
      <c r="E147" s="3" t="e">
        <f t="shared" si="15"/>
        <v>#REF!</v>
      </c>
    </row>
    <row r="148" spans="1:6" x14ac:dyDescent="0.25">
      <c r="A148" t="e">
        <f>'30N2'!A148</f>
        <v>#REF!</v>
      </c>
      <c r="B148" s="2" t="e">
        <f>Data!#REF!</f>
        <v>#REF!</v>
      </c>
      <c r="C148" s="2" t="e">
        <f>Data!#REF!</f>
        <v>#REF!</v>
      </c>
      <c r="D148" s="2" t="e">
        <f t="shared" si="14"/>
        <v>#REF!</v>
      </c>
      <c r="E148" s="3" t="e">
        <f t="shared" si="15"/>
        <v>#REF!</v>
      </c>
      <c r="F148" s="3" t="e">
        <f>AVERAGE(E148:E150)</f>
        <v>#REF!</v>
      </c>
    </row>
    <row r="149" spans="1:6" x14ac:dyDescent="0.25">
      <c r="B149" s="2" t="e">
        <f>Data!#REF!</f>
        <v>#REF!</v>
      </c>
      <c r="C149" s="2" t="e">
        <f>Data!#REF!</f>
        <v>#REF!</v>
      </c>
      <c r="D149" s="2" t="e">
        <f t="shared" si="14"/>
        <v>#REF!</v>
      </c>
      <c r="E149" s="3" t="e">
        <f t="shared" si="15"/>
        <v>#REF!</v>
      </c>
    </row>
    <row r="150" spans="1:6" x14ac:dyDescent="0.25">
      <c r="B150" s="2" t="e">
        <f>Data!#REF!</f>
        <v>#REF!</v>
      </c>
      <c r="C150" s="2" t="e">
        <f>Data!#REF!</f>
        <v>#REF!</v>
      </c>
      <c r="D150" s="2" t="e">
        <f t="shared" si="14"/>
        <v>#REF!</v>
      </c>
      <c r="E150" s="3" t="e">
        <f t="shared" si="15"/>
        <v>#REF!</v>
      </c>
    </row>
    <row r="151" spans="1:6" x14ac:dyDescent="0.25">
      <c r="A151" t="e">
        <f>'30N2'!A151</f>
        <v>#REF!</v>
      </c>
      <c r="B151" s="2" t="e">
        <f>Data!#REF!</f>
        <v>#REF!</v>
      </c>
      <c r="C151" s="2" t="e">
        <f>Data!#REF!</f>
        <v>#REF!</v>
      </c>
      <c r="D151" s="2" t="e">
        <f t="shared" si="14"/>
        <v>#REF!</v>
      </c>
      <c r="E151" s="3" t="e">
        <f t="shared" si="15"/>
        <v>#REF!</v>
      </c>
      <c r="F151" s="3" t="e">
        <f>AVERAGE(E151:E153)</f>
        <v>#REF!</v>
      </c>
    </row>
    <row r="152" spans="1:6" x14ac:dyDescent="0.25">
      <c r="B152" s="2" t="e">
        <f>Data!#REF!</f>
        <v>#REF!</v>
      </c>
      <c r="C152" s="2" t="e">
        <f>Data!#REF!</f>
        <v>#REF!</v>
      </c>
      <c r="D152" s="2" t="e">
        <f t="shared" si="14"/>
        <v>#REF!</v>
      </c>
      <c r="E152" s="3" t="e">
        <f t="shared" si="15"/>
        <v>#REF!</v>
      </c>
    </row>
    <row r="153" spans="1:6" x14ac:dyDescent="0.25">
      <c r="B153" s="2" t="e">
        <f>Data!#REF!</f>
        <v>#REF!</v>
      </c>
      <c r="C153" s="2" t="e">
        <f>Data!#REF!</f>
        <v>#REF!</v>
      </c>
      <c r="D153" s="2" t="e">
        <f t="shared" si="14"/>
        <v>#REF!</v>
      </c>
      <c r="E153" s="3" t="e">
        <f t="shared" si="15"/>
        <v>#REF!</v>
      </c>
    </row>
    <row r="154" spans="1:6" x14ac:dyDescent="0.25">
      <c r="A154" t="e">
        <f>'30N2'!A154</f>
        <v>#REF!</v>
      </c>
      <c r="B154" s="2" t="e">
        <f>Data!#REF!</f>
        <v>#REF!</v>
      </c>
      <c r="C154" s="2" t="e">
        <f>Data!#REF!</f>
        <v>#REF!</v>
      </c>
      <c r="D154" s="2" t="e">
        <f t="shared" si="14"/>
        <v>#REF!</v>
      </c>
      <c r="E154" s="3" t="e">
        <f t="shared" si="15"/>
        <v>#REF!</v>
      </c>
      <c r="F154" s="3" t="e">
        <f>AVERAGE(E154:E156)</f>
        <v>#REF!</v>
      </c>
    </row>
    <row r="155" spans="1:6" x14ac:dyDescent="0.25">
      <c r="B155" s="2" t="e">
        <f>Data!#REF!</f>
        <v>#REF!</v>
      </c>
      <c r="C155" s="2" t="e">
        <f>Data!#REF!</f>
        <v>#REF!</v>
      </c>
      <c r="D155" s="2" t="e">
        <f t="shared" si="14"/>
        <v>#REF!</v>
      </c>
      <c r="E155" s="3" t="e">
        <f t="shared" si="15"/>
        <v>#REF!</v>
      </c>
    </row>
    <row r="156" spans="1:6" x14ac:dyDescent="0.25">
      <c r="B156" s="2" t="e">
        <f>Data!#REF!</f>
        <v>#REF!</v>
      </c>
      <c r="C156" s="2" t="e">
        <f>Data!#REF!</f>
        <v>#REF!</v>
      </c>
      <c r="D156" s="2" t="e">
        <f t="shared" si="14"/>
        <v>#REF!</v>
      </c>
      <c r="E156" s="3" t="e">
        <f t="shared" si="15"/>
        <v>#REF!</v>
      </c>
    </row>
    <row r="157" spans="1:6" x14ac:dyDescent="0.25">
      <c r="A157" t="e">
        <f>'30N2'!A157</f>
        <v>#REF!</v>
      </c>
      <c r="B157" s="2" t="e">
        <f>Data!#REF!</f>
        <v>#REF!</v>
      </c>
      <c r="C157" s="2" t="e">
        <f>Data!#REF!</f>
        <v>#REF!</v>
      </c>
      <c r="D157" s="2" t="e">
        <f t="shared" ref="D157:D162" si="16">C157-(B157*H$22+H$21)</f>
        <v>#REF!</v>
      </c>
      <c r="E157" s="3" t="e">
        <f t="shared" ref="E157:E162" si="17">A$1*D157/A$2</f>
        <v>#REF!</v>
      </c>
      <c r="F157" s="3" t="e">
        <f>AVERAGE(E157:E159)</f>
        <v>#REF!</v>
      </c>
    </row>
    <row r="158" spans="1:6" x14ac:dyDescent="0.25">
      <c r="B158" s="2" t="e">
        <f>Data!#REF!</f>
        <v>#REF!</v>
      </c>
      <c r="C158" s="2" t="e">
        <f>Data!#REF!</f>
        <v>#REF!</v>
      </c>
      <c r="D158" s="2" t="e">
        <f t="shared" si="16"/>
        <v>#REF!</v>
      </c>
      <c r="E158" s="3" t="e">
        <f t="shared" si="17"/>
        <v>#REF!</v>
      </c>
    </row>
    <row r="159" spans="1:6" x14ac:dyDescent="0.25">
      <c r="B159" s="2" t="e">
        <f>Data!#REF!</f>
        <v>#REF!</v>
      </c>
      <c r="C159" s="2" t="e">
        <f>Data!#REF!</f>
        <v>#REF!</v>
      </c>
      <c r="D159" s="2" t="e">
        <f t="shared" si="16"/>
        <v>#REF!</v>
      </c>
      <c r="E159" s="3" t="e">
        <f t="shared" si="17"/>
        <v>#REF!</v>
      </c>
    </row>
    <row r="160" spans="1:6" x14ac:dyDescent="0.25">
      <c r="A160" t="e">
        <f>'30N2'!A160</f>
        <v>#REF!</v>
      </c>
      <c r="B160" s="2" t="e">
        <f>Data!#REF!</f>
        <v>#REF!</v>
      </c>
      <c r="C160" s="2" t="e">
        <f>Data!#REF!</f>
        <v>#REF!</v>
      </c>
      <c r="D160" s="2" t="e">
        <f t="shared" si="16"/>
        <v>#REF!</v>
      </c>
      <c r="E160" s="3" t="e">
        <f t="shared" si="17"/>
        <v>#REF!</v>
      </c>
      <c r="F160" s="3" t="e">
        <f>AVERAGE(E160:E162)</f>
        <v>#REF!</v>
      </c>
    </row>
    <row r="161" spans="1:6" x14ac:dyDescent="0.25">
      <c r="B161" s="2" t="e">
        <f>Data!#REF!</f>
        <v>#REF!</v>
      </c>
      <c r="C161" s="2" t="e">
        <f>Data!#REF!</f>
        <v>#REF!</v>
      </c>
      <c r="D161" s="2" t="e">
        <f t="shared" si="16"/>
        <v>#REF!</v>
      </c>
      <c r="E161" s="3" t="e">
        <f t="shared" si="17"/>
        <v>#REF!</v>
      </c>
    </row>
    <row r="162" spans="1:6" x14ac:dyDescent="0.25">
      <c r="B162" s="2" t="e">
        <f>Data!#REF!</f>
        <v>#REF!</v>
      </c>
      <c r="C162" s="2" t="e">
        <f>Data!#REF!</f>
        <v>#REF!</v>
      </c>
      <c r="D162" s="2" t="e">
        <f t="shared" si="16"/>
        <v>#REF!</v>
      </c>
      <c r="E162" s="3" t="e">
        <f t="shared" si="17"/>
        <v>#REF!</v>
      </c>
    </row>
    <row r="163" spans="1:6" x14ac:dyDescent="0.25">
      <c r="A163" t="e">
        <f>'30N2'!A163</f>
        <v>#REF!</v>
      </c>
      <c r="B163" s="2" t="e">
        <f>Data!#REF!</f>
        <v>#REF!</v>
      </c>
      <c r="C163" s="2" t="e">
        <f>Data!#REF!</f>
        <v>#REF!</v>
      </c>
      <c r="D163" s="2" t="e">
        <f t="shared" si="14"/>
        <v>#REF!</v>
      </c>
      <c r="E163" s="3" t="e">
        <f t="shared" si="15"/>
        <v>#REF!</v>
      </c>
      <c r="F163" s="3" t="e">
        <f>AVERAGE(E163:E165)</f>
        <v>#REF!</v>
      </c>
    </row>
    <row r="164" spans="1:6" x14ac:dyDescent="0.25">
      <c r="B164" s="2" t="e">
        <f>Data!#REF!</f>
        <v>#REF!</v>
      </c>
      <c r="C164" s="2" t="e">
        <f>Data!#REF!</f>
        <v>#REF!</v>
      </c>
      <c r="D164" s="2" t="e">
        <f t="shared" si="14"/>
        <v>#REF!</v>
      </c>
      <c r="E164" s="3" t="e">
        <f t="shared" si="15"/>
        <v>#REF!</v>
      </c>
    </row>
    <row r="165" spans="1:6" x14ac:dyDescent="0.25">
      <c r="B165" s="2" t="e">
        <f>Data!#REF!</f>
        <v>#REF!</v>
      </c>
      <c r="C165" s="2" t="e">
        <f>Data!#REF!</f>
        <v>#REF!</v>
      </c>
      <c r="D165" s="2" t="e">
        <f t="shared" si="14"/>
        <v>#REF!</v>
      </c>
      <c r="E165" s="3" t="e">
        <f t="shared" si="15"/>
        <v>#REF!</v>
      </c>
    </row>
    <row r="166" spans="1:6" x14ac:dyDescent="0.25">
      <c r="A166" t="e">
        <f>'30N2'!A166</f>
        <v>#REF!</v>
      </c>
      <c r="B166" s="2" t="e">
        <f>Data!#REF!</f>
        <v>#REF!</v>
      </c>
      <c r="C166" s="2" t="e">
        <f>Data!#REF!</f>
        <v>#REF!</v>
      </c>
      <c r="D166" s="2" t="e">
        <f t="shared" si="14"/>
        <v>#REF!</v>
      </c>
      <c r="E166" s="3" t="e">
        <f t="shared" si="15"/>
        <v>#REF!</v>
      </c>
      <c r="F166" s="3" t="e">
        <f>AVERAGE(E166:E168)</f>
        <v>#REF!</v>
      </c>
    </row>
    <row r="167" spans="1:6" x14ac:dyDescent="0.25">
      <c r="B167" s="2" t="e">
        <f>Data!#REF!</f>
        <v>#REF!</v>
      </c>
      <c r="C167" s="2" t="e">
        <f>Data!#REF!</f>
        <v>#REF!</v>
      </c>
      <c r="D167" s="2" t="e">
        <f t="shared" si="14"/>
        <v>#REF!</v>
      </c>
      <c r="E167" s="3" t="e">
        <f t="shared" si="15"/>
        <v>#REF!</v>
      </c>
    </row>
    <row r="168" spans="1:6" x14ac:dyDescent="0.25">
      <c r="B168" s="2" t="e">
        <f>Data!#REF!</f>
        <v>#REF!</v>
      </c>
      <c r="C168" s="2" t="e">
        <f>Data!#REF!</f>
        <v>#REF!</v>
      </c>
      <c r="D168" s="2" t="e">
        <f t="shared" si="14"/>
        <v>#REF!</v>
      </c>
      <c r="E168" s="3" t="e">
        <f t="shared" si="15"/>
        <v>#REF!</v>
      </c>
    </row>
    <row r="169" spans="1:6" x14ac:dyDescent="0.25">
      <c r="A169" t="e">
        <f>'30N2'!A169</f>
        <v>#REF!</v>
      </c>
      <c r="B169" s="2" t="e">
        <f>Data!#REF!</f>
        <v>#REF!</v>
      </c>
      <c r="C169" s="2" t="e">
        <f>Data!#REF!</f>
        <v>#REF!</v>
      </c>
      <c r="D169" s="2" t="e">
        <f t="shared" si="14"/>
        <v>#REF!</v>
      </c>
      <c r="E169" s="3" t="e">
        <f t="shared" si="15"/>
        <v>#REF!</v>
      </c>
      <c r="F169" s="3" t="e">
        <f>AVERAGE(E169:E171)</f>
        <v>#REF!</v>
      </c>
    </row>
    <row r="170" spans="1:6" x14ac:dyDescent="0.25">
      <c r="B170" s="2" t="e">
        <f>Data!#REF!</f>
        <v>#REF!</v>
      </c>
      <c r="C170" s="2" t="e">
        <f>Data!#REF!</f>
        <v>#REF!</v>
      </c>
      <c r="D170" s="2" t="e">
        <f t="shared" si="14"/>
        <v>#REF!</v>
      </c>
      <c r="E170" s="3" t="e">
        <f t="shared" si="15"/>
        <v>#REF!</v>
      </c>
    </row>
    <row r="171" spans="1:6" x14ac:dyDescent="0.25">
      <c r="B171" s="2" t="e">
        <f>Data!#REF!</f>
        <v>#REF!</v>
      </c>
      <c r="C171" s="2" t="e">
        <f>Data!#REF!</f>
        <v>#REF!</v>
      </c>
      <c r="D171" s="2" t="e">
        <f t="shared" si="14"/>
        <v>#REF!</v>
      </c>
      <c r="E171" s="3" t="e">
        <f t="shared" si="15"/>
        <v>#REF!</v>
      </c>
    </row>
    <row r="172" spans="1:6" x14ac:dyDescent="0.25">
      <c r="A172" t="e">
        <f>'30N2'!A172</f>
        <v>#REF!</v>
      </c>
      <c r="B172" s="2" t="e">
        <f>Data!#REF!</f>
        <v>#REF!</v>
      </c>
      <c r="C172" s="2" t="e">
        <f>Data!#REF!</f>
        <v>#REF!</v>
      </c>
      <c r="D172" s="2" t="e">
        <f t="shared" si="14"/>
        <v>#REF!</v>
      </c>
      <c r="E172" s="3" t="e">
        <f t="shared" si="15"/>
        <v>#REF!</v>
      </c>
      <c r="F172" s="3" t="e">
        <f>AVERAGE(E172:E174)</f>
        <v>#REF!</v>
      </c>
    </row>
    <row r="173" spans="1:6" x14ac:dyDescent="0.25">
      <c r="B173" s="2" t="e">
        <f>Data!#REF!</f>
        <v>#REF!</v>
      </c>
      <c r="C173" s="2" t="e">
        <f>Data!#REF!</f>
        <v>#REF!</v>
      </c>
      <c r="D173" s="2" t="e">
        <f t="shared" si="14"/>
        <v>#REF!</v>
      </c>
      <c r="E173" s="3" t="e">
        <f t="shared" si="15"/>
        <v>#REF!</v>
      </c>
    </row>
    <row r="174" spans="1:6" x14ac:dyDescent="0.25">
      <c r="B174" s="2" t="e">
        <f>Data!#REF!</f>
        <v>#REF!</v>
      </c>
      <c r="C174" s="2" t="e">
        <f>Data!#REF!</f>
        <v>#REF!</v>
      </c>
      <c r="D174" s="2" t="e">
        <f t="shared" si="14"/>
        <v>#REF!</v>
      </c>
      <c r="E174" s="3" t="e">
        <f t="shared" si="15"/>
        <v>#REF!</v>
      </c>
    </row>
    <row r="175" spans="1:6" x14ac:dyDescent="0.25">
      <c r="A175" t="e">
        <f>'30N2'!A175</f>
        <v>#REF!</v>
      </c>
      <c r="B175" s="2" t="e">
        <f>Data!#REF!</f>
        <v>#REF!</v>
      </c>
      <c r="C175" s="2" t="e">
        <f>Data!#REF!</f>
        <v>#REF!</v>
      </c>
      <c r="D175" s="2" t="e">
        <f t="shared" ref="D175:D192" si="18">C175-(B175*H$22+H$21)</f>
        <v>#REF!</v>
      </c>
      <c r="E175" s="3" t="e">
        <f t="shared" ref="E175:E192" si="19">A$1*D175/A$2</f>
        <v>#REF!</v>
      </c>
      <c r="F175" s="3" t="e">
        <f>AVERAGE(E175:E177)</f>
        <v>#REF!</v>
      </c>
    </row>
    <row r="176" spans="1:6" x14ac:dyDescent="0.25">
      <c r="B176" s="2" t="e">
        <f>Data!#REF!</f>
        <v>#REF!</v>
      </c>
      <c r="C176" s="2" t="e">
        <f>Data!#REF!</f>
        <v>#REF!</v>
      </c>
      <c r="D176" s="2" t="e">
        <f t="shared" si="18"/>
        <v>#REF!</v>
      </c>
      <c r="E176" s="3" t="e">
        <f t="shared" si="19"/>
        <v>#REF!</v>
      </c>
    </row>
    <row r="177" spans="1:6" x14ac:dyDescent="0.25">
      <c r="B177" s="2" t="e">
        <f>Data!#REF!</f>
        <v>#REF!</v>
      </c>
      <c r="C177" s="2" t="e">
        <f>Data!#REF!</f>
        <v>#REF!</v>
      </c>
      <c r="D177" s="2" t="e">
        <f t="shared" si="18"/>
        <v>#REF!</v>
      </c>
      <c r="E177" s="3" t="e">
        <f t="shared" si="19"/>
        <v>#REF!</v>
      </c>
    </row>
    <row r="178" spans="1:6" x14ac:dyDescent="0.25">
      <c r="A178" t="e">
        <f>'30N2'!A178</f>
        <v>#REF!</v>
      </c>
      <c r="B178" s="2" t="e">
        <f>Data!#REF!</f>
        <v>#REF!</v>
      </c>
      <c r="C178" s="2" t="e">
        <f>Data!#REF!</f>
        <v>#REF!</v>
      </c>
      <c r="D178" s="2" t="e">
        <f t="shared" si="18"/>
        <v>#REF!</v>
      </c>
      <c r="E178" s="3" t="e">
        <f t="shared" si="19"/>
        <v>#REF!</v>
      </c>
      <c r="F178" s="3" t="e">
        <f>AVERAGE(E178:E180)</f>
        <v>#REF!</v>
      </c>
    </row>
    <row r="179" spans="1:6" x14ac:dyDescent="0.25">
      <c r="B179" s="2" t="e">
        <f>Data!#REF!</f>
        <v>#REF!</v>
      </c>
      <c r="C179" s="2" t="e">
        <f>Data!#REF!</f>
        <v>#REF!</v>
      </c>
      <c r="D179" s="2" t="e">
        <f t="shared" si="18"/>
        <v>#REF!</v>
      </c>
      <c r="E179" s="3" t="e">
        <f t="shared" si="19"/>
        <v>#REF!</v>
      </c>
    </row>
    <row r="180" spans="1:6" x14ac:dyDescent="0.25">
      <c r="B180" s="2" t="e">
        <f>Data!#REF!</f>
        <v>#REF!</v>
      </c>
      <c r="C180" s="2" t="e">
        <f>Data!#REF!</f>
        <v>#REF!</v>
      </c>
      <c r="D180" s="2" t="e">
        <f t="shared" si="18"/>
        <v>#REF!</v>
      </c>
      <c r="E180" s="3" t="e">
        <f t="shared" si="19"/>
        <v>#REF!</v>
      </c>
    </row>
    <row r="181" spans="1:6" x14ac:dyDescent="0.25">
      <c r="A181" t="e">
        <f>'30N2'!A181</f>
        <v>#REF!</v>
      </c>
      <c r="B181" s="2" t="e">
        <f>Data!#REF!</f>
        <v>#REF!</v>
      </c>
      <c r="C181" s="2" t="e">
        <f>Data!#REF!</f>
        <v>#REF!</v>
      </c>
      <c r="D181" s="2" t="e">
        <f t="shared" si="18"/>
        <v>#REF!</v>
      </c>
      <c r="E181" s="3" t="e">
        <f t="shared" si="19"/>
        <v>#REF!</v>
      </c>
      <c r="F181" s="3" t="e">
        <f>AVERAGE(E181:E183)</f>
        <v>#REF!</v>
      </c>
    </row>
    <row r="182" spans="1:6" x14ac:dyDescent="0.25">
      <c r="B182" s="2" t="e">
        <f>Data!#REF!</f>
        <v>#REF!</v>
      </c>
      <c r="C182" s="2" t="e">
        <f>Data!#REF!</f>
        <v>#REF!</v>
      </c>
      <c r="D182" s="2" t="e">
        <f t="shared" si="18"/>
        <v>#REF!</v>
      </c>
      <c r="E182" s="3" t="e">
        <f t="shared" si="19"/>
        <v>#REF!</v>
      </c>
    </row>
    <row r="183" spans="1:6" x14ac:dyDescent="0.25">
      <c r="B183" s="2" t="e">
        <f>Data!#REF!</f>
        <v>#REF!</v>
      </c>
      <c r="C183" s="2" t="e">
        <f>Data!#REF!</f>
        <v>#REF!</v>
      </c>
      <c r="D183" s="2" t="e">
        <f t="shared" si="18"/>
        <v>#REF!</v>
      </c>
      <c r="E183" s="3" t="e">
        <f t="shared" si="19"/>
        <v>#REF!</v>
      </c>
    </row>
    <row r="184" spans="1:6" x14ac:dyDescent="0.25">
      <c r="A184" t="e">
        <f>'30N2'!A184</f>
        <v>#REF!</v>
      </c>
      <c r="B184" s="2" t="e">
        <f>Data!#REF!</f>
        <v>#REF!</v>
      </c>
      <c r="C184" s="2" t="e">
        <f>Data!#REF!</f>
        <v>#REF!</v>
      </c>
      <c r="D184" s="2" t="e">
        <f t="shared" si="18"/>
        <v>#REF!</v>
      </c>
      <c r="E184" s="3" t="e">
        <f t="shared" si="19"/>
        <v>#REF!</v>
      </c>
      <c r="F184" s="3" t="e">
        <f>AVERAGE(E184:E186)</f>
        <v>#REF!</v>
      </c>
    </row>
    <row r="185" spans="1:6" x14ac:dyDescent="0.25">
      <c r="B185" s="2" t="e">
        <f>Data!#REF!</f>
        <v>#REF!</v>
      </c>
      <c r="C185" s="2" t="e">
        <f>Data!#REF!</f>
        <v>#REF!</v>
      </c>
      <c r="D185" s="2" t="e">
        <f t="shared" si="18"/>
        <v>#REF!</v>
      </c>
      <c r="E185" s="3" t="e">
        <f t="shared" si="19"/>
        <v>#REF!</v>
      </c>
    </row>
    <row r="186" spans="1:6" x14ac:dyDescent="0.25">
      <c r="B186" s="2" t="e">
        <f>Data!#REF!</f>
        <v>#REF!</v>
      </c>
      <c r="C186" s="2" t="e">
        <f>Data!#REF!</f>
        <v>#REF!</v>
      </c>
      <c r="D186" s="2" t="e">
        <f t="shared" si="18"/>
        <v>#REF!</v>
      </c>
      <c r="E186" s="3" t="e">
        <f t="shared" si="19"/>
        <v>#REF!</v>
      </c>
    </row>
    <row r="187" spans="1:6" x14ac:dyDescent="0.25">
      <c r="A187" t="e">
        <f>'30N2'!A187</f>
        <v>#REF!</v>
      </c>
      <c r="B187" s="2" t="e">
        <f>Data!#REF!</f>
        <v>#REF!</v>
      </c>
      <c r="C187" s="2" t="e">
        <f>Data!#REF!</f>
        <v>#REF!</v>
      </c>
      <c r="D187" s="2" t="e">
        <f t="shared" si="18"/>
        <v>#REF!</v>
      </c>
      <c r="E187" s="3" t="e">
        <f t="shared" si="19"/>
        <v>#REF!</v>
      </c>
      <c r="F187" s="3" t="e">
        <f>AVERAGE(E187:E189)</f>
        <v>#REF!</v>
      </c>
    </row>
    <row r="188" spans="1:6" x14ac:dyDescent="0.25">
      <c r="B188" s="2" t="e">
        <f>Data!#REF!</f>
        <v>#REF!</v>
      </c>
      <c r="C188" s="2" t="e">
        <f>Data!#REF!</f>
        <v>#REF!</v>
      </c>
      <c r="D188" s="2" t="e">
        <f t="shared" si="18"/>
        <v>#REF!</v>
      </c>
      <c r="E188" s="3" t="e">
        <f t="shared" si="19"/>
        <v>#REF!</v>
      </c>
    </row>
    <row r="189" spans="1:6" x14ac:dyDescent="0.25">
      <c r="B189" s="2" t="e">
        <f>Data!#REF!</f>
        <v>#REF!</v>
      </c>
      <c r="C189" s="2" t="e">
        <f>Data!#REF!</f>
        <v>#REF!</v>
      </c>
      <c r="D189" s="2" t="e">
        <f t="shared" si="18"/>
        <v>#REF!</v>
      </c>
      <c r="E189" s="3" t="e">
        <f t="shared" si="19"/>
        <v>#REF!</v>
      </c>
    </row>
    <row r="190" spans="1:6" x14ac:dyDescent="0.25">
      <c r="A190" t="e">
        <f>'30N2'!A190</f>
        <v>#REF!</v>
      </c>
      <c r="B190" s="2" t="e">
        <f>Data!#REF!</f>
        <v>#REF!</v>
      </c>
      <c r="C190" s="2" t="e">
        <f>Data!#REF!</f>
        <v>#REF!</v>
      </c>
      <c r="D190" s="2" t="e">
        <f t="shared" si="18"/>
        <v>#REF!</v>
      </c>
      <c r="E190" s="3" t="e">
        <f t="shared" si="19"/>
        <v>#REF!</v>
      </c>
      <c r="F190" s="3" t="e">
        <f>AVERAGE(E190:E192)</f>
        <v>#REF!</v>
      </c>
    </row>
    <row r="191" spans="1:6" x14ac:dyDescent="0.25">
      <c r="B191" s="2" t="e">
        <f>Data!#REF!</f>
        <v>#REF!</v>
      </c>
      <c r="C191" s="2" t="e">
        <f>Data!#REF!</f>
        <v>#REF!</v>
      </c>
      <c r="D191" s="2" t="e">
        <f t="shared" si="18"/>
        <v>#REF!</v>
      </c>
      <c r="E191" s="3" t="e">
        <f t="shared" si="19"/>
        <v>#REF!</v>
      </c>
    </row>
    <row r="192" spans="1:6" x14ac:dyDescent="0.25">
      <c r="B192" s="2" t="e">
        <f>Data!#REF!</f>
        <v>#REF!</v>
      </c>
      <c r="C192" s="2" t="e">
        <f>Data!#REF!</f>
        <v>#REF!</v>
      </c>
      <c r="D192" s="2" t="e">
        <f t="shared" si="18"/>
        <v>#REF!</v>
      </c>
      <c r="E192" s="3" t="e">
        <f t="shared" si="19"/>
        <v>#REF!</v>
      </c>
    </row>
    <row r="193" spans="1:6" x14ac:dyDescent="0.25">
      <c r="A193" t="e">
        <f>'30N2'!A193</f>
        <v>#REF!</v>
      </c>
      <c r="B193" s="2" t="e">
        <f>Data!#REF!</f>
        <v>#REF!</v>
      </c>
      <c r="C193" s="2" t="e">
        <f>Data!#REF!</f>
        <v>#REF!</v>
      </c>
      <c r="D193" s="2" t="e">
        <f t="shared" ref="D193:D222" si="20">C193-(B193*H$22+H$21)</f>
        <v>#REF!</v>
      </c>
      <c r="E193" s="3" t="e">
        <f t="shared" ref="E193:E222" si="21">A$1*D193/A$2</f>
        <v>#REF!</v>
      </c>
      <c r="F193" s="3" t="e">
        <f>AVERAGE(E193:E195)</f>
        <v>#REF!</v>
      </c>
    </row>
    <row r="194" spans="1:6" x14ac:dyDescent="0.25">
      <c r="B194" s="2" t="e">
        <f>Data!#REF!</f>
        <v>#REF!</v>
      </c>
      <c r="C194" s="2" t="e">
        <f>Data!#REF!</f>
        <v>#REF!</v>
      </c>
      <c r="D194" s="2" t="e">
        <f t="shared" si="20"/>
        <v>#REF!</v>
      </c>
      <c r="E194" s="3" t="e">
        <f t="shared" si="21"/>
        <v>#REF!</v>
      </c>
    </row>
    <row r="195" spans="1:6" x14ac:dyDescent="0.25">
      <c r="B195" s="2" t="e">
        <f>Data!#REF!</f>
        <v>#REF!</v>
      </c>
      <c r="C195" s="2" t="e">
        <f>Data!#REF!</f>
        <v>#REF!</v>
      </c>
      <c r="D195" s="2" t="e">
        <f t="shared" si="20"/>
        <v>#REF!</v>
      </c>
      <c r="E195" s="3" t="e">
        <f t="shared" si="21"/>
        <v>#REF!</v>
      </c>
    </row>
    <row r="196" spans="1:6" x14ac:dyDescent="0.25">
      <c r="A196" t="e">
        <f>'30N2'!A196</f>
        <v>#REF!</v>
      </c>
      <c r="B196" s="2" t="e">
        <f>Data!#REF!</f>
        <v>#REF!</v>
      </c>
      <c r="C196" s="2" t="e">
        <f>Data!#REF!</f>
        <v>#REF!</v>
      </c>
      <c r="D196" s="2" t="e">
        <f t="shared" si="20"/>
        <v>#REF!</v>
      </c>
      <c r="E196" s="3" t="e">
        <f t="shared" si="21"/>
        <v>#REF!</v>
      </c>
      <c r="F196" s="3" t="e">
        <f>AVERAGE(E196:E198)</f>
        <v>#REF!</v>
      </c>
    </row>
    <row r="197" spans="1:6" x14ac:dyDescent="0.25">
      <c r="B197" s="2" t="e">
        <f>Data!#REF!</f>
        <v>#REF!</v>
      </c>
      <c r="C197" s="2" t="e">
        <f>Data!#REF!</f>
        <v>#REF!</v>
      </c>
      <c r="D197" s="2" t="e">
        <f t="shared" si="20"/>
        <v>#REF!</v>
      </c>
      <c r="E197" s="3" t="e">
        <f t="shared" si="21"/>
        <v>#REF!</v>
      </c>
    </row>
    <row r="198" spans="1:6" x14ac:dyDescent="0.25">
      <c r="B198" s="2" t="e">
        <f>Data!#REF!</f>
        <v>#REF!</v>
      </c>
      <c r="C198" s="2" t="e">
        <f>Data!#REF!</f>
        <v>#REF!</v>
      </c>
      <c r="D198" s="2" t="e">
        <f t="shared" si="20"/>
        <v>#REF!</v>
      </c>
      <c r="E198" s="3" t="e">
        <f t="shared" si="21"/>
        <v>#REF!</v>
      </c>
    </row>
    <row r="199" spans="1:6" x14ac:dyDescent="0.25">
      <c r="A199" t="e">
        <f>'30N2'!A199</f>
        <v>#REF!</v>
      </c>
      <c r="B199" s="2" t="e">
        <f>Data!#REF!</f>
        <v>#REF!</v>
      </c>
      <c r="C199" s="2" t="e">
        <f>Data!#REF!</f>
        <v>#REF!</v>
      </c>
      <c r="D199" s="2" t="e">
        <f t="shared" si="20"/>
        <v>#REF!</v>
      </c>
      <c r="E199" s="3" t="e">
        <f t="shared" si="21"/>
        <v>#REF!</v>
      </c>
      <c r="F199" s="3" t="e">
        <f>AVERAGE(E199:E201)</f>
        <v>#REF!</v>
      </c>
    </row>
    <row r="200" spans="1:6" x14ac:dyDescent="0.25">
      <c r="B200" s="2" t="e">
        <f>Data!#REF!</f>
        <v>#REF!</v>
      </c>
      <c r="C200" s="2" t="e">
        <f>Data!#REF!</f>
        <v>#REF!</v>
      </c>
      <c r="D200" s="2" t="e">
        <f t="shared" si="20"/>
        <v>#REF!</v>
      </c>
      <c r="E200" s="3" t="e">
        <f t="shared" si="21"/>
        <v>#REF!</v>
      </c>
    </row>
    <row r="201" spans="1:6" x14ac:dyDescent="0.25">
      <c r="B201" s="2" t="e">
        <f>Data!#REF!</f>
        <v>#REF!</v>
      </c>
      <c r="C201" s="2" t="e">
        <f>Data!#REF!</f>
        <v>#REF!</v>
      </c>
      <c r="D201" s="2" t="e">
        <f t="shared" si="20"/>
        <v>#REF!</v>
      </c>
      <c r="E201" s="3" t="e">
        <f t="shared" si="21"/>
        <v>#REF!</v>
      </c>
    </row>
    <row r="202" spans="1:6" x14ac:dyDescent="0.25">
      <c r="A202" t="e">
        <f>'30N2'!A202</f>
        <v>#REF!</v>
      </c>
      <c r="B202" s="2" t="e">
        <f>Data!#REF!</f>
        <v>#REF!</v>
      </c>
      <c r="C202" s="2" t="e">
        <f>Data!#REF!</f>
        <v>#REF!</v>
      </c>
      <c r="D202" s="2" t="e">
        <f t="shared" si="20"/>
        <v>#REF!</v>
      </c>
      <c r="E202" s="3" t="e">
        <f t="shared" si="21"/>
        <v>#REF!</v>
      </c>
      <c r="F202" s="3" t="e">
        <f>AVERAGE(E202:E204)</f>
        <v>#REF!</v>
      </c>
    </row>
    <row r="203" spans="1:6" x14ac:dyDescent="0.25">
      <c r="B203" s="2" t="e">
        <f>Data!#REF!</f>
        <v>#REF!</v>
      </c>
      <c r="C203" s="2" t="e">
        <f>Data!#REF!</f>
        <v>#REF!</v>
      </c>
      <c r="D203" s="2" t="e">
        <f t="shared" si="20"/>
        <v>#REF!</v>
      </c>
      <c r="E203" s="3" t="e">
        <f t="shared" si="21"/>
        <v>#REF!</v>
      </c>
    </row>
    <row r="204" spans="1:6" x14ac:dyDescent="0.25">
      <c r="B204" s="2" t="e">
        <f>Data!#REF!</f>
        <v>#REF!</v>
      </c>
      <c r="C204" s="2" t="e">
        <f>Data!#REF!</f>
        <v>#REF!</v>
      </c>
      <c r="D204" s="2" t="e">
        <f t="shared" si="20"/>
        <v>#REF!</v>
      </c>
      <c r="E204" s="3" t="e">
        <f t="shared" si="21"/>
        <v>#REF!</v>
      </c>
    </row>
    <row r="205" spans="1:6" x14ac:dyDescent="0.25">
      <c r="A205" t="e">
        <f>'30N2'!A205</f>
        <v>#REF!</v>
      </c>
      <c r="B205" s="2" t="e">
        <f>Data!#REF!</f>
        <v>#REF!</v>
      </c>
      <c r="C205" s="2" t="e">
        <f>Data!#REF!</f>
        <v>#REF!</v>
      </c>
      <c r="D205" s="2" t="e">
        <f t="shared" si="20"/>
        <v>#REF!</v>
      </c>
      <c r="E205" s="3" t="e">
        <f t="shared" si="21"/>
        <v>#REF!</v>
      </c>
      <c r="F205" s="3" t="e">
        <f>AVERAGE(E205:E207)</f>
        <v>#REF!</v>
      </c>
    </row>
    <row r="206" spans="1:6" x14ac:dyDescent="0.25">
      <c r="B206" s="2" t="e">
        <f>Data!#REF!</f>
        <v>#REF!</v>
      </c>
      <c r="C206" s="2" t="e">
        <f>Data!#REF!</f>
        <v>#REF!</v>
      </c>
      <c r="D206" s="2" t="e">
        <f t="shared" si="20"/>
        <v>#REF!</v>
      </c>
      <c r="E206" s="3" t="e">
        <f t="shared" si="21"/>
        <v>#REF!</v>
      </c>
    </row>
    <row r="207" spans="1:6" x14ac:dyDescent="0.25">
      <c r="B207" s="2" t="e">
        <f>Data!#REF!</f>
        <v>#REF!</v>
      </c>
      <c r="C207" s="2" t="e">
        <f>Data!#REF!</f>
        <v>#REF!</v>
      </c>
      <c r="D207" s="2" t="e">
        <f t="shared" si="20"/>
        <v>#REF!</v>
      </c>
      <c r="E207" s="3" t="e">
        <f t="shared" si="21"/>
        <v>#REF!</v>
      </c>
    </row>
    <row r="208" spans="1:6" x14ac:dyDescent="0.25">
      <c r="A208" t="e">
        <f>'30N2'!A208</f>
        <v>#REF!</v>
      </c>
      <c r="B208" s="2" t="e">
        <f>Data!#REF!</f>
        <v>#REF!</v>
      </c>
      <c r="C208" s="2" t="e">
        <f>Data!#REF!</f>
        <v>#REF!</v>
      </c>
      <c r="D208" s="2" t="e">
        <f t="shared" si="20"/>
        <v>#REF!</v>
      </c>
      <c r="E208" s="3" t="e">
        <f t="shared" si="21"/>
        <v>#REF!</v>
      </c>
      <c r="F208" s="3" t="e">
        <f>AVERAGE(E208:E210)</f>
        <v>#REF!</v>
      </c>
    </row>
    <row r="209" spans="1:6" x14ac:dyDescent="0.25">
      <c r="B209" s="2" t="e">
        <f>Data!#REF!</f>
        <v>#REF!</v>
      </c>
      <c r="C209" s="2" t="e">
        <f>Data!#REF!</f>
        <v>#REF!</v>
      </c>
      <c r="D209" s="2" t="e">
        <f t="shared" si="20"/>
        <v>#REF!</v>
      </c>
      <c r="E209" s="3" t="e">
        <f t="shared" si="21"/>
        <v>#REF!</v>
      </c>
    </row>
    <row r="210" spans="1:6" x14ac:dyDescent="0.25">
      <c r="B210" s="2" t="e">
        <f>Data!#REF!</f>
        <v>#REF!</v>
      </c>
      <c r="C210" s="2" t="e">
        <f>Data!#REF!</f>
        <v>#REF!</v>
      </c>
      <c r="D210" s="2" t="e">
        <f t="shared" si="20"/>
        <v>#REF!</v>
      </c>
      <c r="E210" s="3" t="e">
        <f t="shared" si="21"/>
        <v>#REF!</v>
      </c>
    </row>
    <row r="211" spans="1:6" x14ac:dyDescent="0.25">
      <c r="A211" t="e">
        <f>'30N2'!A211</f>
        <v>#REF!</v>
      </c>
      <c r="B211" s="2" t="e">
        <f>Data!#REF!</f>
        <v>#REF!</v>
      </c>
      <c r="C211" s="2" t="e">
        <f>Data!#REF!</f>
        <v>#REF!</v>
      </c>
      <c r="D211" s="2" t="e">
        <f t="shared" si="20"/>
        <v>#REF!</v>
      </c>
      <c r="E211" s="3" t="e">
        <f t="shared" si="21"/>
        <v>#REF!</v>
      </c>
      <c r="F211" s="3" t="e">
        <f>AVERAGE(E211:E213)</f>
        <v>#REF!</v>
      </c>
    </row>
    <row r="212" spans="1:6" x14ac:dyDescent="0.25">
      <c r="B212" s="2" t="e">
        <f>Data!#REF!</f>
        <v>#REF!</v>
      </c>
      <c r="C212" s="2" t="e">
        <f>Data!#REF!</f>
        <v>#REF!</v>
      </c>
      <c r="D212" s="2" t="e">
        <f t="shared" si="20"/>
        <v>#REF!</v>
      </c>
      <c r="E212" s="3" t="e">
        <f t="shared" si="21"/>
        <v>#REF!</v>
      </c>
    </row>
    <row r="213" spans="1:6" x14ac:dyDescent="0.25">
      <c r="B213" s="2" t="e">
        <f>Data!#REF!</f>
        <v>#REF!</v>
      </c>
      <c r="C213" s="2" t="e">
        <f>Data!#REF!</f>
        <v>#REF!</v>
      </c>
      <c r="D213" s="2" t="e">
        <f t="shared" si="20"/>
        <v>#REF!</v>
      </c>
      <c r="E213" s="3" t="e">
        <f t="shared" si="21"/>
        <v>#REF!</v>
      </c>
    </row>
    <row r="214" spans="1:6" x14ac:dyDescent="0.25">
      <c r="A214" t="e">
        <f>'30N2'!A214</f>
        <v>#REF!</v>
      </c>
      <c r="B214" s="2" t="e">
        <f>Data!#REF!</f>
        <v>#REF!</v>
      </c>
      <c r="C214" s="2" t="e">
        <f>Data!#REF!</f>
        <v>#REF!</v>
      </c>
      <c r="D214" s="2" t="e">
        <f t="shared" si="20"/>
        <v>#REF!</v>
      </c>
      <c r="E214" s="3" t="e">
        <f t="shared" si="21"/>
        <v>#REF!</v>
      </c>
      <c r="F214" s="3" t="e">
        <f>AVERAGE(E214:E216)</f>
        <v>#REF!</v>
      </c>
    </row>
    <row r="215" spans="1:6" x14ac:dyDescent="0.25">
      <c r="B215" s="2" t="e">
        <f>Data!#REF!</f>
        <v>#REF!</v>
      </c>
      <c r="C215" s="2" t="e">
        <f>Data!#REF!</f>
        <v>#REF!</v>
      </c>
      <c r="D215" s="2" t="e">
        <f t="shared" si="20"/>
        <v>#REF!</v>
      </c>
      <c r="E215" s="3" t="e">
        <f t="shared" si="21"/>
        <v>#REF!</v>
      </c>
    </row>
    <row r="216" spans="1:6" x14ac:dyDescent="0.25">
      <c r="B216" s="2" t="e">
        <f>Data!#REF!</f>
        <v>#REF!</v>
      </c>
      <c r="C216" s="2" t="e">
        <f>Data!#REF!</f>
        <v>#REF!</v>
      </c>
      <c r="D216" s="2" t="e">
        <f t="shared" si="20"/>
        <v>#REF!</v>
      </c>
      <c r="E216" s="3" t="e">
        <f t="shared" si="21"/>
        <v>#REF!</v>
      </c>
    </row>
    <row r="217" spans="1:6" x14ac:dyDescent="0.25">
      <c r="A217" t="e">
        <f>'30N2'!A217</f>
        <v>#REF!</v>
      </c>
      <c r="B217" s="2" t="e">
        <f>Data!#REF!</f>
        <v>#REF!</v>
      </c>
      <c r="C217" s="2" t="e">
        <f>Data!#REF!</f>
        <v>#REF!</v>
      </c>
      <c r="D217" s="2" t="e">
        <f t="shared" si="20"/>
        <v>#REF!</v>
      </c>
      <c r="E217" s="3" t="e">
        <f t="shared" si="21"/>
        <v>#REF!</v>
      </c>
      <c r="F217" s="3" t="e">
        <f>AVERAGE(E217:E219)</f>
        <v>#REF!</v>
      </c>
    </row>
    <row r="218" spans="1:6" x14ac:dyDescent="0.25">
      <c r="B218" s="2" t="e">
        <f>Data!#REF!</f>
        <v>#REF!</v>
      </c>
      <c r="C218" s="2" t="e">
        <f>Data!#REF!</f>
        <v>#REF!</v>
      </c>
      <c r="D218" s="2" t="e">
        <f t="shared" si="20"/>
        <v>#REF!</v>
      </c>
      <c r="E218" s="3" t="e">
        <f t="shared" si="21"/>
        <v>#REF!</v>
      </c>
    </row>
    <row r="219" spans="1:6" x14ac:dyDescent="0.25">
      <c r="B219" s="2" t="e">
        <f>Data!#REF!</f>
        <v>#REF!</v>
      </c>
      <c r="C219" s="2" t="e">
        <f>Data!#REF!</f>
        <v>#REF!</v>
      </c>
      <c r="D219" s="2" t="e">
        <f t="shared" si="20"/>
        <v>#REF!</v>
      </c>
      <c r="E219" s="3" t="e">
        <f t="shared" si="21"/>
        <v>#REF!</v>
      </c>
    </row>
    <row r="220" spans="1:6" x14ac:dyDescent="0.25">
      <c r="A220" t="e">
        <f>'30N2'!A220</f>
        <v>#REF!</v>
      </c>
      <c r="B220" s="2" t="e">
        <f>Data!#REF!</f>
        <v>#REF!</v>
      </c>
      <c r="C220" s="2" t="e">
        <f>Data!#REF!</f>
        <v>#REF!</v>
      </c>
      <c r="D220" s="2" t="e">
        <f t="shared" si="20"/>
        <v>#REF!</v>
      </c>
      <c r="E220" s="3" t="e">
        <f t="shared" si="21"/>
        <v>#REF!</v>
      </c>
      <c r="F220" s="3" t="e">
        <f>AVERAGE(E220:E222)</f>
        <v>#REF!</v>
      </c>
    </row>
    <row r="221" spans="1:6" x14ac:dyDescent="0.25">
      <c r="B221" s="2" t="e">
        <f>Data!#REF!</f>
        <v>#REF!</v>
      </c>
      <c r="C221" s="2" t="e">
        <f>Data!#REF!</f>
        <v>#REF!</v>
      </c>
      <c r="D221" s="2" t="e">
        <f t="shared" si="20"/>
        <v>#REF!</v>
      </c>
      <c r="E221" s="3" t="e">
        <f t="shared" si="21"/>
        <v>#REF!</v>
      </c>
    </row>
    <row r="222" spans="1:6" x14ac:dyDescent="0.25">
      <c r="B222" s="2" t="e">
        <f>Data!#REF!</f>
        <v>#REF!</v>
      </c>
      <c r="C222" s="2" t="e">
        <f>Data!#REF!</f>
        <v>#REF!</v>
      </c>
      <c r="D222" s="2" t="e">
        <f t="shared" si="20"/>
        <v>#REF!</v>
      </c>
      <c r="E222" s="3" t="e">
        <f t="shared" si="21"/>
        <v>#REF!</v>
      </c>
    </row>
    <row r="223" spans="1:6" x14ac:dyDescent="0.25">
      <c r="B223" s="2"/>
      <c r="C223" s="2"/>
      <c r="D223" s="2"/>
      <c r="E223" s="3"/>
      <c r="F223" s="3"/>
    </row>
    <row r="224" spans="1:6" x14ac:dyDescent="0.25">
      <c r="B224" s="2"/>
      <c r="C224" s="2"/>
      <c r="D224" s="2"/>
      <c r="E224" s="3"/>
    </row>
    <row r="225" spans="2:6" x14ac:dyDescent="0.25">
      <c r="B225" s="2"/>
      <c r="C225" s="2"/>
      <c r="D225" s="2"/>
      <c r="E225" s="3"/>
    </row>
    <row r="226" spans="2:6" x14ac:dyDescent="0.25">
      <c r="B226" s="2"/>
      <c r="C226" s="2"/>
      <c r="D226" s="2"/>
      <c r="E226" s="3"/>
      <c r="F226" s="3"/>
    </row>
    <row r="227" spans="2:6" x14ac:dyDescent="0.25">
      <c r="B227" s="2"/>
      <c r="C227" s="2"/>
      <c r="D227" s="2"/>
      <c r="E227" s="3"/>
    </row>
    <row r="228" spans="2:6" x14ac:dyDescent="0.25">
      <c r="B228" s="2"/>
      <c r="C228" s="2"/>
      <c r="D228" s="2"/>
      <c r="E228" s="3"/>
    </row>
    <row r="229" spans="2:6" x14ac:dyDescent="0.25">
      <c r="B229" s="2"/>
      <c r="C229" s="2"/>
      <c r="D229" s="2"/>
      <c r="E229" s="3"/>
      <c r="F229" s="3"/>
    </row>
    <row r="230" spans="2:6" x14ac:dyDescent="0.25">
      <c r="B230" s="2"/>
      <c r="C230" s="2"/>
      <c r="D230" s="2"/>
      <c r="E230" s="3"/>
    </row>
    <row r="231" spans="2:6" x14ac:dyDescent="0.25">
      <c r="B231" s="2"/>
      <c r="C231" s="2"/>
      <c r="D231" s="2"/>
      <c r="E231" s="3"/>
    </row>
    <row r="232" spans="2:6" x14ac:dyDescent="0.25">
      <c r="B232" s="2"/>
      <c r="C232" s="2"/>
      <c r="D232" s="2"/>
      <c r="E232" s="3"/>
      <c r="F232" s="3"/>
    </row>
    <row r="233" spans="2:6" x14ac:dyDescent="0.25">
      <c r="B233" s="2"/>
      <c r="C233" s="2"/>
      <c r="D233" s="2"/>
      <c r="E233" s="3"/>
    </row>
    <row r="234" spans="2:6" x14ac:dyDescent="0.25">
      <c r="B234" s="2"/>
      <c r="C234" s="2"/>
      <c r="D234" s="2"/>
      <c r="E234" s="3"/>
    </row>
    <row r="235" spans="2:6" x14ac:dyDescent="0.25">
      <c r="B235" s="2"/>
      <c r="C235" s="2"/>
      <c r="D235" s="2"/>
      <c r="E235" s="3"/>
      <c r="F235" s="3"/>
    </row>
    <row r="236" spans="2:6" x14ac:dyDescent="0.25">
      <c r="B236" s="2"/>
      <c r="C236" s="2"/>
      <c r="D236" s="2"/>
      <c r="E236" s="3"/>
    </row>
    <row r="237" spans="2:6" x14ac:dyDescent="0.25">
      <c r="B237" s="2"/>
      <c r="C237" s="2"/>
      <c r="D237" s="2"/>
      <c r="E237" s="3"/>
    </row>
    <row r="238" spans="2:6" x14ac:dyDescent="0.25">
      <c r="B238" s="2"/>
      <c r="C238" s="2"/>
      <c r="D238" s="2"/>
      <c r="E238" s="3"/>
      <c r="F238" s="3"/>
    </row>
    <row r="239" spans="2:6" x14ac:dyDescent="0.25">
      <c r="B239" s="2"/>
      <c r="C239" s="2"/>
      <c r="D239" s="2"/>
      <c r="E239" s="3"/>
    </row>
    <row r="240" spans="2:6" x14ac:dyDescent="0.25">
      <c r="B240" s="2"/>
      <c r="C240" s="2"/>
      <c r="D240" s="2"/>
      <c r="E240" s="3"/>
    </row>
    <row r="241" spans="2:6" x14ac:dyDescent="0.25">
      <c r="B241" s="2"/>
      <c r="C241" s="2"/>
      <c r="D241" s="2"/>
      <c r="E241" s="3"/>
      <c r="F241" s="3"/>
    </row>
    <row r="242" spans="2:6" x14ac:dyDescent="0.25">
      <c r="B242" s="2"/>
      <c r="C242" s="2"/>
      <c r="D242" s="2"/>
      <c r="E242" s="3"/>
    </row>
    <row r="243" spans="2:6" x14ac:dyDescent="0.25">
      <c r="B243" s="2"/>
      <c r="C243" s="2"/>
      <c r="D243" s="2"/>
      <c r="E243" s="3"/>
    </row>
    <row r="244" spans="2:6" x14ac:dyDescent="0.25">
      <c r="B244" s="2"/>
      <c r="C244" s="2"/>
      <c r="D244" s="2"/>
      <c r="E244" s="3"/>
      <c r="F244" s="3"/>
    </row>
    <row r="245" spans="2:6" x14ac:dyDescent="0.25">
      <c r="B245" s="2"/>
      <c r="C245" s="2"/>
      <c r="D245" s="2"/>
      <c r="E245" s="3"/>
    </row>
    <row r="246" spans="2:6" x14ac:dyDescent="0.25">
      <c r="B246" s="2"/>
      <c r="C246" s="2"/>
      <c r="D246" s="2"/>
      <c r="E246" s="3"/>
    </row>
    <row r="247" spans="2:6" x14ac:dyDescent="0.25">
      <c r="B247" s="2"/>
      <c r="C247" s="2"/>
      <c r="D247" s="2"/>
      <c r="E247" s="3"/>
      <c r="F247" s="3"/>
    </row>
    <row r="248" spans="2:6" x14ac:dyDescent="0.25">
      <c r="B248" s="2"/>
      <c r="C248" s="2"/>
      <c r="D248" s="2"/>
      <c r="E248" s="3"/>
    </row>
    <row r="249" spans="2:6" x14ac:dyDescent="0.25">
      <c r="B249" s="2"/>
      <c r="C249" s="2"/>
      <c r="D249" s="2"/>
      <c r="E249" s="3"/>
    </row>
    <row r="250" spans="2:6" x14ac:dyDescent="0.25">
      <c r="B250" s="2"/>
      <c r="C250" s="2"/>
      <c r="D250" s="2"/>
      <c r="E250" s="3"/>
      <c r="F250" s="3"/>
    </row>
    <row r="251" spans="2:6" x14ac:dyDescent="0.25">
      <c r="B251" s="2"/>
      <c r="C251" s="2"/>
      <c r="D251" s="2"/>
      <c r="E251" s="3"/>
    </row>
    <row r="252" spans="2:6" x14ac:dyDescent="0.25">
      <c r="B252" s="2"/>
      <c r="C252" s="2"/>
      <c r="D252" s="2"/>
      <c r="E252" s="3"/>
    </row>
    <row r="253" spans="2:6" x14ac:dyDescent="0.25">
      <c r="B253" s="2"/>
      <c r="C253" s="2"/>
      <c r="D253" s="2"/>
      <c r="E253" s="3"/>
      <c r="F253" s="3"/>
    </row>
    <row r="254" spans="2:6" x14ac:dyDescent="0.25">
      <c r="B254" s="2"/>
      <c r="C254" s="2"/>
      <c r="D254" s="2"/>
      <c r="E254" s="3"/>
    </row>
    <row r="255" spans="2:6" x14ac:dyDescent="0.25">
      <c r="B255" s="2"/>
      <c r="C255" s="2"/>
      <c r="D255" s="2"/>
      <c r="E255" s="3"/>
    </row>
    <row r="256" spans="2:6" x14ac:dyDescent="0.25">
      <c r="B256" s="2"/>
      <c r="C256" s="2"/>
      <c r="D256" s="2"/>
      <c r="E256" s="3"/>
      <c r="F256" s="3"/>
    </row>
    <row r="257" spans="2:6" x14ac:dyDescent="0.25">
      <c r="B257" s="2"/>
      <c r="C257" s="2"/>
      <c r="D257" s="2"/>
      <c r="E257" s="3"/>
    </row>
    <row r="258" spans="2:6" x14ac:dyDescent="0.25">
      <c r="B258" s="2"/>
      <c r="C258" s="2"/>
      <c r="D258" s="2"/>
      <c r="E258" s="3"/>
    </row>
    <row r="259" spans="2:6" x14ac:dyDescent="0.25">
      <c r="B259" s="2"/>
      <c r="C259" s="2"/>
      <c r="D259" s="2"/>
      <c r="E259" s="3"/>
      <c r="F259" s="3"/>
    </row>
    <row r="260" spans="2:6" x14ac:dyDescent="0.25">
      <c r="B260" s="2"/>
      <c r="C260" s="2"/>
      <c r="D260" s="2"/>
      <c r="E260" s="3"/>
    </row>
    <row r="261" spans="2:6" x14ac:dyDescent="0.25">
      <c r="B261" s="2"/>
      <c r="C261" s="2"/>
      <c r="D261" s="2"/>
      <c r="E261" s="3"/>
    </row>
    <row r="262" spans="2:6" x14ac:dyDescent="0.25">
      <c r="B262" s="2"/>
      <c r="C262" s="2"/>
      <c r="D262" s="2"/>
      <c r="E262" s="3"/>
      <c r="F262" s="3"/>
    </row>
    <row r="263" spans="2:6" x14ac:dyDescent="0.25">
      <c r="B263" s="2"/>
      <c r="C263" s="2"/>
      <c r="D263" s="2"/>
      <c r="E263" s="3"/>
    </row>
    <row r="264" spans="2:6" x14ac:dyDescent="0.25">
      <c r="B264" s="2"/>
      <c r="C264" s="2"/>
      <c r="D264" s="2"/>
      <c r="E264" s="3"/>
    </row>
    <row r="265" spans="2:6" x14ac:dyDescent="0.25">
      <c r="B265" s="2"/>
      <c r="C265" s="2"/>
      <c r="D265" s="2"/>
      <c r="E265" s="3"/>
      <c r="F265" s="3"/>
    </row>
    <row r="266" spans="2:6" x14ac:dyDescent="0.25">
      <c r="B266" s="2"/>
      <c r="C266" s="2"/>
      <c r="D266" s="2"/>
      <c r="E266" s="3"/>
    </row>
    <row r="267" spans="2:6" x14ac:dyDescent="0.25">
      <c r="B267" s="2"/>
      <c r="C267" s="2"/>
      <c r="D267" s="2"/>
      <c r="E267" s="3"/>
    </row>
    <row r="268" spans="2:6" x14ac:dyDescent="0.25">
      <c r="B268" s="2"/>
      <c r="C268" s="2"/>
      <c r="D268" s="2"/>
      <c r="E268" s="3"/>
      <c r="F268" s="3"/>
    </row>
    <row r="269" spans="2:6" x14ac:dyDescent="0.25">
      <c r="B269" s="2"/>
      <c r="C269" s="2"/>
      <c r="D269" s="2"/>
      <c r="E269" s="3"/>
    </row>
    <row r="270" spans="2:6" x14ac:dyDescent="0.25">
      <c r="B270" s="2"/>
      <c r="C270" s="2"/>
      <c r="D270" s="2"/>
      <c r="E270" s="3"/>
    </row>
    <row r="271" spans="2:6" x14ac:dyDescent="0.25">
      <c r="B271" s="2"/>
      <c r="C271" s="2"/>
      <c r="D271" s="2"/>
      <c r="E271" s="3"/>
      <c r="F271" s="3"/>
    </row>
    <row r="272" spans="2:6" x14ac:dyDescent="0.25">
      <c r="B272" s="2"/>
      <c r="C272" s="2"/>
      <c r="D272" s="2"/>
      <c r="E272" s="3"/>
    </row>
    <row r="273" spans="2:6" x14ac:dyDescent="0.25">
      <c r="B273" s="2"/>
      <c r="C273" s="2"/>
      <c r="D273" s="2"/>
      <c r="E273" s="3"/>
    </row>
    <row r="274" spans="2:6" x14ac:dyDescent="0.25">
      <c r="B274" s="2"/>
      <c r="C274" s="2"/>
      <c r="D274" s="2"/>
      <c r="E274" s="3"/>
      <c r="F274" s="3"/>
    </row>
    <row r="275" spans="2:6" x14ac:dyDescent="0.25">
      <c r="B275" s="2"/>
      <c r="C275" s="2"/>
      <c r="D275" s="2"/>
      <c r="E275" s="3"/>
    </row>
    <row r="276" spans="2:6" x14ac:dyDescent="0.25">
      <c r="B276" s="2"/>
      <c r="C276" s="2"/>
      <c r="D276" s="2"/>
      <c r="E276" s="3"/>
    </row>
    <row r="277" spans="2:6" x14ac:dyDescent="0.25">
      <c r="B277" s="2"/>
      <c r="C277" s="2"/>
      <c r="D277" s="2"/>
      <c r="E277" s="3"/>
      <c r="F277" s="3"/>
    </row>
    <row r="278" spans="2:6" x14ac:dyDescent="0.25">
      <c r="B278" s="2"/>
      <c r="C278" s="2"/>
      <c r="D278" s="2"/>
      <c r="E278" s="3"/>
    </row>
    <row r="279" spans="2:6" x14ac:dyDescent="0.25">
      <c r="B279" s="2"/>
      <c r="C279" s="2"/>
      <c r="D279" s="2"/>
      <c r="E279" s="3"/>
    </row>
    <row r="280" spans="2:6" x14ac:dyDescent="0.25">
      <c r="B280" s="2"/>
      <c r="C280" s="2"/>
      <c r="D280" s="2"/>
      <c r="E280" s="3"/>
      <c r="F280" s="3"/>
    </row>
    <row r="281" spans="2:6" x14ac:dyDescent="0.25">
      <c r="B281" s="2"/>
      <c r="C281" s="2"/>
      <c r="D281" s="2"/>
      <c r="E281" s="3"/>
    </row>
    <row r="282" spans="2:6" x14ac:dyDescent="0.25">
      <c r="B282" s="2"/>
      <c r="C282" s="2"/>
      <c r="D282" s="2"/>
      <c r="E282" s="3"/>
    </row>
    <row r="283" spans="2:6" x14ac:dyDescent="0.25">
      <c r="B283" s="2"/>
      <c r="C283" s="2"/>
      <c r="D283" s="2"/>
      <c r="E283" s="3"/>
      <c r="F283" s="3"/>
    </row>
    <row r="284" spans="2:6" x14ac:dyDescent="0.25">
      <c r="B284" s="2"/>
      <c r="C284" s="2"/>
      <c r="D284" s="2"/>
      <c r="E284" s="3"/>
    </row>
    <row r="285" spans="2:6" x14ac:dyDescent="0.25">
      <c r="B285" s="2"/>
      <c r="C285" s="2"/>
      <c r="D285" s="2"/>
      <c r="E285" s="3"/>
    </row>
    <row r="286" spans="2:6" x14ac:dyDescent="0.25">
      <c r="B286" s="2"/>
      <c r="C286" s="2"/>
      <c r="D286" s="2"/>
      <c r="E286" s="3"/>
      <c r="F286" s="3"/>
    </row>
    <row r="287" spans="2:6" x14ac:dyDescent="0.25">
      <c r="B287" s="2"/>
      <c r="C287" s="2"/>
      <c r="D287" s="2"/>
      <c r="E287" s="3"/>
    </row>
    <row r="288" spans="2:6" x14ac:dyDescent="0.25">
      <c r="B288" s="2"/>
      <c r="C288" s="2"/>
      <c r="D288" s="2"/>
      <c r="E288" s="3"/>
    </row>
    <row r="289" spans="2:6" x14ac:dyDescent="0.25">
      <c r="B289" s="2"/>
      <c r="C289" s="2"/>
      <c r="D289" s="2"/>
      <c r="E289" s="3"/>
      <c r="F289" s="3"/>
    </row>
    <row r="290" spans="2:6" x14ac:dyDescent="0.25">
      <c r="B290" s="2"/>
      <c r="C290" s="2"/>
      <c r="D290" s="2"/>
      <c r="E290" s="3"/>
    </row>
    <row r="291" spans="2:6" x14ac:dyDescent="0.25">
      <c r="B291" s="2"/>
      <c r="C291" s="2"/>
      <c r="D291" s="2"/>
      <c r="E291" s="3"/>
    </row>
    <row r="292" spans="2:6" x14ac:dyDescent="0.25">
      <c r="B292" s="2"/>
      <c r="C292" s="2"/>
      <c r="D292" s="2"/>
      <c r="E292" s="3"/>
      <c r="F292" s="3"/>
    </row>
    <row r="293" spans="2:6" x14ac:dyDescent="0.25">
      <c r="B293" s="2"/>
      <c r="C293" s="2"/>
      <c r="D293" s="2"/>
      <c r="E293" s="3"/>
    </row>
    <row r="294" spans="2:6" x14ac:dyDescent="0.25">
      <c r="B294" s="2"/>
      <c r="C294" s="2"/>
      <c r="D294" s="2"/>
      <c r="E294" s="3"/>
    </row>
    <row r="295" spans="2:6" x14ac:dyDescent="0.25">
      <c r="B295" s="2"/>
      <c r="C295" s="2"/>
      <c r="D295" s="2"/>
      <c r="E295" s="3"/>
      <c r="F295" s="3"/>
    </row>
    <row r="296" spans="2:6" x14ac:dyDescent="0.25">
      <c r="B296" s="2"/>
      <c r="C296" s="2"/>
      <c r="D296" s="2"/>
      <c r="E296" s="3"/>
    </row>
    <row r="297" spans="2:6" x14ac:dyDescent="0.25">
      <c r="B297" s="2"/>
      <c r="C297" s="2"/>
      <c r="D297" s="2"/>
      <c r="E297" s="3"/>
    </row>
    <row r="298" spans="2:6" x14ac:dyDescent="0.25">
      <c r="B298" s="2"/>
      <c r="C298" s="2"/>
      <c r="D298" s="2"/>
      <c r="E298" s="3"/>
      <c r="F298" s="3"/>
    </row>
    <row r="299" spans="2:6" x14ac:dyDescent="0.25">
      <c r="B299" s="2"/>
      <c r="C299" s="2"/>
      <c r="D299" s="2"/>
      <c r="E299" s="3"/>
    </row>
    <row r="300" spans="2:6" x14ac:dyDescent="0.25">
      <c r="B300" s="2"/>
      <c r="C300" s="2"/>
      <c r="D300" s="2"/>
      <c r="E300" s="3"/>
    </row>
    <row r="301" spans="2:6" x14ac:dyDescent="0.25">
      <c r="B301" s="2"/>
      <c r="C301" s="2"/>
      <c r="D301" s="2"/>
      <c r="E301" s="3"/>
      <c r="F301" s="3"/>
    </row>
    <row r="302" spans="2:6" x14ac:dyDescent="0.25">
      <c r="B302" s="2"/>
      <c r="C302" s="2"/>
      <c r="D302" s="2"/>
      <c r="E302" s="3"/>
    </row>
    <row r="303" spans="2:6" x14ac:dyDescent="0.25">
      <c r="B303" s="2"/>
      <c r="C303" s="2"/>
      <c r="D303" s="2"/>
      <c r="E303" s="3"/>
    </row>
    <row r="304" spans="2:6" x14ac:dyDescent="0.25">
      <c r="B304" s="2"/>
      <c r="C304" s="2"/>
      <c r="D304" s="2"/>
      <c r="E304" s="3"/>
      <c r="F304" s="3"/>
    </row>
    <row r="305" spans="2:6" x14ac:dyDescent="0.25">
      <c r="B305" s="2"/>
      <c r="C305" s="2"/>
      <c r="D305" s="2"/>
      <c r="E305" s="3"/>
    </row>
    <row r="306" spans="2:6" x14ac:dyDescent="0.25">
      <c r="B306" s="2"/>
      <c r="C306" s="2"/>
      <c r="D306" s="2"/>
      <c r="E306" s="3"/>
    </row>
    <row r="307" spans="2:6" x14ac:dyDescent="0.25">
      <c r="B307" s="2"/>
      <c r="C307" s="2"/>
      <c r="D307" s="2"/>
      <c r="E307" s="3"/>
      <c r="F307" s="3"/>
    </row>
    <row r="308" spans="2:6" x14ac:dyDescent="0.25">
      <c r="B308" s="2"/>
      <c r="C308" s="2"/>
      <c r="D308" s="2"/>
      <c r="E308" s="3"/>
    </row>
    <row r="309" spans="2:6" x14ac:dyDescent="0.25">
      <c r="B309" s="2"/>
      <c r="C309" s="2"/>
      <c r="D309" s="2"/>
      <c r="E309" s="3"/>
    </row>
    <row r="310" spans="2:6" x14ac:dyDescent="0.25">
      <c r="B310" s="2"/>
      <c r="C310" s="2"/>
      <c r="D310" s="2"/>
      <c r="E310" s="3"/>
      <c r="F310" s="3"/>
    </row>
    <row r="311" spans="2:6" x14ac:dyDescent="0.25">
      <c r="B311" s="2"/>
      <c r="C311" s="2"/>
      <c r="D311" s="2"/>
      <c r="E311" s="3"/>
    </row>
    <row r="312" spans="2:6" x14ac:dyDescent="0.25">
      <c r="B312" s="2"/>
      <c r="C312" s="2"/>
      <c r="D312" s="2"/>
      <c r="E312" s="3"/>
    </row>
    <row r="313" spans="2:6" x14ac:dyDescent="0.25">
      <c r="B313" s="2"/>
      <c r="C313" s="2"/>
      <c r="D313" s="2"/>
      <c r="E313" s="3"/>
      <c r="F313" s="3"/>
    </row>
    <row r="314" spans="2:6" x14ac:dyDescent="0.25">
      <c r="B314" s="2"/>
      <c r="C314" s="2"/>
      <c r="D314" s="2"/>
      <c r="E314" s="3"/>
    </row>
    <row r="315" spans="2:6" x14ac:dyDescent="0.25">
      <c r="B315" s="2"/>
      <c r="C315" s="2"/>
      <c r="D315" s="2"/>
      <c r="E315" s="3"/>
    </row>
    <row r="316" spans="2:6" x14ac:dyDescent="0.25">
      <c r="B316" s="2"/>
      <c r="C316" s="2"/>
      <c r="D316" s="2"/>
      <c r="E316" s="3"/>
      <c r="F316" s="3"/>
    </row>
    <row r="317" spans="2:6" x14ac:dyDescent="0.25">
      <c r="B317" s="2"/>
      <c r="C317" s="2"/>
      <c r="D317" s="2"/>
      <c r="E317" s="3"/>
    </row>
    <row r="318" spans="2:6" x14ac:dyDescent="0.25">
      <c r="B318" s="2"/>
      <c r="C318" s="2"/>
      <c r="D318" s="2"/>
      <c r="E318" s="3"/>
    </row>
    <row r="319" spans="2:6" x14ac:dyDescent="0.25">
      <c r="B319" s="2"/>
      <c r="C319" s="2"/>
      <c r="D319" s="2"/>
      <c r="E319" s="3"/>
      <c r="F319" s="3"/>
    </row>
    <row r="320" spans="2:6" x14ac:dyDescent="0.25">
      <c r="B320" s="2"/>
      <c r="C320" s="2"/>
      <c r="D320" s="2"/>
      <c r="E320" s="3"/>
    </row>
    <row r="321" spans="2:6" x14ac:dyDescent="0.25">
      <c r="B321" s="2"/>
      <c r="C321" s="2"/>
      <c r="D321" s="2"/>
      <c r="E321" s="3"/>
    </row>
    <row r="322" spans="2:6" x14ac:dyDescent="0.25">
      <c r="B322" s="2"/>
      <c r="C322" s="2"/>
      <c r="D322" s="2"/>
      <c r="E322" s="3"/>
      <c r="F322" s="3"/>
    </row>
    <row r="323" spans="2:6" x14ac:dyDescent="0.25">
      <c r="B323" s="2"/>
      <c r="C323" s="2"/>
      <c r="D323" s="2"/>
      <c r="E323" s="3"/>
    </row>
    <row r="324" spans="2:6" x14ac:dyDescent="0.25">
      <c r="B324" s="2"/>
      <c r="C324" s="2"/>
      <c r="D324" s="2"/>
      <c r="E324" s="3"/>
    </row>
    <row r="325" spans="2:6" x14ac:dyDescent="0.25">
      <c r="B325" s="2"/>
      <c r="C325" s="2"/>
      <c r="D325" s="2"/>
      <c r="E325" s="3"/>
      <c r="F325" s="3"/>
    </row>
    <row r="326" spans="2:6" x14ac:dyDescent="0.25">
      <c r="B326" s="2"/>
      <c r="C326" s="2"/>
      <c r="D326" s="2"/>
      <c r="E326" s="3"/>
    </row>
    <row r="327" spans="2:6" x14ac:dyDescent="0.25">
      <c r="B327" s="2"/>
      <c r="C327" s="2"/>
      <c r="D327" s="2"/>
      <c r="E327" s="3"/>
    </row>
    <row r="328" spans="2:6" x14ac:dyDescent="0.25">
      <c r="B328" s="2"/>
      <c r="C328" s="2"/>
      <c r="D328" s="2"/>
      <c r="E328" s="3"/>
      <c r="F328" s="3"/>
    </row>
    <row r="329" spans="2:6" x14ac:dyDescent="0.25">
      <c r="B329" s="2"/>
      <c r="C329" s="2"/>
      <c r="D329" s="2"/>
      <c r="E329" s="3"/>
    </row>
    <row r="330" spans="2:6" x14ac:dyDescent="0.25">
      <c r="B330" s="2"/>
      <c r="C330" s="2"/>
      <c r="D330" s="2"/>
      <c r="E33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Regs</vt:lpstr>
      <vt:lpstr>28N2-O2</vt:lpstr>
      <vt:lpstr>mimsy_check</vt:lpstr>
      <vt:lpstr>30N2</vt:lpstr>
      <vt:lpstr>29N2</vt:lpstr>
    </vt:vector>
  </TitlesOfParts>
  <Company>UTMSI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Gardner</dc:creator>
  <cp:lastModifiedBy>Back, Michael</cp:lastModifiedBy>
  <cp:lastPrinted>2006-11-29T02:27:39Z</cp:lastPrinted>
  <dcterms:created xsi:type="dcterms:W3CDTF">2002-01-15T19:09:40Z</dcterms:created>
  <dcterms:modified xsi:type="dcterms:W3CDTF">2024-11-12T14:23:44Z</dcterms:modified>
</cp:coreProperties>
</file>