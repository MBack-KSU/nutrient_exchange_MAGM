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b\Documents\PhD\Dissertation\MAGM nutrient flux manuscript\data\mims_data\"/>
    </mc:Choice>
  </mc:AlternateContent>
  <xr:revisionPtr revIDLastSave="0" documentId="13_ncr:1_{BECC476E-0862-4272-8B2B-EA72338C399B}" xr6:coauthVersionLast="47" xr6:coauthVersionMax="47" xr10:uidLastSave="{00000000-0000-0000-0000-000000000000}"/>
  <bookViews>
    <workbookView xWindow="-108" yWindow="-108" windowWidth="23256" windowHeight="13896" xr2:uid="{0FCAF627-9D93-41DC-A56D-0E60FD0F6755}"/>
  </bookViews>
  <sheets>
    <sheet name="2023 run 1" sheetId="1" r:id="rId1"/>
    <sheet name="2023 Run 2" sheetId="3" r:id="rId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J9" i="1"/>
  <c r="J8" i="1"/>
  <c r="J7" i="1"/>
  <c r="J6" i="1"/>
  <c r="J5" i="1"/>
  <c r="J4" i="1"/>
  <c r="O10" i="1"/>
  <c r="O9" i="1"/>
  <c r="O8" i="1"/>
  <c r="O7" i="1"/>
  <c r="O6" i="1"/>
  <c r="O5" i="1"/>
  <c r="O4" i="1"/>
  <c r="N10" i="1"/>
  <c r="N9" i="1"/>
  <c r="N8" i="1"/>
  <c r="N7" i="1"/>
  <c r="N6" i="1"/>
  <c r="N5" i="1"/>
  <c r="N4" i="1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56" i="3"/>
  <c r="J14" i="3"/>
  <c r="Q11" i="3"/>
  <c r="R11" i="3"/>
  <c r="Q12" i="3"/>
  <c r="R12" i="3"/>
  <c r="Q13" i="3"/>
  <c r="R13" i="3"/>
  <c r="Q14" i="3"/>
  <c r="R14" i="3"/>
  <c r="Q15" i="3"/>
  <c r="R15" i="3"/>
  <c r="Q16" i="3"/>
  <c r="R16" i="3"/>
  <c r="Q17" i="3"/>
  <c r="R17" i="3"/>
  <c r="Q18" i="3"/>
  <c r="R18" i="3"/>
  <c r="P18" i="3"/>
  <c r="P17" i="3"/>
  <c r="P16" i="3"/>
  <c r="P15" i="3"/>
  <c r="P14" i="3"/>
  <c r="P13" i="3"/>
  <c r="P12" i="3"/>
  <c r="P11" i="3"/>
  <c r="L15" i="3"/>
  <c r="K11" i="3"/>
  <c r="L11" i="3"/>
  <c r="K12" i="3"/>
  <c r="L12" i="3"/>
  <c r="K13" i="3"/>
  <c r="L13" i="3"/>
  <c r="K14" i="3"/>
  <c r="L14" i="3"/>
  <c r="K15" i="3"/>
  <c r="K16" i="3"/>
  <c r="L16" i="3"/>
  <c r="K17" i="3"/>
  <c r="L17" i="3"/>
  <c r="K18" i="3"/>
  <c r="L18" i="3"/>
  <c r="J18" i="3"/>
  <c r="J17" i="3"/>
  <c r="J16" i="3"/>
  <c r="J15" i="3"/>
  <c r="J13" i="3"/>
  <c r="J12" i="3"/>
  <c r="J11" i="3"/>
  <c r="L10" i="3"/>
  <c r="J4" i="3"/>
  <c r="R10" i="3"/>
  <c r="Q10" i="3"/>
  <c r="P10" i="3"/>
  <c r="K10" i="3"/>
  <c r="J10" i="3"/>
  <c r="R9" i="3"/>
  <c r="Q9" i="3"/>
  <c r="P9" i="3"/>
  <c r="L9" i="3"/>
  <c r="K9" i="3"/>
  <c r="J9" i="3"/>
  <c r="R8" i="3"/>
  <c r="Q8" i="3"/>
  <c r="P8" i="3"/>
  <c r="L8" i="3"/>
  <c r="K8" i="3"/>
  <c r="J8" i="3"/>
  <c r="R7" i="3"/>
  <c r="Q7" i="3"/>
  <c r="P7" i="3"/>
  <c r="L7" i="3"/>
  <c r="K7" i="3"/>
  <c r="J7" i="3"/>
  <c r="R6" i="3"/>
  <c r="Q6" i="3"/>
  <c r="P6" i="3"/>
  <c r="L6" i="3"/>
  <c r="K6" i="3"/>
  <c r="J6" i="3"/>
  <c r="R5" i="3"/>
  <c r="Q5" i="3"/>
  <c r="P5" i="3"/>
  <c r="L5" i="3"/>
  <c r="K5" i="3"/>
  <c r="J5" i="3"/>
  <c r="R4" i="3"/>
  <c r="Q4" i="3"/>
  <c r="P4" i="3"/>
  <c r="L4" i="3"/>
  <c r="K4" i="3"/>
  <c r="T10" i="1"/>
  <c r="U10" i="1"/>
  <c r="S10" i="1"/>
  <c r="T9" i="1"/>
  <c r="U9" i="1"/>
  <c r="S9" i="1"/>
  <c r="T8" i="1"/>
  <c r="U8" i="1"/>
  <c r="S8" i="1"/>
  <c r="T7" i="1"/>
  <c r="U7" i="1"/>
  <c r="S7" i="1"/>
  <c r="T6" i="1"/>
  <c r="U6" i="1"/>
  <c r="S6" i="1"/>
  <c r="T5" i="1"/>
  <c r="U5" i="1"/>
  <c r="S5" i="1"/>
  <c r="T4" i="1"/>
  <c r="U4" i="1"/>
  <c r="S4" i="1"/>
  <c r="L10" i="1"/>
  <c r="M10" i="1"/>
  <c r="K10" i="1"/>
  <c r="L9" i="1"/>
  <c r="M9" i="1"/>
  <c r="K9" i="1"/>
  <c r="L8" i="1"/>
  <c r="M8" i="1"/>
  <c r="K8" i="1"/>
  <c r="L7" i="1"/>
  <c r="M7" i="1"/>
  <c r="K7" i="1"/>
  <c r="L6" i="1"/>
  <c r="M6" i="1"/>
  <c r="K6" i="1"/>
  <c r="L5" i="1"/>
  <c r="M5" i="1"/>
  <c r="K5" i="1"/>
  <c r="M4" i="1"/>
  <c r="L4" i="1"/>
  <c r="K4" i="1"/>
</calcChain>
</file>

<file path=xl/sharedStrings.xml><?xml version="1.0" encoding="utf-8"?>
<sst xmlns="http://schemas.openxmlformats.org/spreadsheetml/2006/main" count="75" uniqueCount="30">
  <si>
    <t>X28</t>
  </si>
  <si>
    <t>X32</t>
  </si>
  <si>
    <t>X40</t>
  </si>
  <si>
    <t>std num</t>
  </si>
  <si>
    <t>std temp</t>
  </si>
  <si>
    <t>20 bath</t>
  </si>
  <si>
    <t>30 bath</t>
  </si>
  <si>
    <t>1_2</t>
  </si>
  <si>
    <t>28_slope</t>
  </si>
  <si>
    <t>32_slope</t>
  </si>
  <si>
    <t>40_slope</t>
  </si>
  <si>
    <t>2_3</t>
  </si>
  <si>
    <t>3_4</t>
  </si>
  <si>
    <t>4_5</t>
  </si>
  <si>
    <t>5_6</t>
  </si>
  <si>
    <t>6_7</t>
  </si>
  <si>
    <t>std number</t>
  </si>
  <si>
    <t>7_8</t>
  </si>
  <si>
    <t>8_9</t>
  </si>
  <si>
    <t>9_10</t>
  </si>
  <si>
    <t>10_11</t>
  </si>
  <si>
    <t>11_12</t>
  </si>
  <si>
    <t>12_13</t>
  </si>
  <si>
    <t>13_14</t>
  </si>
  <si>
    <t>14_15</t>
  </si>
  <si>
    <t>Average Between 3 values taken for each std</t>
  </si>
  <si>
    <t>Slope between each set of standards throughout the run</t>
  </si>
  <si>
    <t>N2.Ar</t>
  </si>
  <si>
    <t>O2.Ar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</si>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</sst>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0.00E+00"/>
    <numFmt numFmtId="165" formatCode="0.00E+000"/>
    <numFmt numFmtId="166" formatCode="[$-F400]h:mm:ss\ AM/PM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'2023 run 1'!$N$3</c:f>
              <c:strCache>
                <c:ptCount val="1"/>
                <c:pt idx="0">
                  <c:v>N2.Ar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 run 1'!$J$4:$J$10</c:f>
              <c:numCache>
                <c:formatCode>[$-F400]h:mm:ss\ AM/PM</c:formatCode>
                <c:ptCount val="7"/>
                <c:pt idx="0">
                  <c:v>0.46243441358024689</c:v>
                </c:pt>
                <c:pt idx="1">
                  <c:v>0.47771990740740738</c:v>
                </c:pt>
                <c:pt idx="2">
                  <c:v>0.49522762345679006</c:v>
                </c:pt>
                <c:pt idx="3">
                  <c:v>0.51038966049382717</c:v>
                </c:pt>
                <c:pt idx="4">
                  <c:v>0.52519675925925924</c:v>
                </c:pt>
                <c:pt idx="5">
                  <c:v>0.54039351851851847</c:v>
                </c:pt>
                <c:pt idx="6">
                  <c:v>0.5584220679012345</c:v>
                </c:pt>
              </c:numCache>
            </c:numRef>
          </c:xVal>
          <c:yVal>
            <c:numRef>
              <c:f>'2023 run 1'!$N$4:$N$10</c:f>
              <c:numCache>
                <c:formatCode>General</c:formatCode>
                <c:ptCount val="7"/>
                <c:pt idx="0">
                  <c:v>26.610980000000001</c:v>
                </c:pt>
                <c:pt idx="1">
                  <c:v>26.68959666666667</c:v>
                </c:pt>
                <c:pt idx="2">
                  <c:v>26.695229999999999</c:v>
                </c:pt>
                <c:pt idx="3">
                  <c:v>26.62600333333333</c:v>
                </c:pt>
                <c:pt idx="4">
                  <c:v>26.639099999999999</c:v>
                </c:pt>
                <c:pt idx="5">
                  <c:v>26.70226666666667</c:v>
                </c:pt>
                <c:pt idx="6">
                  <c:v>26.696910000000003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E7-4A04-AADE-ED300E42D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569600"/>
        <c:axId val="1152570080"/>
      </c:scatterChart>
      <c:valAx>
        <c:axId val="1152569600"/>
        <c:scaling>
          <c:orientation val="minMax"/>
          <c:min val="0.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570080"/>
        <c:crosses val="autoZero"/>
        <c:crossBetween val="midCat"/>
      </c:valAx>
      <c:valAx>
        <c:axId val="115257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569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'2023 run 1'!$O$3</c:f>
              <c:strCache>
                <c:ptCount val="1"/>
                <c:pt idx="0">
                  <c:v>O2.Ar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 run 1'!$J$4:$J$10</c:f>
              <c:numCache>
                <c:formatCode>[$-F400]h:mm:ss\ AM/PM</c:formatCode>
                <c:ptCount val="7"/>
                <c:pt idx="0">
                  <c:v>0.46243441358024689</c:v>
                </c:pt>
                <c:pt idx="1">
                  <c:v>0.47771990740740738</c:v>
                </c:pt>
                <c:pt idx="2">
                  <c:v>0.49522762345679006</c:v>
                </c:pt>
                <c:pt idx="3">
                  <c:v>0.51038966049382717</c:v>
                </c:pt>
                <c:pt idx="4">
                  <c:v>0.52519675925925924</c:v>
                </c:pt>
                <c:pt idx="5">
                  <c:v>0.54039351851851847</c:v>
                </c:pt>
                <c:pt idx="6">
                  <c:v>0.5584220679012345</c:v>
                </c:pt>
              </c:numCache>
            </c:numRef>
          </c:xVal>
          <c:yVal>
            <c:numRef>
              <c:f>'2023 run 1'!$O$4:$O$10</c:f>
              <c:numCache>
                <c:formatCode>General</c:formatCode>
                <c:ptCount val="7"/>
                <c:pt idx="0">
                  <c:v>12.750223333333333</c:v>
                </c:pt>
                <c:pt idx="1">
                  <c:v>12.636670000000001</c:v>
                </c:pt>
                <c:pt idx="2">
                  <c:v>12.552996666666667</c:v>
                </c:pt>
                <c:pt idx="3">
                  <c:v>12.55214</c:v>
                </c:pt>
                <c:pt idx="4">
                  <c:v>12.60848666666667</c:v>
                </c:pt>
                <c:pt idx="5">
                  <c:v>12.636916666666666</c:v>
                </c:pt>
                <c:pt idx="6">
                  <c:v>12.628553333333334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B9-4A8B-93F5-B7A205DC8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0677632"/>
        <c:axId val="1040678112"/>
      </c:scatterChart>
      <c:valAx>
        <c:axId val="1040677632"/>
        <c:scaling>
          <c:orientation val="minMax"/>
          <c:min val="0.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678112"/>
        <c:crosses val="autoZero"/>
        <c:crossBetween val="midCat"/>
      </c:valAx>
      <c:valAx>
        <c:axId val="104067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677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'2023 Run 2'!$J$3</c:f>
              <c:strCache>
                <c:ptCount val="1"/>
                <c:pt idx="0">
                  <c:v>X28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 Run 2'!$I$4:$I$18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'2023 Run 2'!$J$4:$J$18</c:f>
              <c:numCache>
                <c:formatCode>[$-409]0.00E+00</c:formatCode>
                <c:ptCount val="15"/>
                <c:pt idx="0">
                  <c:v>1.7672609999999999E-10</c:v>
                </c:pt>
                <c:pt idx="1">
                  <c:v>1.7527803333333332E-10</c:v>
                </c:pt>
                <c:pt idx="2">
                  <c:v>1.7406106666666668E-10</c:v>
                </c:pt>
                <c:pt idx="3">
                  <c:v>1.7020666666666668E-10</c:v>
                </c:pt>
                <c:pt idx="4">
                  <c:v>1.6845106666666666E-10</c:v>
                </c:pt>
                <c:pt idx="5">
                  <c:v>1.675357E-10</c:v>
                </c:pt>
                <c:pt idx="6" formatCode="General">
                  <c:v>1.6497666666666666E-10</c:v>
                </c:pt>
                <c:pt idx="7" formatCode="0.00E+000">
                  <c:v>1.5525236666666664E-10</c:v>
                </c:pt>
                <c:pt idx="8" formatCode="0.00E+000">
                  <c:v>1.5431533333333334E-10</c:v>
                </c:pt>
                <c:pt idx="9" formatCode="0.00E+000">
                  <c:v>1.5292269999999998E-10</c:v>
                </c:pt>
                <c:pt idx="10" formatCode="0.00E+000">
                  <c:v>1.490360333333333E-10</c:v>
                </c:pt>
                <c:pt idx="11" formatCode="0.00E+000">
                  <c:v>1.490360333333333E-10</c:v>
                </c:pt>
                <c:pt idx="12" formatCode="0.00E+000">
                  <c:v>1.4902633333333331E-10</c:v>
                </c:pt>
                <c:pt idx="13" formatCode="0.00E+000">
                  <c:v>1.4751236666666668E-10</c:v>
                </c:pt>
                <c:pt idx="14" formatCode="0.00E+000">
                  <c:v>1.463591E-10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29-4012-BC67-AA305CF3D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0489936"/>
        <c:axId val="2050490416"/>
      </c:scatterChart>
      <c:valAx>
        <c:axId val="2050489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490416"/>
        <c:crosses val="autoZero"/>
        <c:crossBetween val="midCat"/>
      </c:valAx>
      <c:valAx>
        <c:axId val="205049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489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'2023 Run 2'!$K$3</c:f>
              <c:strCache>
                <c:ptCount val="1"/>
                <c:pt idx="0">
                  <c:v>X32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 Run 2'!$I$4:$I$18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'2023 Run 2'!$K$4:$K$18</c:f>
              <c:numCache>
                <c:formatCode>[$-409]0.00E+00</c:formatCode>
                <c:ptCount val="15"/>
                <c:pt idx="0" formatCode="General">
                  <c:v>8.4013763333333337E-11</c:v>
                </c:pt>
                <c:pt idx="1">
                  <c:v>8.2896719999999999E-11</c:v>
                </c:pt>
                <c:pt idx="2">
                  <c:v>8.2067466666666659E-11</c:v>
                </c:pt>
                <c:pt idx="3">
                  <c:v>8.0540823333333331E-11</c:v>
                </c:pt>
                <c:pt idx="4">
                  <c:v>7.9617630000000007E-11</c:v>
                </c:pt>
                <c:pt idx="5">
                  <c:v>7.8996729999999998E-11</c:v>
                </c:pt>
                <c:pt idx="6" formatCode="General">
                  <c:v>7.8256603333333334E-11</c:v>
                </c:pt>
                <c:pt idx="7" formatCode="0.00E+000">
                  <c:v>7.3826433333333322E-11</c:v>
                </c:pt>
                <c:pt idx="8" formatCode="0.00E+000">
                  <c:v>7.319171666666667E-11</c:v>
                </c:pt>
                <c:pt idx="9" formatCode="0.00E+000">
                  <c:v>7.2491659999999989E-11</c:v>
                </c:pt>
                <c:pt idx="10" formatCode="0.00E+000">
                  <c:v>7.1086940000000014E-11</c:v>
                </c:pt>
                <c:pt idx="11" formatCode="0.00E+000">
                  <c:v>7.1086940000000014E-11</c:v>
                </c:pt>
                <c:pt idx="12" formatCode="0.00E+000">
                  <c:v>7.0426363333333337E-11</c:v>
                </c:pt>
                <c:pt idx="13" formatCode="0.00E+000">
                  <c:v>6.9839510000000003E-11</c:v>
                </c:pt>
                <c:pt idx="14" formatCode="0.00E+000">
                  <c:v>6.9402633333333329E-11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AF-4079-A2AD-EBB272547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039616"/>
        <c:axId val="2040272080"/>
      </c:scatterChart>
      <c:valAx>
        <c:axId val="41003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272080"/>
        <c:crosses val="autoZero"/>
        <c:crossBetween val="midCat"/>
      </c:valAx>
      <c:valAx>
        <c:axId val="204027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039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'2023 Run 2'!$L$3</c:f>
              <c:strCache>
                <c:ptCount val="1"/>
                <c:pt idx="0">
                  <c:v>X40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 Run 2'!$I$4:$I$18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'2023 Run 2'!$L$4:$L$18</c:f>
              <c:numCache>
                <c:formatCode>[$-409]0.00E+00</c:formatCode>
                <c:ptCount val="15"/>
                <c:pt idx="0" formatCode="General">
                  <c:v>6.5745156666666663E-12</c:v>
                </c:pt>
                <c:pt idx="1">
                  <c:v>6.5421149999999995E-12</c:v>
                </c:pt>
                <c:pt idx="2">
                  <c:v>6.4939400000000005E-12</c:v>
                </c:pt>
                <c:pt idx="3">
                  <c:v>6.3462073333333333E-12</c:v>
                </c:pt>
                <c:pt idx="4">
                  <c:v>6.2930123333333331E-12</c:v>
                </c:pt>
                <c:pt idx="5">
                  <c:v>6.2591243333333339E-12</c:v>
                </c:pt>
                <c:pt idx="6">
                  <c:v>6.1753993333333343E-12</c:v>
                </c:pt>
                <c:pt idx="7" formatCode="0.00E+000">
                  <c:v>5.8666210000000001E-12</c:v>
                </c:pt>
                <c:pt idx="8" formatCode="0.00E+000">
                  <c:v>5.808881E-12</c:v>
                </c:pt>
                <c:pt idx="9" formatCode="0.00E+000">
                  <c:v>5.7507126666666664E-12</c:v>
                </c:pt>
                <c:pt idx="10" formatCode="0.00E+000">
                  <c:v>5.600357333333334E-12</c:v>
                </c:pt>
                <c:pt idx="11" formatCode="0.00E+000">
                  <c:v>5.600357333333334E-12</c:v>
                </c:pt>
                <c:pt idx="12" formatCode="0.00E+000">
                  <c:v>5.6030723333333325E-12</c:v>
                </c:pt>
                <c:pt idx="13" formatCode="0.00E+000">
                  <c:v>5.5495206666666666E-12</c:v>
                </c:pt>
                <c:pt idx="14" formatCode="0.00E+000">
                  <c:v>5.5021126666666677E-12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41-4724-9072-404E9EDE8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080800"/>
        <c:axId val="458076480"/>
      </c:scatterChart>
      <c:valAx>
        <c:axId val="45808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076480"/>
        <c:crosses val="autoZero"/>
        <c:crossBetween val="midCat"/>
      </c:valAx>
      <c:valAx>
        <c:axId val="45807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08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'2023 Run 2'!$P$3</c:f>
              <c:strCache>
                <c:ptCount val="1"/>
                <c:pt idx="0">
                  <c:v>X28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 Run 2'!$O$4:$O$18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'2023 Run 2'!$P$4:$P$18</c:f>
              <c:numCache>
                <c:formatCode>[$-409]0.00E+00</c:formatCode>
                <c:ptCount val="15"/>
                <c:pt idx="0">
                  <c:v>1.5347956666666667E-10</c:v>
                </c:pt>
                <c:pt idx="1">
                  <c:v>1.5237026666666668E-10</c:v>
                </c:pt>
                <c:pt idx="2">
                  <c:v>1.5162636666666666E-10</c:v>
                </c:pt>
                <c:pt idx="3">
                  <c:v>1.470359E-10</c:v>
                </c:pt>
                <c:pt idx="4">
                  <c:v>1.4614433333333333E-10</c:v>
                </c:pt>
                <c:pt idx="5">
                  <c:v>1.450697E-10</c:v>
                </c:pt>
                <c:pt idx="6" formatCode="General">
                  <c:v>1.4353266666666668E-10</c:v>
                </c:pt>
                <c:pt idx="7" formatCode="0.00E+000">
                  <c:v>1.3702773333333333E-10</c:v>
                </c:pt>
                <c:pt idx="8" formatCode="0.00E+000">
                  <c:v>1.3385176666666666E-10</c:v>
                </c:pt>
                <c:pt idx="9" formatCode="0.00E+000">
                  <c:v>1.3257080000000001E-10</c:v>
                </c:pt>
                <c:pt idx="10" formatCode="0.00E+000">
                  <c:v>1.3110019999999998E-10</c:v>
                </c:pt>
                <c:pt idx="11" formatCode="0.00E+000">
                  <c:v>1.2944153333333333E-10</c:v>
                </c:pt>
                <c:pt idx="12" formatCode="0.00E+000">
                  <c:v>1.2891336666666667E-10</c:v>
                </c:pt>
                <c:pt idx="13" formatCode="0.00E+000">
                  <c:v>1.2783989999999999E-10</c:v>
                </c:pt>
                <c:pt idx="14" formatCode="0.00E+000">
                  <c:v>1.2639353333333335E-10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CC-42F0-90C5-D648C4906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800480"/>
        <c:axId val="406800960"/>
      </c:scatterChart>
      <c:valAx>
        <c:axId val="40680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00960"/>
        <c:crosses val="autoZero"/>
        <c:crossBetween val="midCat"/>
      </c:valAx>
      <c:valAx>
        <c:axId val="40680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00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'2023 Run 2'!$Q$3</c:f>
              <c:strCache>
                <c:ptCount val="1"/>
                <c:pt idx="0">
                  <c:v>X32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 Run 2'!$O$4:$O$18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'2023 Run 2'!$Q$4:$Q$18</c:f>
              <c:numCache>
                <c:formatCode>[$-409]0.00E+00</c:formatCode>
                <c:ptCount val="15"/>
                <c:pt idx="0">
                  <c:v>7.1777329999999993E-11</c:v>
                </c:pt>
                <c:pt idx="1">
                  <c:v>7.0850940000000006E-11</c:v>
                </c:pt>
                <c:pt idx="2">
                  <c:v>7.0412893333333329E-11</c:v>
                </c:pt>
                <c:pt idx="3">
                  <c:v>6.8759103333333336E-11</c:v>
                </c:pt>
                <c:pt idx="4">
                  <c:v>6.8163660000000006E-11</c:v>
                </c:pt>
                <c:pt idx="5">
                  <c:v>6.7649096666666656E-11</c:v>
                </c:pt>
                <c:pt idx="6" formatCode="General">
                  <c:v>6.7116709999999997E-11</c:v>
                </c:pt>
                <c:pt idx="7" formatCode="0.00E+000">
                  <c:v>6.3989303333333335E-11</c:v>
                </c:pt>
                <c:pt idx="8" formatCode="0.00E+000">
                  <c:v>6.2731436666666668E-11</c:v>
                </c:pt>
                <c:pt idx="9" formatCode="0.00E+000">
                  <c:v>6.2188239999999999E-11</c:v>
                </c:pt>
                <c:pt idx="10" formatCode="0.00E+000">
                  <c:v>6.150901666666667E-11</c:v>
                </c:pt>
                <c:pt idx="11" formatCode="0.00E+000">
                  <c:v>6.0935969999999998E-11</c:v>
                </c:pt>
                <c:pt idx="12" formatCode="0.00E+000">
                  <c:v>6.0345490000000011E-11</c:v>
                </c:pt>
                <c:pt idx="13" formatCode="0.00E+000">
                  <c:v>5.9912296666666664E-11</c:v>
                </c:pt>
                <c:pt idx="14" formatCode="0.00E+000">
                  <c:v>5.9280886666666663E-11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AD-484E-BCE8-01E899297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074080"/>
        <c:axId val="458076000"/>
      </c:scatterChart>
      <c:valAx>
        <c:axId val="45807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076000"/>
        <c:crosses val="autoZero"/>
        <c:crossBetween val="midCat"/>
      </c:valAx>
      <c:valAx>
        <c:axId val="45807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074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'2023 Run 2'!$R$3</c:f>
              <c:strCache>
                <c:ptCount val="1"/>
                <c:pt idx="0">
                  <c:v>X40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 Run 2'!$O$4:$O$18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'2023 Run 2'!$R$4:$R$18</c:f>
              <c:numCache>
                <c:formatCode>[$-409]0.00E+00</c:formatCode>
                <c:ptCount val="15"/>
                <c:pt idx="0">
                  <c:v>5.6085936666666664E-12</c:v>
                </c:pt>
                <c:pt idx="1">
                  <c:v>5.5606916666666666E-12</c:v>
                </c:pt>
                <c:pt idx="2">
                  <c:v>5.5301616666666664E-12</c:v>
                </c:pt>
                <c:pt idx="3">
                  <c:v>5.3708796666666671E-12</c:v>
                </c:pt>
                <c:pt idx="4">
                  <c:v>5.3352666666666665E-12</c:v>
                </c:pt>
                <c:pt idx="5">
                  <c:v>5.2997103333333338E-12</c:v>
                </c:pt>
                <c:pt idx="6" formatCode="General">
                  <c:v>5.2494546666666665E-12</c:v>
                </c:pt>
                <c:pt idx="7" formatCode="0.00E+000">
                  <c:v>5.0030669999999995E-12</c:v>
                </c:pt>
                <c:pt idx="8" formatCode="0.00E+000">
                  <c:v>4.9141340000000001E-12</c:v>
                </c:pt>
                <c:pt idx="9" formatCode="0.00E+000">
                  <c:v>4.8669940000000007E-12</c:v>
                </c:pt>
                <c:pt idx="10" formatCode="0.00E+000">
                  <c:v>4.8197113333333332E-12</c:v>
                </c:pt>
                <c:pt idx="11" formatCode="0.00E+000">
                  <c:v>4.7595233333333335E-12</c:v>
                </c:pt>
                <c:pt idx="12" formatCode="0.00E+000">
                  <c:v>4.7437490000000005E-12</c:v>
                </c:pt>
                <c:pt idx="13" formatCode="0.00E+000">
                  <c:v>4.7023856666666671E-12</c:v>
                </c:pt>
                <c:pt idx="14" formatCode="0.00E+000">
                  <c:v>4.6553333333333334E-12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9C-407B-BC42-CCDECA390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802880"/>
        <c:axId val="406811520"/>
      </c:scatterChart>
      <c:valAx>
        <c:axId val="40680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1520"/>
        <c:crosses val="autoZero"/>
        <c:crossBetween val="midCat"/>
      </c:valAx>
      <c:valAx>
        <c:axId val="40681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0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721995</xdr:colOff>
      <xdr:row>10</xdr:row>
      <xdr:rowOff>63817</xdr:rowOff>
    </xdr:from>
    <xdr:to>
      <xdr:col>14</xdr:col>
      <xdr:colOff>606742</xdr:colOff>
      <xdr:row>25</xdr:row>
      <xdr:rowOff>107632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9E9F2E3-B181-D14F-40E5-28D90BEED8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740092</xdr:colOff>
      <xdr:row>25</xdr:row>
      <xdr:rowOff>172402</xdr:rowOff>
    </xdr:from>
    <xdr:to>
      <xdr:col>15</xdr:col>
      <xdr:colOff>29527</xdr:colOff>
      <xdr:row>41</xdr:row>
      <xdr:rowOff>27622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759EE01-847E-E500-373D-7664D57C9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0.40284</cdr:x>
      <cdr:y>0.15482</cdr:y>
    </cdr:from>
    <cdr:to>
      <cdr:x>0.40451</cdr:x>
      <cdr:y>0.90396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832A2669-8BB1-A81D-8B14-AC887059F183}"/>
            </a:ext>
          </a:extLst>
        </cdr:cNvPr>
        <cdr:cNvCxnSpPr/>
      </cdr:nvCxnSpPr>
      <cdr:spPr>
        <a:xfrm xmlns:a="http://schemas.openxmlformats.org/drawingml/2006/main">
          <a:off x="1838325" y="431483"/>
          <a:ext cx="7620" cy="208788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0.71175</cdr:x>
      <cdr:y>0.13568</cdr:y>
    </cdr:from>
    <cdr:to>
      <cdr:x>0.71342</cdr:x>
      <cdr:y>0.90396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8655B30E-2E28-5ACE-53CF-6CEA3AB17736}"/>
            </a:ext>
          </a:extLst>
        </cdr:cNvPr>
        <cdr:cNvCxnSpPr/>
      </cdr:nvCxnSpPr>
      <cdr:spPr>
        <a:xfrm xmlns:a="http://schemas.openxmlformats.org/drawingml/2006/main">
          <a:off x="3248025" y="378143"/>
          <a:ext cx="7620" cy="214122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0.50804</cdr:x>
      <cdr:y>0.15208</cdr:y>
    </cdr:from>
    <cdr:to>
      <cdr:x>0.50971</cdr:x>
      <cdr:y>0.9149</cdr:y>
    </cdr:to>
    <cdr:cxnSp macro="">
      <cdr:nvCxnSpPr>
        <cdr:cNvPr id="7" name="Straight Connector 6">
          <a:extLst xmlns:a="http://schemas.openxmlformats.org/drawingml/2006/main">
            <a:ext uri="{FF2B5EF4-FFF2-40B4-BE49-F238E27FC236}">
              <a16:creationId xmlns:a16="http://schemas.microsoft.com/office/drawing/2014/main" id="{D1C9AB62-BD85-11A3-7C2C-BD3B8255B24F}"/>
            </a:ext>
          </a:extLst>
        </cdr:cNvPr>
        <cdr:cNvCxnSpPr/>
      </cdr:nvCxnSpPr>
      <cdr:spPr>
        <a:xfrm xmlns:a="http://schemas.openxmlformats.org/drawingml/2006/main" flipH="1">
          <a:off x="2318385" y="423863"/>
          <a:ext cx="7620" cy="212598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510540</xdr:colOff>
      <xdr:row>18</xdr:row>
      <xdr:rowOff>88582</xdr:rowOff>
    </xdr:from>
    <xdr:to>
      <xdr:col>13</xdr:col>
      <xdr:colOff>571500</xdr:colOff>
      <xdr:row>29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E3A783-EE23-2308-44B6-5385A290A9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493395</xdr:colOff>
      <xdr:row>29</xdr:row>
      <xdr:rowOff>117158</xdr:rowOff>
    </xdr:from>
    <xdr:to>
      <xdr:col>13</xdr:col>
      <xdr:colOff>529590</xdr:colOff>
      <xdr:row>40</xdr:row>
      <xdr:rowOff>110491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C1D8EF-E0D9-C5A1-827A-E686D994BD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493396</xdr:colOff>
      <xdr:row>40</xdr:row>
      <xdr:rowOff>145732</xdr:rowOff>
    </xdr:from>
    <xdr:to>
      <xdr:col>13</xdr:col>
      <xdr:colOff>544831</xdr:colOff>
      <xdr:row>52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637511-7A04-554C-D6EF-63C8088314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91440</xdr:colOff>
      <xdr:row>18</xdr:row>
      <xdr:rowOff>10477</xdr:rowOff>
    </xdr:from>
    <xdr:to>
      <xdr:col>20</xdr:col>
      <xdr:colOff>0</xdr:colOff>
      <xdr:row>28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37FFCF-B52F-FE51-C8D6-A33FC4B72A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104776</xdr:colOff>
      <xdr:row>29</xdr:row>
      <xdr:rowOff>10477</xdr:rowOff>
    </xdr:from>
    <xdr:to>
      <xdr:col>20</xdr:col>
      <xdr:colOff>201930</xdr:colOff>
      <xdr:row>39</xdr:row>
      <xdr:rowOff>160020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67E20CB-C83C-A3C2-C8A5-A18C29BB49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106680</xdr:colOff>
      <xdr:row>40</xdr:row>
      <xdr:rowOff>21906</xdr:rowOff>
    </xdr:from>
    <xdr:to>
      <xdr:col>20</xdr:col>
      <xdr:colOff>171450</xdr:colOff>
      <xdr:row>50</xdr:row>
      <xdr:rowOff>127634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8E15677-D856-EEF8-967C-C2E2C40BC4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0C850-49B7-4ADB-B9A2-8DBF7C9ED5C6}">
  <dimension ref="A1:W43"/>
  <sheetViews>
    <sheetView tabSelected="1" zoomScaleNormal="100" workbookViewId="0">
      <selection activeCell="P10" sqref="P10"/>
    </sheetView>
  </sheetViews>
  <sheetFormatPr defaultRowHeight="14.4" x14ac:dyDescent="0.3"/>
  <cols>
    <col min="8" max="8" width="11" style="4" bestFit="1" customWidth="1"/>
    <col min="9" max="9" width="11" style="4" customWidth="1"/>
    <col min="10" max="10" width="11" bestFit="1" customWidth="1"/>
    <col min="11" max="11" width="12" bestFit="1" customWidth="1"/>
    <col min="12" max="13" width="12.6640625" bestFit="1" customWidth="1"/>
    <col min="19" max="21" width="12.6640625" bestFit="1" customWidth="1"/>
  </cols>
  <sheetData>
    <row r="1" spans="1:23" x14ac:dyDescent="0.3">
      <c r="A1" t="s">
        <v>3</v>
      </c>
      <c r="B1" t="s">
        <v>4</v>
      </c>
      <c r="C1" t="s">
        <v>0</v>
      </c>
      <c r="D1" t="s">
        <v>1</v>
      </c>
      <c r="E1" t="s">
        <v>2</v>
      </c>
      <c r="F1" t="s">
        <v>27</v>
      </c>
      <c r="G1" t="s">
        <v>28</v>
      </c>
      <c r="H1" s="4" t="s">
        <v>29</v>
      </c>
      <c r="J1" t="s">
        <v>25</v>
      </c>
    </row>
    <row r="2" spans="1:23" x14ac:dyDescent="0.3">
      <c r="A2">
        <v>1</v>
      </c>
      <c r="B2">
        <v>20</v>
      </c>
      <c r="C2">
        <v>1.799815E-10</v>
      </c>
      <c r="D2">
        <v>8.6242489999999994E-11</v>
      </c>
      <c r="E2">
        <v>6.763407E-12</v>
      </c>
      <c r="F2">
        <v>26.611070000000002</v>
      </c>
      <c r="G2">
        <v>12.751340000000001</v>
      </c>
      <c r="H2" s="4">
        <v>0.46233796296296292</v>
      </c>
      <c r="J2" t="s">
        <v>5</v>
      </c>
      <c r="R2" t="s">
        <v>6</v>
      </c>
    </row>
    <row r="3" spans="1:23" x14ac:dyDescent="0.3">
      <c r="A3">
        <v>1</v>
      </c>
      <c r="B3">
        <v>20</v>
      </c>
      <c r="C3">
        <v>1.7994929999999999E-10</v>
      </c>
      <c r="D3">
        <v>8.6220270000000001E-11</v>
      </c>
      <c r="E3">
        <v>6.7626990000000001E-12</v>
      </c>
      <c r="F3">
        <v>26.609100000000002</v>
      </c>
      <c r="G3">
        <v>12.74939</v>
      </c>
      <c r="H3" s="4">
        <v>0.46243055555555551</v>
      </c>
      <c r="J3" t="s">
        <v>29</v>
      </c>
      <c r="K3" t="s">
        <v>0</v>
      </c>
      <c r="L3" t="s">
        <v>1</v>
      </c>
      <c r="M3" t="s">
        <v>2</v>
      </c>
      <c r="N3" t="s">
        <v>27</v>
      </c>
      <c r="O3" t="s">
        <v>28</v>
      </c>
      <c r="R3" t="s">
        <v>3</v>
      </c>
      <c r="S3" t="s">
        <v>0</v>
      </c>
      <c r="T3" t="s">
        <v>1</v>
      </c>
      <c r="U3" t="s">
        <v>2</v>
      </c>
      <c r="V3" t="s">
        <v>27</v>
      </c>
      <c r="W3" t="s">
        <v>28</v>
      </c>
    </row>
    <row r="4" spans="1:23" x14ac:dyDescent="0.3">
      <c r="A4">
        <v>1</v>
      </c>
      <c r="B4">
        <v>20</v>
      </c>
      <c r="C4">
        <v>1.7990719999999999E-10</v>
      </c>
      <c r="D4">
        <v>8.6191930000000004E-11</v>
      </c>
      <c r="E4">
        <v>6.7601839999999999E-12</v>
      </c>
      <c r="F4">
        <v>26.612770000000001</v>
      </c>
      <c r="G4">
        <v>12.74994</v>
      </c>
      <c r="H4" s="4">
        <v>0.46253472222222219</v>
      </c>
      <c r="J4" s="4">
        <f>AVERAGE(H2:H4)</f>
        <v>0.46243441358024689</v>
      </c>
      <c r="K4">
        <f>AVERAGE(C2:C4)</f>
        <v>1.7994599999999998E-10</v>
      </c>
      <c r="L4">
        <f>AVERAGE(D2:D4)</f>
        <v>8.621823E-11</v>
      </c>
      <c r="M4">
        <f>AVERAGE(E2:E4)</f>
        <v>6.7620966666666664E-12</v>
      </c>
      <c r="N4">
        <f>AVERAGE(F2:F4)</f>
        <v>26.610980000000001</v>
      </c>
      <c r="O4">
        <f>AVERAGE(G2:G4)</f>
        <v>12.750223333333333</v>
      </c>
      <c r="R4">
        <v>1</v>
      </c>
      <c r="S4" s="1">
        <f>AVERAGE(C5:C7)</f>
        <v>1.5582689999999999E-10</v>
      </c>
      <c r="T4" s="1">
        <f t="shared" ref="T4:U4" si="0">AVERAGE(D5:D7)</f>
        <v>7.2981040000000009E-11</v>
      </c>
      <c r="U4" s="1">
        <f t="shared" si="0"/>
        <v>5.705100666666667E-12</v>
      </c>
    </row>
    <row r="5" spans="1:23" x14ac:dyDescent="0.3">
      <c r="A5">
        <v>1</v>
      </c>
      <c r="B5">
        <v>30</v>
      </c>
      <c r="C5" s="1">
        <v>1.55852E-10</v>
      </c>
      <c r="D5" s="1">
        <v>7.2999359999999999E-11</v>
      </c>
      <c r="E5" s="1">
        <v>5.7073340000000004E-12</v>
      </c>
      <c r="F5">
        <v>27.30733</v>
      </c>
      <c r="G5">
        <v>12.79045</v>
      </c>
      <c r="H5" s="4">
        <v>0.4665393518518518</v>
      </c>
      <c r="J5" s="4">
        <f>AVERAGE(H8:H10)</f>
        <v>0.47771990740740738</v>
      </c>
      <c r="K5" s="1">
        <f>AVERAGE(C8:C10)</f>
        <v>1.7738060000000002E-10</v>
      </c>
      <c r="L5" s="1">
        <f t="shared" ref="L5:M5" si="1">AVERAGE(D8:D10)</f>
        <v>8.398402333333332E-11</v>
      </c>
      <c r="M5" s="1">
        <f t="shared" si="1"/>
        <v>6.6460576666666666E-12</v>
      </c>
      <c r="N5">
        <f>AVERAGE(F8:F10)</f>
        <v>26.68959666666667</v>
      </c>
      <c r="O5">
        <f>AVERAGE(G8:G10)</f>
        <v>12.636670000000001</v>
      </c>
      <c r="R5">
        <v>2</v>
      </c>
      <c r="S5" s="1">
        <f>AVERAGE(C11:C13)</f>
        <v>1.5454346666666667E-10</v>
      </c>
      <c r="T5" s="1">
        <f t="shared" ref="T5:U5" si="2">AVERAGE(D11:D13)</f>
        <v>7.2198153333333334E-11</v>
      </c>
      <c r="U5" s="1">
        <f t="shared" si="2"/>
        <v>5.655122666666666E-12</v>
      </c>
    </row>
    <row r="6" spans="1:23" x14ac:dyDescent="0.3">
      <c r="A6">
        <v>1</v>
      </c>
      <c r="B6">
        <v>30</v>
      </c>
      <c r="C6" s="1">
        <v>1.5583540000000001E-10</v>
      </c>
      <c r="D6" s="1">
        <v>7.2987329999999995E-11</v>
      </c>
      <c r="E6" s="1">
        <v>5.7056180000000001E-12</v>
      </c>
      <c r="F6">
        <v>27.312619999999999</v>
      </c>
      <c r="G6">
        <v>12.79219</v>
      </c>
      <c r="H6" s="4">
        <v>0.46664351851851849</v>
      </c>
      <c r="J6" s="4">
        <f>AVERAGE(H14:H16)</f>
        <v>0.49522762345679006</v>
      </c>
      <c r="K6" s="1">
        <f>AVERAGE(C14:C16)</f>
        <v>1.750538E-10</v>
      </c>
      <c r="L6" s="1">
        <f t="shared" ref="L6:M6" si="3">AVERAGE(D14:D16)</f>
        <v>8.2316199999999997E-11</v>
      </c>
      <c r="M6" s="1">
        <f t="shared" si="3"/>
        <v>6.5574936666666661E-12</v>
      </c>
      <c r="N6">
        <f>AVERAGE(F14:F16)</f>
        <v>26.695229999999999</v>
      </c>
      <c r="O6">
        <f>AVERAGE(G14:G16)</f>
        <v>12.552996666666667</v>
      </c>
      <c r="R6">
        <v>3</v>
      </c>
      <c r="S6" s="1">
        <f>AVERAGE(C17:C19)</f>
        <v>1.5250100000000002E-10</v>
      </c>
      <c r="T6" s="1">
        <f t="shared" ref="T6:U6" si="4">AVERAGE(D17:D19)</f>
        <v>7.0926043333333331E-11</v>
      </c>
      <c r="U6" s="1">
        <f t="shared" si="4"/>
        <v>5.5786346666666662E-12</v>
      </c>
    </row>
    <row r="7" spans="1:23" x14ac:dyDescent="0.3">
      <c r="A7">
        <v>1</v>
      </c>
      <c r="B7">
        <v>30</v>
      </c>
      <c r="C7" s="1">
        <v>1.557933E-10</v>
      </c>
      <c r="D7" s="1">
        <v>7.2956430000000006E-11</v>
      </c>
      <c r="E7" s="1">
        <v>5.7023499999999998E-12</v>
      </c>
      <c r="F7">
        <v>27.320889999999999</v>
      </c>
      <c r="G7">
        <v>12.7941</v>
      </c>
      <c r="H7" s="4">
        <v>0.46677083333333336</v>
      </c>
      <c r="J7" s="4">
        <f>AVERAGE(H20:H22)</f>
        <v>0.51038966049382717</v>
      </c>
      <c r="K7" s="1">
        <f>AVERAGE(C20:C22)</f>
        <v>1.7253146666666668E-10</v>
      </c>
      <c r="L7" s="1">
        <f t="shared" ref="L7:M7" si="5">AVERAGE(D20:D22)</f>
        <v>8.1335476666666667E-11</v>
      </c>
      <c r="M7" s="1">
        <f t="shared" si="5"/>
        <v>6.4798109999999998E-12</v>
      </c>
      <c r="N7">
        <f>AVERAGE(F20:F22)</f>
        <v>26.62600333333333</v>
      </c>
      <c r="O7">
        <f>AVERAGE(G20:G22)</f>
        <v>12.55214</v>
      </c>
      <c r="R7">
        <v>4</v>
      </c>
      <c r="S7" s="1">
        <f>AVERAGE(C23:C25)</f>
        <v>1.5075003333333332E-10</v>
      </c>
      <c r="T7" s="1">
        <f t="shared" ref="T7:U7" si="6">AVERAGE(D23:D25)</f>
        <v>7.0091210000000001E-11</v>
      </c>
      <c r="U7" s="1">
        <f t="shared" si="6"/>
        <v>5.5120419999999991E-12</v>
      </c>
    </row>
    <row r="8" spans="1:23" x14ac:dyDescent="0.3">
      <c r="A8">
        <v>2</v>
      </c>
      <c r="B8">
        <v>20</v>
      </c>
      <c r="C8" s="1">
        <v>1.774373E-10</v>
      </c>
      <c r="D8" s="1">
        <v>8.3961300000000001E-11</v>
      </c>
      <c r="E8" s="1">
        <v>6.6482300000000002E-12</v>
      </c>
      <c r="F8">
        <v>26.689409999999999</v>
      </c>
      <c r="G8">
        <v>12.62912</v>
      </c>
      <c r="H8" s="4">
        <v>0.4776273148148148</v>
      </c>
      <c r="J8" s="4">
        <f>AVERAGE(H26:H28)</f>
        <v>0.52519675925925924</v>
      </c>
      <c r="K8" s="1">
        <f>AVERAGE(C26:C28)</f>
        <v>1.7061483333333332E-10</v>
      </c>
      <c r="L8" s="1">
        <f t="shared" ref="L8:M8" si="7">AVERAGE(D26:D28)</f>
        <v>8.0753269999999993E-11</v>
      </c>
      <c r="M8" s="1">
        <f t="shared" si="7"/>
        <v>6.4046773333333331E-12</v>
      </c>
      <c r="N8">
        <f>AVERAGE(F26:F28)</f>
        <v>26.639099999999999</v>
      </c>
      <c r="O8">
        <f>AVERAGE(G26:G28)</f>
        <v>12.60848666666667</v>
      </c>
      <c r="R8">
        <v>5</v>
      </c>
      <c r="S8" s="1">
        <f>AVERAGE(C29:C31)</f>
        <v>1.4838919999999999E-10</v>
      </c>
      <c r="T8" s="1">
        <f t="shared" ref="T8:U8" si="8">AVERAGE(D29:D31)</f>
        <v>6.914396333333334E-11</v>
      </c>
      <c r="U8" s="1">
        <f t="shared" si="8"/>
        <v>5.4378976666666666E-12</v>
      </c>
    </row>
    <row r="9" spans="1:23" x14ac:dyDescent="0.3">
      <c r="A9">
        <v>2</v>
      </c>
      <c r="B9">
        <v>20</v>
      </c>
      <c r="C9" s="1">
        <v>1.773901E-10</v>
      </c>
      <c r="D9" s="1">
        <v>8.3989259999999998E-11</v>
      </c>
      <c r="E9" s="1">
        <v>6.6453239999999997E-12</v>
      </c>
      <c r="F9">
        <v>26.69397</v>
      </c>
      <c r="G9">
        <v>12.63885</v>
      </c>
      <c r="H9" s="4">
        <v>0.47770833333333329</v>
      </c>
      <c r="J9" s="4">
        <f>AVERAGE(H32:H34)</f>
        <v>0.54039351851851847</v>
      </c>
      <c r="K9" s="1">
        <f>AVERAGE(C32:C34)</f>
        <v>1.6900853333333333E-10</v>
      </c>
      <c r="L9" s="1">
        <f t="shared" ref="L9:M9" si="9">AVERAGE(D32:D34)</f>
        <v>7.9983746666666676E-11</v>
      </c>
      <c r="M9" s="1">
        <f t="shared" si="9"/>
        <v>6.3293710000000003E-12</v>
      </c>
      <c r="N9">
        <f>AVERAGE(F32:F34)</f>
        <v>26.70226666666667</v>
      </c>
      <c r="O9">
        <f>AVERAGE(G32:G34)</f>
        <v>12.636916666666666</v>
      </c>
      <c r="R9">
        <v>6</v>
      </c>
      <c r="S9" s="1">
        <f>AVERAGE(C35:C37)</f>
        <v>1.4634053333333334E-10</v>
      </c>
      <c r="T9" s="1">
        <f t="shared" ref="T9:U9" si="10">AVERAGE(D35:D37)</f>
        <v>6.8445256666666675E-11</v>
      </c>
      <c r="U9" s="1">
        <f t="shared" si="10"/>
        <v>5.3600523333333326E-12</v>
      </c>
    </row>
    <row r="10" spans="1:23" x14ac:dyDescent="0.3">
      <c r="A10">
        <v>2</v>
      </c>
      <c r="B10">
        <v>20</v>
      </c>
      <c r="C10" s="1">
        <v>1.7731440000000001E-10</v>
      </c>
      <c r="D10" s="1">
        <v>8.400151E-11</v>
      </c>
      <c r="E10" s="1">
        <v>6.6446189999999998E-12</v>
      </c>
      <c r="F10">
        <v>26.685410000000001</v>
      </c>
      <c r="G10">
        <v>12.64204</v>
      </c>
      <c r="H10" s="4">
        <v>0.47782407407407407</v>
      </c>
      <c r="J10" s="4">
        <f>AVERAGE(H38:H40)</f>
        <v>0.5584220679012345</v>
      </c>
      <c r="K10">
        <f>AVERAGE(C38:C40)</f>
        <v>1.6682669999999999E-10</v>
      </c>
      <c r="L10">
        <f t="shared" ref="L10:M10" si="11">AVERAGE(D38:D40)</f>
        <v>7.8914736666666663E-11</v>
      </c>
      <c r="M10">
        <f t="shared" si="11"/>
        <v>6.2489143333333337E-12</v>
      </c>
      <c r="N10">
        <f>AVERAGE(F38:F40)</f>
        <v>26.696910000000003</v>
      </c>
      <c r="O10">
        <f>AVERAGE(G38:G40)</f>
        <v>12.628553333333334</v>
      </c>
      <c r="R10">
        <v>7</v>
      </c>
      <c r="S10">
        <f>AVERAGE(C41:C43)</f>
        <v>1.4478006666666667E-10</v>
      </c>
      <c r="T10">
        <f t="shared" ref="T10:U10" si="12">AVERAGE(D41:D43)</f>
        <v>6.7574093333333324E-11</v>
      </c>
      <c r="U10">
        <f t="shared" si="12"/>
        <v>5.2968853333333331E-12</v>
      </c>
    </row>
    <row r="11" spans="1:23" x14ac:dyDescent="0.3">
      <c r="A11">
        <v>2</v>
      </c>
      <c r="B11">
        <v>30</v>
      </c>
      <c r="C11" s="1">
        <v>1.545517E-10</v>
      </c>
      <c r="D11" s="1">
        <v>7.2203449999999995E-11</v>
      </c>
      <c r="E11" s="1">
        <v>5.6547919999999999E-12</v>
      </c>
      <c r="F11">
        <v>27.331109999999999</v>
      </c>
      <c r="G11">
        <v>12.76854</v>
      </c>
      <c r="H11" s="4">
        <v>0.48113425925925923</v>
      </c>
    </row>
    <row r="12" spans="1:23" x14ac:dyDescent="0.3">
      <c r="A12">
        <v>2</v>
      </c>
      <c r="B12">
        <v>30</v>
      </c>
      <c r="C12" s="1">
        <v>1.545312E-10</v>
      </c>
      <c r="D12" s="1">
        <v>7.2194269999999995E-11</v>
      </c>
      <c r="E12" s="1">
        <v>5.6551039999999999E-12</v>
      </c>
      <c r="F12">
        <v>27.325970000000002</v>
      </c>
      <c r="G12">
        <v>12.766209999999999</v>
      </c>
      <c r="H12" s="4">
        <v>0.48121527777777773</v>
      </c>
    </row>
    <row r="13" spans="1:23" x14ac:dyDescent="0.3">
      <c r="A13">
        <v>2</v>
      </c>
      <c r="B13">
        <v>30</v>
      </c>
      <c r="C13" s="1">
        <v>1.545475E-10</v>
      </c>
      <c r="D13" s="1">
        <v>7.2196739999999999E-11</v>
      </c>
      <c r="E13" s="1">
        <v>5.6554719999999999E-12</v>
      </c>
      <c r="F13">
        <v>27.327069999999999</v>
      </c>
      <c r="G13">
        <v>12.76582</v>
      </c>
      <c r="H13" s="4">
        <v>0.48129629629629628</v>
      </c>
    </row>
    <row r="14" spans="1:23" x14ac:dyDescent="0.3">
      <c r="A14">
        <v>3</v>
      </c>
      <c r="B14">
        <v>20</v>
      </c>
      <c r="C14" s="1">
        <v>1.751026E-10</v>
      </c>
      <c r="D14" s="1">
        <v>8.2292559999999999E-11</v>
      </c>
      <c r="E14" s="1">
        <v>6.5586749999999996E-12</v>
      </c>
      <c r="F14">
        <v>26.697870000000002</v>
      </c>
      <c r="G14">
        <v>12.547129999999999</v>
      </c>
      <c r="H14" s="4">
        <v>0.49517361111111108</v>
      </c>
    </row>
    <row r="15" spans="1:23" x14ac:dyDescent="0.3">
      <c r="A15">
        <v>3</v>
      </c>
      <c r="B15">
        <v>20</v>
      </c>
      <c r="C15" s="1">
        <v>1.7505180000000001E-10</v>
      </c>
      <c r="D15" s="1">
        <v>8.2318419999999999E-11</v>
      </c>
      <c r="E15" s="1">
        <v>6.5576420000000003E-12</v>
      </c>
      <c r="F15">
        <v>26.694320000000001</v>
      </c>
      <c r="G15">
        <v>12.553050000000001</v>
      </c>
      <c r="H15" s="4">
        <v>0.49523148148148144</v>
      </c>
    </row>
    <row r="16" spans="1:23" x14ac:dyDescent="0.3">
      <c r="A16">
        <v>3</v>
      </c>
      <c r="B16">
        <v>20</v>
      </c>
      <c r="C16" s="1">
        <v>1.75007E-10</v>
      </c>
      <c r="D16" s="1">
        <v>8.2337620000000006E-11</v>
      </c>
      <c r="E16" s="1">
        <v>6.5561640000000001E-12</v>
      </c>
      <c r="F16">
        <v>26.6935</v>
      </c>
      <c r="G16">
        <v>12.558809999999999</v>
      </c>
      <c r="H16" s="4">
        <v>0.49527777777777776</v>
      </c>
    </row>
    <row r="17" spans="1:8" x14ac:dyDescent="0.3">
      <c r="A17">
        <v>3</v>
      </c>
      <c r="B17">
        <v>30</v>
      </c>
      <c r="C17" s="1">
        <v>1.5260469999999999E-10</v>
      </c>
      <c r="D17" s="1">
        <v>7.0961760000000001E-11</v>
      </c>
      <c r="E17" s="1">
        <v>5.5820229999999998E-12</v>
      </c>
      <c r="F17">
        <v>27.3386</v>
      </c>
      <c r="G17">
        <v>12.71255</v>
      </c>
      <c r="H17" s="4">
        <v>0.49792824074074077</v>
      </c>
    </row>
    <row r="18" spans="1:8" x14ac:dyDescent="0.3">
      <c r="A18">
        <v>3</v>
      </c>
      <c r="B18">
        <v>30</v>
      </c>
      <c r="C18" s="1">
        <v>1.524989E-10</v>
      </c>
      <c r="D18" s="1">
        <v>7.0928650000000004E-11</v>
      </c>
      <c r="E18" s="1">
        <v>5.5778970000000002E-12</v>
      </c>
      <c r="F18">
        <v>27.339860000000002</v>
      </c>
      <c r="G18">
        <v>12.71602</v>
      </c>
      <c r="H18" s="4">
        <v>0.49804398148148149</v>
      </c>
    </row>
    <row r="19" spans="1:8" x14ac:dyDescent="0.3">
      <c r="A19">
        <v>3</v>
      </c>
      <c r="B19">
        <v>30</v>
      </c>
      <c r="C19" s="1">
        <v>1.523994E-10</v>
      </c>
      <c r="D19" s="1">
        <v>7.0887720000000002E-11</v>
      </c>
      <c r="E19" s="1">
        <v>5.5759840000000001E-12</v>
      </c>
      <c r="F19">
        <v>27.331389999999999</v>
      </c>
      <c r="G19">
        <v>12.713039999999999</v>
      </c>
      <c r="H19" s="4">
        <v>0.49815972222222221</v>
      </c>
    </row>
    <row r="20" spans="1:8" x14ac:dyDescent="0.3">
      <c r="A20">
        <v>4</v>
      </c>
      <c r="B20">
        <v>20</v>
      </c>
      <c r="C20" s="1">
        <v>1.726046E-10</v>
      </c>
      <c r="D20" s="1">
        <v>8.1308320000000001E-11</v>
      </c>
      <c r="E20" s="1">
        <v>6.4820609999999997E-12</v>
      </c>
      <c r="F20">
        <v>26.628039999999999</v>
      </c>
      <c r="G20">
        <v>12.54359</v>
      </c>
      <c r="H20" s="4">
        <v>0.51030092592592591</v>
      </c>
    </row>
    <row r="21" spans="1:8" x14ac:dyDescent="0.3">
      <c r="A21">
        <v>4</v>
      </c>
      <c r="B21">
        <v>20</v>
      </c>
      <c r="C21" s="1">
        <v>1.7257440000000001E-10</v>
      </c>
      <c r="D21" s="1">
        <v>8.1314649999999997E-11</v>
      </c>
      <c r="E21" s="1">
        <v>6.481247E-12</v>
      </c>
      <c r="F21">
        <v>26.626729999999998</v>
      </c>
      <c r="G21">
        <v>12.546139999999999</v>
      </c>
      <c r="H21" s="4">
        <v>0.51033564814814814</v>
      </c>
    </row>
    <row r="22" spans="1:8" x14ac:dyDescent="0.3">
      <c r="A22">
        <v>4</v>
      </c>
      <c r="B22">
        <v>20</v>
      </c>
      <c r="C22" s="1">
        <v>1.7241539999999999E-10</v>
      </c>
      <c r="D22" s="1">
        <v>8.1383460000000001E-11</v>
      </c>
      <c r="E22" s="1">
        <v>6.4761249999999997E-12</v>
      </c>
      <c r="F22">
        <v>26.623239999999999</v>
      </c>
      <c r="G22">
        <v>12.566689999999999</v>
      </c>
      <c r="H22" s="4">
        <v>0.51053240740740735</v>
      </c>
    </row>
    <row r="23" spans="1:8" x14ac:dyDescent="0.3">
      <c r="A23">
        <v>4</v>
      </c>
      <c r="B23">
        <v>30</v>
      </c>
      <c r="C23" s="1">
        <v>1.508315E-10</v>
      </c>
      <c r="D23" s="1">
        <v>7.0124179999999995E-11</v>
      </c>
      <c r="E23" s="1">
        <v>5.5145689999999998E-12</v>
      </c>
      <c r="F23">
        <v>27.351459999999999</v>
      </c>
      <c r="G23">
        <v>12.71617</v>
      </c>
      <c r="H23" s="4">
        <v>0.51327546296296289</v>
      </c>
    </row>
    <row r="24" spans="1:8" x14ac:dyDescent="0.3">
      <c r="A24">
        <v>4</v>
      </c>
      <c r="B24">
        <v>30</v>
      </c>
      <c r="C24" s="1">
        <v>1.5072199999999999E-10</v>
      </c>
      <c r="D24" s="1">
        <v>7.0076379999999996E-11</v>
      </c>
      <c r="E24" s="1">
        <v>5.510549E-12</v>
      </c>
      <c r="F24">
        <v>27.35154</v>
      </c>
      <c r="G24">
        <v>12.71677</v>
      </c>
      <c r="H24" s="4">
        <v>0.51346064814814807</v>
      </c>
    </row>
    <row r="25" spans="1:8" x14ac:dyDescent="0.3">
      <c r="A25">
        <v>4</v>
      </c>
      <c r="B25">
        <v>30</v>
      </c>
      <c r="C25" s="1">
        <v>1.5069660000000001E-10</v>
      </c>
      <c r="D25" s="1">
        <v>7.0073069999999998E-11</v>
      </c>
      <c r="E25" s="1">
        <v>5.511008E-12</v>
      </c>
      <c r="F25">
        <v>27.344660000000001</v>
      </c>
      <c r="G25">
        <v>12.715109999999999</v>
      </c>
      <c r="H25" s="4">
        <v>0.51353009259259252</v>
      </c>
    </row>
    <row r="26" spans="1:8" x14ac:dyDescent="0.3">
      <c r="A26">
        <v>5</v>
      </c>
      <c r="B26">
        <v>20</v>
      </c>
      <c r="C26" s="1">
        <v>1.7070670000000001E-10</v>
      </c>
      <c r="D26" s="1">
        <v>8.0711389999999999E-11</v>
      </c>
      <c r="E26" s="1">
        <v>6.4082060000000003E-12</v>
      </c>
      <c r="F26">
        <v>26.638760000000001</v>
      </c>
      <c r="G26">
        <v>12.595000000000001</v>
      </c>
      <c r="H26" s="4">
        <v>0.52501157407407406</v>
      </c>
    </row>
    <row r="27" spans="1:8" x14ac:dyDescent="0.3">
      <c r="A27">
        <v>5</v>
      </c>
      <c r="B27">
        <v>20</v>
      </c>
      <c r="C27" s="1">
        <v>1.706092E-10</v>
      </c>
      <c r="D27" s="1">
        <v>8.0771580000000003E-11</v>
      </c>
      <c r="E27" s="1">
        <v>6.4035129999999998E-12</v>
      </c>
      <c r="F27">
        <v>26.643070000000002</v>
      </c>
      <c r="G27">
        <v>12.61364</v>
      </c>
      <c r="H27" s="4">
        <v>0.52524305555555562</v>
      </c>
    </row>
    <row r="28" spans="1:8" x14ac:dyDescent="0.3">
      <c r="A28">
        <v>5</v>
      </c>
      <c r="B28">
        <v>20</v>
      </c>
      <c r="C28" s="1">
        <v>1.705286E-10</v>
      </c>
      <c r="D28" s="1">
        <v>8.0776840000000003E-11</v>
      </c>
      <c r="E28" s="1">
        <v>6.4023130000000001E-12</v>
      </c>
      <c r="F28">
        <v>26.635470000000002</v>
      </c>
      <c r="G28">
        <v>12.616820000000001</v>
      </c>
      <c r="H28" s="4">
        <v>0.52533564814814815</v>
      </c>
    </row>
    <row r="29" spans="1:8" x14ac:dyDescent="0.3">
      <c r="A29">
        <v>5</v>
      </c>
      <c r="B29">
        <v>30</v>
      </c>
      <c r="C29" s="1">
        <v>1.484334E-10</v>
      </c>
      <c r="D29" s="1">
        <v>6.9164989999999995E-11</v>
      </c>
      <c r="E29" s="1">
        <v>5.4401669999999997E-12</v>
      </c>
      <c r="F29">
        <v>27.28472</v>
      </c>
      <c r="G29">
        <v>12.713760000000001</v>
      </c>
      <c r="H29" s="4">
        <v>0.52797453703703701</v>
      </c>
    </row>
    <row r="30" spans="1:8" x14ac:dyDescent="0.3">
      <c r="A30">
        <v>5</v>
      </c>
      <c r="B30">
        <v>30</v>
      </c>
      <c r="C30" s="1">
        <v>1.4841009999999999E-10</v>
      </c>
      <c r="D30" s="1">
        <v>6.9148700000000001E-11</v>
      </c>
      <c r="E30" s="1">
        <v>5.438326E-12</v>
      </c>
      <c r="F30">
        <v>27.289660000000001</v>
      </c>
      <c r="G30">
        <v>12.715070000000001</v>
      </c>
      <c r="H30" s="4">
        <v>0.52800925925925923</v>
      </c>
    </row>
    <row r="31" spans="1:8" x14ac:dyDescent="0.3">
      <c r="A31">
        <v>5</v>
      </c>
      <c r="B31">
        <v>30</v>
      </c>
      <c r="C31" s="1">
        <v>1.483241E-10</v>
      </c>
      <c r="D31" s="1">
        <v>6.9118199999999998E-11</v>
      </c>
      <c r="E31" s="1">
        <v>5.4352000000000001E-12</v>
      </c>
      <c r="F31">
        <v>27.289539999999999</v>
      </c>
      <c r="G31">
        <v>12.71677</v>
      </c>
      <c r="H31" s="4">
        <v>0.52820601851851856</v>
      </c>
    </row>
    <row r="32" spans="1:8" x14ac:dyDescent="0.3">
      <c r="A32">
        <v>6</v>
      </c>
      <c r="B32">
        <v>20</v>
      </c>
      <c r="C32" s="1">
        <v>1.6906340000000001E-10</v>
      </c>
      <c r="D32" s="1">
        <v>7.9966549999999995E-11</v>
      </c>
      <c r="E32" s="1">
        <v>6.3299420000000003E-12</v>
      </c>
      <c r="F32">
        <v>26.70852</v>
      </c>
      <c r="G32">
        <v>12.63306</v>
      </c>
      <c r="H32" s="4">
        <v>0.54027777777777775</v>
      </c>
    </row>
    <row r="33" spans="1:8" x14ac:dyDescent="0.3">
      <c r="A33">
        <v>6</v>
      </c>
      <c r="B33">
        <v>20</v>
      </c>
      <c r="C33" s="1">
        <v>1.689836E-10</v>
      </c>
      <c r="D33" s="1">
        <v>7.9988289999999995E-11</v>
      </c>
      <c r="E33" s="1">
        <v>6.3295419999999996E-12</v>
      </c>
      <c r="F33">
        <v>26.697610000000001</v>
      </c>
      <c r="G33">
        <v>12.63729</v>
      </c>
      <c r="H33" s="4">
        <v>0.5404282407407407</v>
      </c>
    </row>
    <row r="34" spans="1:8" x14ac:dyDescent="0.3">
      <c r="A34">
        <v>6</v>
      </c>
      <c r="B34">
        <v>20</v>
      </c>
      <c r="C34" s="1">
        <v>1.6897859999999999E-10</v>
      </c>
      <c r="D34" s="1">
        <v>7.9996399999999998E-11</v>
      </c>
      <c r="E34" s="1">
        <v>6.3286290000000001E-12</v>
      </c>
      <c r="F34">
        <v>26.700669999999999</v>
      </c>
      <c r="G34">
        <v>12.6404</v>
      </c>
      <c r="H34" s="4">
        <v>0.54047453703703696</v>
      </c>
    </row>
    <row r="35" spans="1:8" x14ac:dyDescent="0.3">
      <c r="A35">
        <v>6</v>
      </c>
      <c r="B35">
        <v>30</v>
      </c>
      <c r="C35" s="1">
        <v>1.464004E-10</v>
      </c>
      <c r="D35" s="1">
        <v>6.8473019999999996E-11</v>
      </c>
      <c r="E35" s="1">
        <v>5.3617570000000003E-12</v>
      </c>
      <c r="F35">
        <v>27.304549999999999</v>
      </c>
      <c r="G35">
        <v>12.770630000000001</v>
      </c>
      <c r="H35" s="4">
        <v>0.54293981481481479</v>
      </c>
    </row>
    <row r="36" spans="1:8" x14ac:dyDescent="0.3">
      <c r="A36">
        <v>6</v>
      </c>
      <c r="B36">
        <v>30</v>
      </c>
      <c r="C36" s="1">
        <v>1.4638890000000001E-10</v>
      </c>
      <c r="D36" s="1">
        <v>6.8463790000000005E-11</v>
      </c>
      <c r="E36" s="1">
        <v>5.3627149999999999E-12</v>
      </c>
      <c r="F36">
        <v>27.297529999999998</v>
      </c>
      <c r="G36">
        <v>12.766629999999999</v>
      </c>
      <c r="H36" s="4">
        <v>0.5429976851851851</v>
      </c>
    </row>
    <row r="37" spans="1:8" x14ac:dyDescent="0.3">
      <c r="A37">
        <v>6</v>
      </c>
      <c r="B37">
        <v>30</v>
      </c>
      <c r="C37" s="1">
        <v>1.462323E-10</v>
      </c>
      <c r="D37" s="1">
        <v>6.8398959999999998E-11</v>
      </c>
      <c r="E37" s="1">
        <v>5.3556850000000001E-12</v>
      </c>
      <c r="F37">
        <v>27.304120000000001</v>
      </c>
      <c r="G37">
        <v>12.771280000000001</v>
      </c>
      <c r="H37" s="4">
        <v>0.54326388888888888</v>
      </c>
    </row>
    <row r="38" spans="1:8" x14ac:dyDescent="0.3">
      <c r="A38">
        <v>7</v>
      </c>
      <c r="B38">
        <v>20</v>
      </c>
      <c r="C38">
        <v>1.6687129999999999E-10</v>
      </c>
      <c r="D38">
        <v>7.8909760000000006E-11</v>
      </c>
      <c r="E38">
        <v>6.2516780000000003E-12</v>
      </c>
      <c r="F38">
        <v>26.692240000000002</v>
      </c>
      <c r="G38">
        <v>12.622170000000001</v>
      </c>
      <c r="H38" s="4">
        <v>0.55832175925925931</v>
      </c>
    </row>
    <row r="39" spans="1:8" x14ac:dyDescent="0.3">
      <c r="A39">
        <v>7</v>
      </c>
      <c r="B39">
        <v>20</v>
      </c>
      <c r="C39">
        <v>1.66814E-10</v>
      </c>
      <c r="D39">
        <v>7.8914619999999994E-11</v>
      </c>
      <c r="E39">
        <v>6.2481290000000002E-12</v>
      </c>
      <c r="F39">
        <v>26.698229999999999</v>
      </c>
      <c r="G39">
        <v>12.63012</v>
      </c>
      <c r="H39" s="4">
        <v>0.55844907407407407</v>
      </c>
    </row>
    <row r="40" spans="1:8" x14ac:dyDescent="0.3">
      <c r="A40">
        <v>7</v>
      </c>
      <c r="B40">
        <v>20</v>
      </c>
      <c r="C40">
        <v>1.667948E-10</v>
      </c>
      <c r="D40">
        <v>7.8919830000000003E-11</v>
      </c>
      <c r="E40">
        <v>6.2469359999999997E-12</v>
      </c>
      <c r="F40">
        <v>26.70026</v>
      </c>
      <c r="G40">
        <v>12.633369999999999</v>
      </c>
      <c r="H40" s="4">
        <v>0.55849537037037034</v>
      </c>
    </row>
    <row r="41" spans="1:8" x14ac:dyDescent="0.3">
      <c r="A41">
        <v>7</v>
      </c>
      <c r="B41">
        <v>30</v>
      </c>
      <c r="C41">
        <v>1.4497110000000001E-10</v>
      </c>
      <c r="D41">
        <v>6.7649399999999996E-11</v>
      </c>
      <c r="E41">
        <v>5.3023630000000002E-12</v>
      </c>
      <c r="F41">
        <v>27.34084</v>
      </c>
      <c r="G41">
        <v>12.75835</v>
      </c>
      <c r="H41" s="4">
        <v>0.56089120370370371</v>
      </c>
    </row>
    <row r="42" spans="1:8" x14ac:dyDescent="0.3">
      <c r="A42">
        <v>7</v>
      </c>
      <c r="B42">
        <v>30</v>
      </c>
      <c r="C42">
        <v>1.4471260000000001E-10</v>
      </c>
      <c r="D42">
        <v>6.7547679999999994E-11</v>
      </c>
      <c r="E42">
        <v>5.2952150000000001E-12</v>
      </c>
      <c r="F42">
        <v>27.328939999999999</v>
      </c>
      <c r="G42">
        <v>12.756360000000001</v>
      </c>
      <c r="H42" s="4">
        <v>0.56115740740740738</v>
      </c>
    </row>
    <row r="43" spans="1:8" x14ac:dyDescent="0.3">
      <c r="A43">
        <v>7</v>
      </c>
      <c r="B43">
        <v>30</v>
      </c>
      <c r="C43">
        <v>1.4465649999999999E-10</v>
      </c>
      <c r="D43">
        <v>6.7525200000000006E-11</v>
      </c>
      <c r="E43">
        <v>5.293078E-12</v>
      </c>
      <c r="F43">
        <v>27.32938</v>
      </c>
      <c r="G43">
        <v>12.75726</v>
      </c>
      <c r="H43" s="4">
        <v>0.5612731481481481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04D5-736B-4840-89AF-D0CD291FC3A2}">
  <dimension ref="A1:R91"/>
  <sheetViews>
    <sheetView topLeftCell="A43" workbookViewId="0">
      <selection activeCell="J72" sqref="J72"/>
    </sheetView>
  </sheetViews>
  <sheetFormatPr defaultRowHeight="14.4" x14ac:dyDescent="0.3"/>
  <cols>
    <col min="10" max="12" width="12.6640625" bestFit="1" customWidth="1"/>
    <col min="16" max="17" width="12.6640625" bestFit="1" customWidth="1"/>
    <col min="18" max="18" width="11.6640625" bestFit="1" customWidth="1"/>
  </cols>
  <sheetData>
    <row r="1" spans="1:18" x14ac:dyDescent="0.3">
      <c r="A1" t="s">
        <v>3</v>
      </c>
      <c r="B1" t="s">
        <v>4</v>
      </c>
      <c r="C1" t="s">
        <v>0</v>
      </c>
      <c r="D1" t="s">
        <v>1</v>
      </c>
      <c r="E1" t="s">
        <v>2</v>
      </c>
    </row>
    <row r="2" spans="1:18" x14ac:dyDescent="0.3">
      <c r="A2">
        <v>1</v>
      </c>
      <c r="B2">
        <v>20</v>
      </c>
      <c r="C2" s="1">
        <v>1.767288E-10</v>
      </c>
      <c r="D2" s="1">
        <v>8.4010639999999997E-11</v>
      </c>
      <c r="E2" s="1">
        <v>6.5735589999999999E-12</v>
      </c>
      <c r="I2" t="s">
        <v>5</v>
      </c>
      <c r="O2" t="s">
        <v>6</v>
      </c>
    </row>
    <row r="3" spans="1:18" x14ac:dyDescent="0.3">
      <c r="A3">
        <v>1</v>
      </c>
      <c r="B3">
        <v>20</v>
      </c>
      <c r="C3" s="1">
        <v>1.767116E-10</v>
      </c>
      <c r="D3" s="1">
        <v>8.4005590000000003E-11</v>
      </c>
      <c r="E3" s="1">
        <v>6.574291E-12</v>
      </c>
      <c r="I3" t="s">
        <v>3</v>
      </c>
      <c r="J3" t="s">
        <v>0</v>
      </c>
      <c r="K3" t="s">
        <v>1</v>
      </c>
      <c r="L3" t="s">
        <v>2</v>
      </c>
      <c r="O3" t="s">
        <v>3</v>
      </c>
      <c r="P3" t="s">
        <v>0</v>
      </c>
      <c r="Q3" t="s">
        <v>1</v>
      </c>
      <c r="R3" t="s">
        <v>2</v>
      </c>
    </row>
    <row r="4" spans="1:18" x14ac:dyDescent="0.3">
      <c r="A4">
        <v>1</v>
      </c>
      <c r="B4">
        <v>20</v>
      </c>
      <c r="C4" s="1">
        <v>1.767379E-10</v>
      </c>
      <c r="D4" s="1">
        <v>8.4025059999999998E-11</v>
      </c>
      <c r="E4" s="1">
        <v>6.5756969999999998E-12</v>
      </c>
      <c r="I4">
        <v>1</v>
      </c>
      <c r="J4" s="1">
        <f>AVERAGE(C2:C4)</f>
        <v>1.7672609999999999E-10</v>
      </c>
      <c r="K4">
        <f>AVERAGE(D2:D4)</f>
        <v>8.4013763333333337E-11</v>
      </c>
      <c r="L4">
        <f>AVERAGE(E2:E4)</f>
        <v>6.5745156666666663E-12</v>
      </c>
      <c r="O4">
        <v>1</v>
      </c>
      <c r="P4" s="1">
        <f>AVERAGE(C5:C7)</f>
        <v>1.5347956666666667E-10</v>
      </c>
      <c r="Q4" s="1">
        <f t="shared" ref="Q4:R4" si="0">AVERAGE(D5:D7)</f>
        <v>7.1777329999999993E-11</v>
      </c>
      <c r="R4" s="1">
        <f t="shared" si="0"/>
        <v>5.6085936666666664E-12</v>
      </c>
    </row>
    <row r="5" spans="1:18" x14ac:dyDescent="0.3">
      <c r="A5">
        <v>1</v>
      </c>
      <c r="B5">
        <v>30</v>
      </c>
      <c r="C5" s="1">
        <v>1.535071E-10</v>
      </c>
      <c r="D5" s="1">
        <v>7.1796479999999997E-11</v>
      </c>
      <c r="E5" s="1">
        <v>5.6095740000000002E-12</v>
      </c>
      <c r="I5">
        <v>2</v>
      </c>
      <c r="J5" s="1">
        <f>AVERAGE(C8:C10)</f>
        <v>1.7527803333333332E-10</v>
      </c>
      <c r="K5" s="1">
        <f t="shared" ref="K5:L5" si="1">AVERAGE(D8:D10)</f>
        <v>8.2896719999999999E-11</v>
      </c>
      <c r="L5" s="1">
        <f t="shared" si="1"/>
        <v>6.5421149999999995E-12</v>
      </c>
      <c r="O5">
        <v>2</v>
      </c>
      <c r="P5" s="1">
        <f>AVERAGE(C11:C13)</f>
        <v>1.5237026666666668E-10</v>
      </c>
      <c r="Q5" s="1">
        <f t="shared" ref="Q5:R5" si="2">AVERAGE(D11:D13)</f>
        <v>7.0850940000000006E-11</v>
      </c>
      <c r="R5" s="1">
        <f t="shared" si="2"/>
        <v>5.5606916666666666E-12</v>
      </c>
    </row>
    <row r="6" spans="1:18" x14ac:dyDescent="0.3">
      <c r="A6">
        <v>1</v>
      </c>
      <c r="B6">
        <v>30</v>
      </c>
      <c r="C6" s="1">
        <v>1.5347890000000001E-10</v>
      </c>
      <c r="D6" s="1">
        <v>7.1774320000000001E-11</v>
      </c>
      <c r="E6" s="1">
        <v>5.6088439999999996E-12</v>
      </c>
      <c r="I6">
        <v>3</v>
      </c>
      <c r="J6" s="1">
        <f>AVERAGE(C14:C16)</f>
        <v>1.7406106666666668E-10</v>
      </c>
      <c r="K6" s="1">
        <f t="shared" ref="K6:L6" si="3">AVERAGE(D14:D16)</f>
        <v>8.2067466666666659E-11</v>
      </c>
      <c r="L6" s="1">
        <f t="shared" si="3"/>
        <v>6.4939400000000005E-12</v>
      </c>
      <c r="O6">
        <v>3</v>
      </c>
      <c r="P6" s="1">
        <f>AVERAGE(C17:C19)</f>
        <v>1.5162636666666666E-10</v>
      </c>
      <c r="Q6" s="1">
        <f t="shared" ref="Q6:R6" si="4">AVERAGE(D17:D19)</f>
        <v>7.0412893333333329E-11</v>
      </c>
      <c r="R6" s="1">
        <f t="shared" si="4"/>
        <v>5.5301616666666664E-12</v>
      </c>
    </row>
    <row r="7" spans="1:18" x14ac:dyDescent="0.3">
      <c r="A7">
        <v>1</v>
      </c>
      <c r="B7">
        <v>30</v>
      </c>
      <c r="C7" s="1">
        <v>1.5345270000000001E-10</v>
      </c>
      <c r="D7" s="1">
        <v>7.1761189999999995E-11</v>
      </c>
      <c r="E7" s="1">
        <v>5.6073630000000002E-12</v>
      </c>
      <c r="I7">
        <v>4</v>
      </c>
      <c r="J7" s="1">
        <f>AVERAGE(C20:C22)</f>
        <v>1.7020666666666668E-10</v>
      </c>
      <c r="K7" s="1">
        <f t="shared" ref="K7:L7" si="5">AVERAGE(D20:D22)</f>
        <v>8.0540823333333331E-11</v>
      </c>
      <c r="L7" s="1">
        <f t="shared" si="5"/>
        <v>6.3462073333333333E-12</v>
      </c>
      <c r="O7">
        <v>4</v>
      </c>
      <c r="P7" s="1">
        <f>AVERAGE(C23:C25)</f>
        <v>1.470359E-10</v>
      </c>
      <c r="Q7" s="1">
        <f t="shared" ref="Q7:R7" si="6">AVERAGE(D23:D25)</f>
        <v>6.8759103333333336E-11</v>
      </c>
      <c r="R7" s="1">
        <f t="shared" si="6"/>
        <v>5.3708796666666671E-12</v>
      </c>
    </row>
    <row r="8" spans="1:18" x14ac:dyDescent="0.3">
      <c r="A8">
        <v>2</v>
      </c>
      <c r="B8">
        <v>20</v>
      </c>
      <c r="C8" s="1">
        <v>1.7528009999999999E-10</v>
      </c>
      <c r="D8" s="1">
        <v>8.2877900000000005E-11</v>
      </c>
      <c r="E8" s="1">
        <v>6.5424089999999996E-12</v>
      </c>
      <c r="I8">
        <v>5</v>
      </c>
      <c r="J8" s="1">
        <f>AVERAGE(C26:C28)</f>
        <v>1.6845106666666666E-10</v>
      </c>
      <c r="K8" s="1">
        <f t="shared" ref="K8:L8" si="7">AVERAGE(D26:D28)</f>
        <v>7.9617630000000007E-11</v>
      </c>
      <c r="L8" s="1">
        <f t="shared" si="7"/>
        <v>6.2930123333333331E-12</v>
      </c>
      <c r="O8">
        <v>5</v>
      </c>
      <c r="P8" s="1">
        <f>AVERAGE(C29:C31)</f>
        <v>1.4614433333333333E-10</v>
      </c>
      <c r="Q8" s="1">
        <f t="shared" ref="Q8:R8" si="8">AVERAGE(D29:D31)</f>
        <v>6.8163660000000006E-11</v>
      </c>
      <c r="R8" s="1">
        <f t="shared" si="8"/>
        <v>5.3352666666666665E-12</v>
      </c>
    </row>
    <row r="9" spans="1:18" x14ac:dyDescent="0.3">
      <c r="A9">
        <v>2</v>
      </c>
      <c r="B9">
        <v>20</v>
      </c>
      <c r="C9" s="1">
        <v>1.7528219999999999E-10</v>
      </c>
      <c r="D9" s="1">
        <v>8.2904949999999994E-11</v>
      </c>
      <c r="E9" s="1">
        <v>6.5421249999999997E-12</v>
      </c>
      <c r="I9">
        <v>6</v>
      </c>
      <c r="J9" s="1">
        <f>AVERAGE(C32:C34)</f>
        <v>1.675357E-10</v>
      </c>
      <c r="K9" s="1">
        <f t="shared" ref="K9:L9" si="9">AVERAGE(D32:D34)</f>
        <v>7.8996729999999998E-11</v>
      </c>
      <c r="L9" s="1">
        <f t="shared" si="9"/>
        <v>6.2591243333333339E-12</v>
      </c>
      <c r="O9">
        <v>6</v>
      </c>
      <c r="P9" s="1">
        <f>AVERAGE(C35:C37)</f>
        <v>1.450697E-10</v>
      </c>
      <c r="Q9" s="1">
        <f t="shared" ref="Q9:R9" si="10">AVERAGE(D35:D37)</f>
        <v>6.7649096666666656E-11</v>
      </c>
      <c r="R9" s="1">
        <f t="shared" si="10"/>
        <v>5.2997103333333338E-12</v>
      </c>
    </row>
    <row r="10" spans="1:18" x14ac:dyDescent="0.3">
      <c r="A10">
        <v>2</v>
      </c>
      <c r="B10">
        <v>20</v>
      </c>
      <c r="C10" s="1">
        <v>1.7527180000000001E-10</v>
      </c>
      <c r="D10" s="1">
        <v>8.2907309999999999E-11</v>
      </c>
      <c r="E10" s="1">
        <v>6.5418110000000001E-12</v>
      </c>
      <c r="I10">
        <v>7</v>
      </c>
      <c r="J10">
        <f>AVERAGE(C38:C40)</f>
        <v>1.6497666666666666E-10</v>
      </c>
      <c r="K10">
        <f t="shared" ref="K10" si="11">AVERAGE(D38:D40)</f>
        <v>7.8256603333333334E-11</v>
      </c>
      <c r="L10" s="1">
        <f>AVERAGE(E38:E40)</f>
        <v>6.1753993333333343E-12</v>
      </c>
      <c r="O10">
        <v>7</v>
      </c>
      <c r="P10">
        <f>AVERAGE(C41:C43)</f>
        <v>1.4353266666666668E-10</v>
      </c>
      <c r="Q10">
        <f t="shared" ref="Q10:R10" si="12">AVERAGE(D41:D43)</f>
        <v>6.7116709999999997E-11</v>
      </c>
      <c r="R10">
        <f t="shared" si="12"/>
        <v>5.2494546666666665E-12</v>
      </c>
    </row>
    <row r="11" spans="1:18" x14ac:dyDescent="0.3">
      <c r="A11">
        <v>2</v>
      </c>
      <c r="B11">
        <v>30</v>
      </c>
      <c r="C11" s="1">
        <v>1.5243860000000001E-10</v>
      </c>
      <c r="D11" s="1">
        <v>7.0876190000000003E-11</v>
      </c>
      <c r="E11" s="1">
        <v>5.5634019999999998E-12</v>
      </c>
      <c r="I11">
        <v>8</v>
      </c>
      <c r="J11" s="2">
        <f>AVERAGE(C44:C46)</f>
        <v>1.5525236666666664E-10</v>
      </c>
      <c r="K11" s="2">
        <f t="shared" ref="K11:L11" si="13">AVERAGE(D44:D46)</f>
        <v>7.3826433333333322E-11</v>
      </c>
      <c r="L11" s="2">
        <f t="shared" si="13"/>
        <v>5.8666210000000001E-12</v>
      </c>
      <c r="O11">
        <v>8</v>
      </c>
      <c r="P11" s="2">
        <f>AVERAGE(C47:C49)</f>
        <v>1.3702773333333333E-10</v>
      </c>
      <c r="Q11" s="2">
        <f t="shared" ref="Q11:R11" si="14">AVERAGE(D47:D49)</f>
        <v>6.3989303333333335E-11</v>
      </c>
      <c r="R11" s="2">
        <f t="shared" si="14"/>
        <v>5.0030669999999995E-12</v>
      </c>
    </row>
    <row r="12" spans="1:18" x14ac:dyDescent="0.3">
      <c r="A12">
        <v>2</v>
      </c>
      <c r="B12">
        <v>30</v>
      </c>
      <c r="C12" s="1">
        <v>1.5236570000000001E-10</v>
      </c>
      <c r="D12" s="1">
        <v>7.0849140000000001E-11</v>
      </c>
      <c r="E12" s="1">
        <v>5.5604180000000003E-12</v>
      </c>
      <c r="I12">
        <v>9</v>
      </c>
      <c r="J12" s="2">
        <f>AVERAGE(C50:C52)</f>
        <v>1.5431533333333334E-10</v>
      </c>
      <c r="K12" s="2">
        <f t="shared" ref="K12:L12" si="15">AVERAGE(D50:D52)</f>
        <v>7.319171666666667E-11</v>
      </c>
      <c r="L12" s="2">
        <f t="shared" si="15"/>
        <v>5.808881E-12</v>
      </c>
      <c r="O12">
        <v>9</v>
      </c>
      <c r="P12" s="2">
        <f>AVERAGE(C53:C55)</f>
        <v>1.3385176666666666E-10</v>
      </c>
      <c r="Q12" s="2">
        <f t="shared" ref="Q12:R12" si="16">AVERAGE(D53:D55)</f>
        <v>6.2731436666666668E-11</v>
      </c>
      <c r="R12" s="2">
        <f t="shared" si="16"/>
        <v>4.9141340000000001E-12</v>
      </c>
    </row>
    <row r="13" spans="1:18" x14ac:dyDescent="0.3">
      <c r="A13">
        <v>2</v>
      </c>
      <c r="B13">
        <v>30</v>
      </c>
      <c r="C13" s="1">
        <v>1.5230650000000001E-10</v>
      </c>
      <c r="D13" s="1">
        <v>7.0827490000000001E-11</v>
      </c>
      <c r="E13" s="1">
        <v>5.5582549999999997E-12</v>
      </c>
      <c r="I13">
        <v>10</v>
      </c>
      <c r="J13" s="2">
        <f>AVERAGE(C56:C58)</f>
        <v>1.5292269999999998E-10</v>
      </c>
      <c r="K13" s="2">
        <f t="shared" ref="K13:L13" si="17">AVERAGE(D56:D58)</f>
        <v>7.2491659999999989E-11</v>
      </c>
      <c r="L13" s="2">
        <f t="shared" si="17"/>
        <v>5.7507126666666664E-12</v>
      </c>
      <c r="O13">
        <v>10</v>
      </c>
      <c r="P13" s="2">
        <f>AVERAGE(C59:C61)</f>
        <v>1.3257080000000001E-10</v>
      </c>
      <c r="Q13" s="2">
        <f t="shared" ref="Q13:R13" si="18">AVERAGE(D59:D61)</f>
        <v>6.2188239999999999E-11</v>
      </c>
      <c r="R13" s="2">
        <f t="shared" si="18"/>
        <v>4.8669940000000007E-12</v>
      </c>
    </row>
    <row r="14" spans="1:18" x14ac:dyDescent="0.3">
      <c r="A14">
        <v>3</v>
      </c>
      <c r="B14">
        <v>20</v>
      </c>
      <c r="C14" s="1">
        <v>1.741493E-10</v>
      </c>
      <c r="D14" s="1">
        <v>8.2019770000000001E-11</v>
      </c>
      <c r="E14" s="1">
        <v>6.4964220000000002E-12</v>
      </c>
      <c r="I14">
        <v>11</v>
      </c>
      <c r="J14" s="2">
        <f>AVERAGE(C68:C70)</f>
        <v>1.490360333333333E-10</v>
      </c>
      <c r="K14" s="2">
        <f t="shared" ref="K14:L14" si="19">AVERAGE(D68:D70)</f>
        <v>7.1086940000000014E-11</v>
      </c>
      <c r="L14" s="2">
        <f t="shared" si="19"/>
        <v>5.600357333333334E-12</v>
      </c>
      <c r="O14">
        <v>11</v>
      </c>
      <c r="P14" s="2">
        <f>AVERAGE(C65:C67)</f>
        <v>1.3110019999999998E-10</v>
      </c>
      <c r="Q14" s="2">
        <f t="shared" ref="Q14:R14" si="20">AVERAGE(D65:D67)</f>
        <v>6.150901666666667E-11</v>
      </c>
      <c r="R14" s="2">
        <f t="shared" si="20"/>
        <v>4.8197113333333332E-12</v>
      </c>
    </row>
    <row r="15" spans="1:18" x14ac:dyDescent="0.3">
      <c r="A15">
        <v>3</v>
      </c>
      <c r="B15">
        <v>20</v>
      </c>
      <c r="C15" s="1">
        <v>1.7402770000000001E-10</v>
      </c>
      <c r="D15" s="1">
        <v>8.2067649999999995E-11</v>
      </c>
      <c r="E15" s="1">
        <v>6.4932400000000003E-12</v>
      </c>
      <c r="I15">
        <v>12</v>
      </c>
      <c r="J15" s="2">
        <f>AVERAGE(C68:C70)</f>
        <v>1.490360333333333E-10</v>
      </c>
      <c r="K15" s="2">
        <f t="shared" ref="K15" si="21">AVERAGE(D68:D70)</f>
        <v>7.1086940000000014E-11</v>
      </c>
      <c r="L15" s="2">
        <f>AVERAGE(E68:E70)</f>
        <v>5.600357333333334E-12</v>
      </c>
      <c r="O15">
        <v>12</v>
      </c>
      <c r="P15" s="2">
        <f>AVERAGE(C71:C73)</f>
        <v>1.2944153333333333E-10</v>
      </c>
      <c r="Q15" s="2">
        <f t="shared" ref="Q15:R15" si="22">AVERAGE(D71:D73)</f>
        <v>6.0935969999999998E-11</v>
      </c>
      <c r="R15" s="2">
        <f t="shared" si="22"/>
        <v>4.7595233333333335E-12</v>
      </c>
    </row>
    <row r="16" spans="1:18" x14ac:dyDescent="0.3">
      <c r="A16">
        <v>3</v>
      </c>
      <c r="B16">
        <v>20</v>
      </c>
      <c r="C16" s="1">
        <v>1.7400620000000001E-10</v>
      </c>
      <c r="D16" s="1">
        <v>8.2114979999999994E-11</v>
      </c>
      <c r="E16" s="1">
        <v>6.4921580000000001E-12</v>
      </c>
      <c r="I16">
        <v>13</v>
      </c>
      <c r="J16" s="2">
        <f>AVERAGE(C74:C76)</f>
        <v>1.4902633333333331E-10</v>
      </c>
      <c r="K16" s="2">
        <f t="shared" ref="K16:L16" si="23">AVERAGE(D74:D76)</f>
        <v>7.0426363333333337E-11</v>
      </c>
      <c r="L16" s="2">
        <f t="shared" si="23"/>
        <v>5.6030723333333325E-12</v>
      </c>
      <c r="O16">
        <v>13</v>
      </c>
      <c r="P16" s="2">
        <f>AVERAGE(C77:C79)</f>
        <v>1.2891336666666667E-10</v>
      </c>
      <c r="Q16" s="2">
        <f t="shared" ref="Q16:R16" si="24">AVERAGE(D77:D79)</f>
        <v>6.0345490000000011E-11</v>
      </c>
      <c r="R16" s="2">
        <f t="shared" si="24"/>
        <v>4.7437490000000005E-12</v>
      </c>
    </row>
    <row r="17" spans="1:18" x14ac:dyDescent="0.3">
      <c r="A17">
        <v>3</v>
      </c>
      <c r="B17">
        <v>30</v>
      </c>
      <c r="C17" s="1">
        <v>1.5169E-10</v>
      </c>
      <c r="D17" s="1">
        <v>7.0442339999999998E-11</v>
      </c>
      <c r="E17" s="1">
        <v>5.5332480000000001E-12</v>
      </c>
      <c r="I17">
        <v>14</v>
      </c>
      <c r="J17" s="2">
        <f>AVERAGE(C80:C82)</f>
        <v>1.4751236666666668E-10</v>
      </c>
      <c r="K17" s="2">
        <f t="shared" ref="K17:L17" si="25">AVERAGE(D80:D82)</f>
        <v>6.9839510000000003E-11</v>
      </c>
      <c r="L17" s="2">
        <f t="shared" si="25"/>
        <v>5.5495206666666666E-12</v>
      </c>
      <c r="O17">
        <v>14</v>
      </c>
      <c r="P17" s="2">
        <f>AVERAGE(C83:C85)</f>
        <v>1.2783989999999999E-10</v>
      </c>
      <c r="Q17" s="2">
        <f t="shared" ref="Q17:R17" si="26">AVERAGE(D83:D85)</f>
        <v>5.9912296666666664E-11</v>
      </c>
      <c r="R17" s="2">
        <f t="shared" si="26"/>
        <v>4.7023856666666671E-12</v>
      </c>
    </row>
    <row r="18" spans="1:18" x14ac:dyDescent="0.3">
      <c r="A18">
        <v>3</v>
      </c>
      <c r="B18">
        <v>30</v>
      </c>
      <c r="C18" s="1">
        <v>1.516232E-10</v>
      </c>
      <c r="D18" s="1">
        <v>7.0405419999999998E-11</v>
      </c>
      <c r="E18" s="1">
        <v>5.5294660000000004E-12</v>
      </c>
      <c r="I18">
        <v>15</v>
      </c>
      <c r="J18" s="2">
        <f>AVERAGE(C86:C88)</f>
        <v>1.463591E-10</v>
      </c>
      <c r="K18" s="2">
        <f t="shared" ref="K18:L18" si="27">AVERAGE(D86:D88)</f>
        <v>6.9402633333333329E-11</v>
      </c>
      <c r="L18" s="2">
        <f t="shared" si="27"/>
        <v>5.5021126666666677E-12</v>
      </c>
      <c r="O18">
        <v>15</v>
      </c>
      <c r="P18" s="2">
        <f>AVERAGE(C89:C91)</f>
        <v>1.2639353333333335E-10</v>
      </c>
      <c r="Q18" s="2">
        <f t="shared" ref="Q18:R18" si="28">AVERAGE(D89:D91)</f>
        <v>5.9280886666666663E-11</v>
      </c>
      <c r="R18" s="2">
        <f t="shared" si="28"/>
        <v>4.6553333333333334E-12</v>
      </c>
    </row>
    <row r="19" spans="1:18" x14ac:dyDescent="0.3">
      <c r="A19">
        <v>3</v>
      </c>
      <c r="B19">
        <v>30</v>
      </c>
      <c r="C19" s="1">
        <v>1.5156590000000001E-10</v>
      </c>
      <c r="D19" s="1">
        <v>7.0390920000000003E-11</v>
      </c>
      <c r="E19" s="1">
        <v>5.5277710000000002E-12</v>
      </c>
    </row>
    <row r="20" spans="1:18" x14ac:dyDescent="0.3">
      <c r="A20">
        <v>4</v>
      </c>
      <c r="B20">
        <v>20</v>
      </c>
      <c r="C20" s="1">
        <v>1.702401E-10</v>
      </c>
      <c r="D20" s="1">
        <v>8.0538759999999996E-11</v>
      </c>
      <c r="E20" s="1">
        <v>6.3471200000000001E-12</v>
      </c>
    </row>
    <row r="21" spans="1:18" x14ac:dyDescent="0.3">
      <c r="A21">
        <v>4</v>
      </c>
      <c r="B21">
        <v>20</v>
      </c>
      <c r="C21" s="1">
        <v>1.702138E-10</v>
      </c>
      <c r="D21" s="1">
        <v>8.0547100000000002E-11</v>
      </c>
      <c r="E21" s="1">
        <v>6.346269E-12</v>
      </c>
    </row>
    <row r="22" spans="1:18" x14ac:dyDescent="0.3">
      <c r="A22">
        <v>4</v>
      </c>
      <c r="B22">
        <v>20</v>
      </c>
      <c r="C22" s="1">
        <v>1.7016609999999999E-10</v>
      </c>
      <c r="D22" s="1">
        <v>8.0536609999999995E-11</v>
      </c>
      <c r="E22" s="1">
        <v>6.3452329999999997E-12</v>
      </c>
    </row>
    <row r="23" spans="1:18" x14ac:dyDescent="0.3">
      <c r="A23">
        <v>4</v>
      </c>
      <c r="B23">
        <v>30</v>
      </c>
      <c r="C23" s="1">
        <v>1.4709189999999999E-10</v>
      </c>
      <c r="D23" s="1">
        <v>6.8775389999999995E-11</v>
      </c>
      <c r="E23" s="1">
        <v>5.3722310000000002E-12</v>
      </c>
    </row>
    <row r="24" spans="1:18" x14ac:dyDescent="0.3">
      <c r="A24">
        <v>4</v>
      </c>
      <c r="B24">
        <v>30</v>
      </c>
      <c r="C24" s="1">
        <v>1.4701710000000001E-10</v>
      </c>
      <c r="D24" s="1">
        <v>6.8753240000000004E-11</v>
      </c>
      <c r="E24" s="1">
        <v>5.3704720000000002E-12</v>
      </c>
    </row>
    <row r="25" spans="1:18" x14ac:dyDescent="0.3">
      <c r="A25">
        <v>4</v>
      </c>
      <c r="B25">
        <v>30</v>
      </c>
      <c r="C25" s="1">
        <v>1.4699870000000001E-10</v>
      </c>
      <c r="D25" s="1">
        <v>6.8748679999999996E-11</v>
      </c>
      <c r="E25" s="1">
        <v>5.3699360000000002E-12</v>
      </c>
    </row>
    <row r="26" spans="1:18" x14ac:dyDescent="0.3">
      <c r="A26">
        <v>5</v>
      </c>
      <c r="B26">
        <v>20</v>
      </c>
      <c r="C26" s="1">
        <v>1.6853290000000001E-10</v>
      </c>
      <c r="D26" s="1">
        <v>7.9607249999999999E-11</v>
      </c>
      <c r="E26" s="1">
        <v>6.2954310000000001E-12</v>
      </c>
    </row>
    <row r="27" spans="1:18" x14ac:dyDescent="0.3">
      <c r="A27">
        <v>5</v>
      </c>
      <c r="B27">
        <v>20</v>
      </c>
      <c r="C27" s="1">
        <v>1.6848190000000001E-10</v>
      </c>
      <c r="D27" s="1">
        <v>7.9623479999999998E-11</v>
      </c>
      <c r="E27" s="1">
        <v>6.2948929999999998E-12</v>
      </c>
    </row>
    <row r="28" spans="1:18" x14ac:dyDescent="0.3">
      <c r="A28">
        <v>5</v>
      </c>
      <c r="B28">
        <v>20</v>
      </c>
      <c r="C28" s="1">
        <v>1.6833839999999999E-10</v>
      </c>
      <c r="D28" s="1">
        <v>7.9622159999999998E-11</v>
      </c>
      <c r="E28" s="1">
        <v>6.2887130000000003E-12</v>
      </c>
    </row>
    <row r="29" spans="1:18" x14ac:dyDescent="0.3">
      <c r="A29">
        <v>5</v>
      </c>
      <c r="B29">
        <v>30</v>
      </c>
      <c r="C29" s="1">
        <v>1.4627789999999999E-10</v>
      </c>
      <c r="D29" s="1">
        <v>6.8213999999999998E-11</v>
      </c>
      <c r="E29" s="1">
        <v>5.3390580000000001E-12</v>
      </c>
    </row>
    <row r="30" spans="1:18" x14ac:dyDescent="0.3">
      <c r="A30">
        <v>5</v>
      </c>
      <c r="B30">
        <v>30</v>
      </c>
      <c r="C30" s="1">
        <v>1.4612269999999999E-10</v>
      </c>
      <c r="D30" s="1">
        <v>6.8144519999999995E-11</v>
      </c>
      <c r="E30" s="1">
        <v>5.334335E-12</v>
      </c>
    </row>
    <row r="31" spans="1:18" x14ac:dyDescent="0.3">
      <c r="A31">
        <v>5</v>
      </c>
      <c r="B31">
        <v>30</v>
      </c>
      <c r="C31" s="1">
        <v>1.460324E-10</v>
      </c>
      <c r="D31" s="1">
        <v>6.813246E-11</v>
      </c>
      <c r="E31" s="1">
        <v>5.3324070000000002E-12</v>
      </c>
    </row>
    <row r="32" spans="1:18" x14ac:dyDescent="0.3">
      <c r="A32">
        <v>6</v>
      </c>
      <c r="B32">
        <v>20</v>
      </c>
      <c r="C32" s="1">
        <v>1.6758910000000001E-10</v>
      </c>
      <c r="D32" s="1">
        <v>7.8978409999999995E-11</v>
      </c>
      <c r="E32" s="1">
        <v>6.2603069999999999E-12</v>
      </c>
    </row>
    <row r="33" spans="1:5" x14ac:dyDescent="0.3">
      <c r="A33">
        <v>6</v>
      </c>
      <c r="B33">
        <v>20</v>
      </c>
      <c r="C33" s="1">
        <v>1.6752770000000001E-10</v>
      </c>
      <c r="D33" s="1">
        <v>7.899136E-11</v>
      </c>
      <c r="E33" s="1">
        <v>6.2593030000000003E-12</v>
      </c>
    </row>
    <row r="34" spans="1:5" x14ac:dyDescent="0.3">
      <c r="A34">
        <v>6</v>
      </c>
      <c r="B34">
        <v>20</v>
      </c>
      <c r="C34" s="1">
        <v>1.674903E-10</v>
      </c>
      <c r="D34" s="1">
        <v>7.9020419999999999E-11</v>
      </c>
      <c r="E34" s="1">
        <v>6.2577629999999999E-12</v>
      </c>
    </row>
    <row r="35" spans="1:5" x14ac:dyDescent="0.3">
      <c r="A35">
        <v>6</v>
      </c>
      <c r="B35">
        <v>30</v>
      </c>
      <c r="C35" s="1">
        <v>1.4517589999999999E-10</v>
      </c>
      <c r="D35" s="1">
        <v>6.7703040000000006E-11</v>
      </c>
      <c r="E35" s="1">
        <v>5.3028129999999998E-12</v>
      </c>
    </row>
    <row r="36" spans="1:5" x14ac:dyDescent="0.3">
      <c r="A36">
        <v>6</v>
      </c>
      <c r="B36">
        <v>30</v>
      </c>
      <c r="C36" s="1">
        <v>1.450538E-10</v>
      </c>
      <c r="D36" s="1">
        <v>6.7636059999999999E-11</v>
      </c>
      <c r="E36" s="1">
        <v>5.3001900000000003E-12</v>
      </c>
    </row>
    <row r="37" spans="1:5" x14ac:dyDescent="0.3">
      <c r="A37">
        <v>6</v>
      </c>
      <c r="B37">
        <v>30</v>
      </c>
      <c r="C37" s="1">
        <v>1.4497939999999999E-10</v>
      </c>
      <c r="D37" s="1">
        <v>6.7608190000000002E-11</v>
      </c>
      <c r="E37" s="1">
        <v>5.2961279999999996E-12</v>
      </c>
    </row>
    <row r="38" spans="1:5" x14ac:dyDescent="0.3">
      <c r="A38">
        <v>7</v>
      </c>
      <c r="B38">
        <v>20</v>
      </c>
      <c r="C38" s="1">
        <v>1.650344E-10</v>
      </c>
      <c r="D38" s="1">
        <v>7.8267470000000005E-11</v>
      </c>
      <c r="E38" s="1">
        <v>6.1778440000000001E-12</v>
      </c>
    </row>
    <row r="39" spans="1:5" x14ac:dyDescent="0.3">
      <c r="A39">
        <v>7</v>
      </c>
      <c r="B39">
        <v>20</v>
      </c>
      <c r="C39" s="1">
        <v>1.649927E-10</v>
      </c>
      <c r="D39" s="1">
        <v>7.8263089999999997E-11</v>
      </c>
      <c r="E39" s="1">
        <v>6.1761970000000002E-12</v>
      </c>
    </row>
    <row r="40" spans="1:5" x14ac:dyDescent="0.3">
      <c r="A40">
        <v>7</v>
      </c>
      <c r="B40">
        <v>20</v>
      </c>
      <c r="C40" s="1">
        <v>1.6490289999999999E-10</v>
      </c>
      <c r="D40" s="1">
        <v>7.8239249999999999E-11</v>
      </c>
      <c r="E40" s="1">
        <v>6.1721570000000001E-12</v>
      </c>
    </row>
    <row r="41" spans="1:5" x14ac:dyDescent="0.3">
      <c r="A41">
        <v>7</v>
      </c>
      <c r="B41">
        <v>30</v>
      </c>
      <c r="C41" s="1">
        <v>1.4358609999999999E-10</v>
      </c>
      <c r="D41" s="1">
        <v>6.7145780000000002E-11</v>
      </c>
      <c r="E41" s="1">
        <v>5.2517099999999996E-12</v>
      </c>
    </row>
    <row r="42" spans="1:5" x14ac:dyDescent="0.3">
      <c r="A42">
        <v>7</v>
      </c>
      <c r="B42">
        <v>30</v>
      </c>
      <c r="C42" s="1">
        <v>1.43531E-10</v>
      </c>
      <c r="D42" s="1">
        <v>6.7109029999999997E-11</v>
      </c>
      <c r="E42" s="1">
        <v>5.2483109999999996E-12</v>
      </c>
    </row>
    <row r="43" spans="1:5" x14ac:dyDescent="0.3">
      <c r="A43">
        <v>7</v>
      </c>
      <c r="B43">
        <v>30</v>
      </c>
      <c r="C43" s="1">
        <v>1.4348090000000001E-10</v>
      </c>
      <c r="D43" s="1">
        <v>6.7095320000000006E-11</v>
      </c>
      <c r="E43" s="1">
        <v>5.2483430000000003E-12</v>
      </c>
    </row>
    <row r="44" spans="1:5" x14ac:dyDescent="0.3">
      <c r="A44">
        <v>8</v>
      </c>
      <c r="B44">
        <v>20</v>
      </c>
      <c r="C44" s="2">
        <v>1.5529949999999999E-10</v>
      </c>
      <c r="D44" s="2">
        <v>7.3782769999999999E-11</v>
      </c>
      <c r="E44" s="2">
        <v>5.8690410000000004E-12</v>
      </c>
    </row>
    <row r="45" spans="1:5" x14ac:dyDescent="0.3">
      <c r="A45">
        <v>8</v>
      </c>
      <c r="B45">
        <v>20</v>
      </c>
      <c r="C45" s="2">
        <v>1.552448E-10</v>
      </c>
      <c r="D45" s="2">
        <v>7.3834569999999994E-11</v>
      </c>
      <c r="E45" s="2">
        <v>5.8663099999999999E-12</v>
      </c>
    </row>
    <row r="46" spans="1:5" x14ac:dyDescent="0.3">
      <c r="A46">
        <v>8</v>
      </c>
      <c r="B46">
        <v>20</v>
      </c>
      <c r="C46" s="2">
        <v>1.5521279999999999E-10</v>
      </c>
      <c r="D46" s="2">
        <v>7.3861959999999998E-11</v>
      </c>
      <c r="E46" s="2">
        <v>5.864512E-12</v>
      </c>
    </row>
    <row r="47" spans="1:5" x14ac:dyDescent="0.3">
      <c r="A47">
        <v>8</v>
      </c>
      <c r="B47">
        <v>30</v>
      </c>
      <c r="C47" s="2">
        <v>1.370198E-10</v>
      </c>
      <c r="D47" s="2">
        <v>6.399174E-11</v>
      </c>
      <c r="E47" s="2">
        <v>5.0040539999999998E-12</v>
      </c>
    </row>
    <row r="48" spans="1:5" x14ac:dyDescent="0.3">
      <c r="A48">
        <v>8</v>
      </c>
      <c r="B48">
        <v>30</v>
      </c>
      <c r="C48" s="2">
        <v>1.3704150000000001E-10</v>
      </c>
      <c r="D48" s="2">
        <v>6.3998829999999995E-11</v>
      </c>
      <c r="E48" s="2">
        <v>5.0041699999999997E-12</v>
      </c>
    </row>
    <row r="49" spans="1:18" x14ac:dyDescent="0.3">
      <c r="A49">
        <v>8</v>
      </c>
      <c r="B49">
        <v>30</v>
      </c>
      <c r="C49" s="2">
        <v>1.3702189999999999E-10</v>
      </c>
      <c r="D49" s="2">
        <v>6.3977339999999998E-11</v>
      </c>
      <c r="E49" s="2">
        <v>5.0009769999999998E-12</v>
      </c>
    </row>
    <row r="50" spans="1:18" x14ac:dyDescent="0.3">
      <c r="A50">
        <v>9</v>
      </c>
      <c r="B50">
        <v>20</v>
      </c>
      <c r="C50" s="2">
        <v>1.5439029999999999E-10</v>
      </c>
      <c r="D50" s="2">
        <v>7.3171669999999999E-11</v>
      </c>
      <c r="E50" s="2">
        <v>5.8111890000000002E-12</v>
      </c>
    </row>
    <row r="51" spans="1:18" x14ac:dyDescent="0.3">
      <c r="A51">
        <v>9</v>
      </c>
      <c r="B51">
        <v>20</v>
      </c>
      <c r="C51" s="2">
        <v>1.543412E-10</v>
      </c>
      <c r="D51" s="2">
        <v>7.3191250000000006E-11</v>
      </c>
      <c r="E51" s="2">
        <v>5.8091899999999998E-12</v>
      </c>
    </row>
    <row r="52" spans="1:18" x14ac:dyDescent="0.3">
      <c r="A52">
        <v>9</v>
      </c>
      <c r="B52">
        <v>20</v>
      </c>
      <c r="C52" s="2">
        <v>1.5421449999999999E-10</v>
      </c>
      <c r="D52" s="2">
        <v>7.3212230000000006E-11</v>
      </c>
      <c r="E52" s="2">
        <v>5.8062639999999998E-12</v>
      </c>
    </row>
    <row r="53" spans="1:18" x14ac:dyDescent="0.3">
      <c r="A53">
        <v>9</v>
      </c>
      <c r="B53">
        <v>30</v>
      </c>
      <c r="C53" s="2">
        <v>1.338555E-10</v>
      </c>
      <c r="D53" s="2">
        <v>6.2735699999999994E-11</v>
      </c>
      <c r="E53" s="2">
        <v>4.914646E-12</v>
      </c>
    </row>
    <row r="54" spans="1:18" x14ac:dyDescent="0.3">
      <c r="A54">
        <v>9</v>
      </c>
      <c r="B54">
        <v>30</v>
      </c>
      <c r="C54" s="2">
        <v>1.3385260000000001E-10</v>
      </c>
      <c r="D54" s="2">
        <v>6.273186E-11</v>
      </c>
      <c r="E54" s="2">
        <v>4.9144060000000004E-12</v>
      </c>
      <c r="I54" t="s">
        <v>26</v>
      </c>
    </row>
    <row r="55" spans="1:18" x14ac:dyDescent="0.3">
      <c r="A55">
        <v>9</v>
      </c>
      <c r="B55">
        <v>30</v>
      </c>
      <c r="C55" s="2">
        <v>1.3384719999999999E-10</v>
      </c>
      <c r="D55" s="2">
        <v>6.2726749999999997E-11</v>
      </c>
      <c r="E55" s="2">
        <v>4.9133499999999999E-12</v>
      </c>
      <c r="I55" t="s">
        <v>16</v>
      </c>
      <c r="J55" t="s">
        <v>8</v>
      </c>
      <c r="K55" t="s">
        <v>9</v>
      </c>
      <c r="L55" t="s">
        <v>10</v>
      </c>
      <c r="O55" t="s">
        <v>16</v>
      </c>
      <c r="P55" t="s">
        <v>8</v>
      </c>
      <c r="Q55" t="s">
        <v>9</v>
      </c>
      <c r="R55" t="s">
        <v>10</v>
      </c>
    </row>
    <row r="56" spans="1:18" x14ac:dyDescent="0.3">
      <c r="A56">
        <v>10</v>
      </c>
      <c r="B56">
        <v>20</v>
      </c>
      <c r="C56" s="2">
        <v>1.5297089999999999E-10</v>
      </c>
      <c r="D56" s="2">
        <v>7.2457709999999997E-11</v>
      </c>
      <c r="E56" s="2">
        <v>5.7526010000000001E-12</v>
      </c>
      <c r="I56" t="s">
        <v>7</v>
      </c>
      <c r="J56" s="3">
        <f>SLOPE(J4:J5,I4:I5)</f>
        <v>-1.4480666666666675E-12</v>
      </c>
      <c r="K56" s="3">
        <f>SLOPE(K4:K5,I4:I5)</f>
        <v>-1.1170433333333375E-12</v>
      </c>
      <c r="L56" s="3">
        <f>SLOPE(L4:L5,I4:I5)</f>
        <v>-3.2400666666666792E-14</v>
      </c>
      <c r="O56" t="s">
        <v>7</v>
      </c>
      <c r="P56" s="3">
        <f>SLOPE(P4:P5,O4:O5)</f>
        <v>-1.1092999999999933E-12</v>
      </c>
      <c r="Q56" s="3">
        <f>SLOPE(Q4:Q5,O4:O5)</f>
        <v>-9.2638999999998753E-13</v>
      </c>
      <c r="R56" s="3">
        <f>SLOPE(R4:R5,O4:O5)</f>
        <v>-4.7901999999999769E-14</v>
      </c>
    </row>
    <row r="57" spans="1:18" x14ac:dyDescent="0.3">
      <c r="A57">
        <v>10</v>
      </c>
      <c r="B57">
        <v>20</v>
      </c>
      <c r="C57" s="2">
        <v>1.529474E-10</v>
      </c>
      <c r="D57" s="2">
        <v>7.2464039999999994E-11</v>
      </c>
      <c r="E57" s="2">
        <v>5.7507449999999998E-12</v>
      </c>
      <c r="I57" t="s">
        <v>11</v>
      </c>
      <c r="J57" s="3">
        <f t="shared" ref="J57:J69" si="29">SLOPE(J5:J6,I5:I6)</f>
        <v>-1.2169666666666444E-12</v>
      </c>
      <c r="K57" s="3">
        <f t="shared" ref="K57:K69" si="30">SLOPE(K5:K6,I5:I6)</f>
        <v>-8.2925333333334043E-13</v>
      </c>
      <c r="L57" s="3">
        <f t="shared" ref="L57:L69" si="31">SLOPE(L5:L6,I5:I6)</f>
        <v>-4.8174999999999035E-14</v>
      </c>
      <c r="O57" t="s">
        <v>11</v>
      </c>
      <c r="P57" s="3">
        <f t="shared" ref="P57:P69" si="32">SLOPE(P5:P6,O5:O6)</f>
        <v>-7.4390000000001746E-13</v>
      </c>
      <c r="Q57" s="3">
        <f t="shared" ref="Q57:Q69" si="33">SLOPE(Q5:Q6,O5:O6)</f>
        <v>-4.38046666666677E-13</v>
      </c>
      <c r="R57" s="3">
        <f t="shared" ref="R57:R69" si="34">SLOPE(R5:R6,O5:O6)</f>
        <v>-3.0530000000000275E-14</v>
      </c>
    </row>
    <row r="58" spans="1:18" x14ac:dyDescent="0.3">
      <c r="A58">
        <v>10</v>
      </c>
      <c r="B58">
        <v>20</v>
      </c>
      <c r="C58" s="2">
        <v>1.5284980000000001E-10</v>
      </c>
      <c r="D58" s="2">
        <v>7.2553230000000001E-11</v>
      </c>
      <c r="E58" s="2">
        <v>5.7487920000000001E-12</v>
      </c>
      <c r="I58" t="s">
        <v>12</v>
      </c>
      <c r="J58" s="3">
        <f t="shared" si="29"/>
        <v>-3.8543999999999986E-12</v>
      </c>
      <c r="K58" s="3">
        <f t="shared" si="30"/>
        <v>-1.526643333333328E-12</v>
      </c>
      <c r="L58" s="3">
        <f t="shared" si="31"/>
        <v>-1.4773266666666721E-13</v>
      </c>
      <c r="O58" t="s">
        <v>12</v>
      </c>
      <c r="P58" s="3">
        <f t="shared" si="32"/>
        <v>-4.5904666666666586E-12</v>
      </c>
      <c r="Q58" s="3">
        <f t="shared" si="33"/>
        <v>-1.6537899999999927E-12</v>
      </c>
      <c r="R58" s="3">
        <f t="shared" si="34"/>
        <v>-1.5928199999999924E-13</v>
      </c>
    </row>
    <row r="59" spans="1:18" x14ac:dyDescent="0.3">
      <c r="A59">
        <v>10</v>
      </c>
      <c r="B59">
        <v>30</v>
      </c>
      <c r="C59" s="2">
        <v>1.3266770000000001E-10</v>
      </c>
      <c r="D59" s="2">
        <v>6.2221050000000005E-11</v>
      </c>
      <c r="E59" s="2">
        <v>4.8695920000000004E-12</v>
      </c>
      <c r="I59" t="s">
        <v>13</v>
      </c>
      <c r="J59" s="3">
        <f t="shared" si="29"/>
        <v>-1.7556000000000213E-12</v>
      </c>
      <c r="K59" s="3">
        <f t="shared" si="30"/>
        <v>-9.2319333333332377E-13</v>
      </c>
      <c r="L59" s="3">
        <f t="shared" si="31"/>
        <v>-5.3195000000000159E-14</v>
      </c>
      <c r="O59" t="s">
        <v>13</v>
      </c>
      <c r="P59" s="3">
        <f t="shared" si="32"/>
        <v>-8.9156666666667565E-13</v>
      </c>
      <c r="Q59" s="3">
        <f t="shared" si="33"/>
        <v>-5.9544333333332974E-13</v>
      </c>
      <c r="R59" s="3">
        <f t="shared" si="34"/>
        <v>-3.5613000000000608E-14</v>
      </c>
    </row>
    <row r="60" spans="1:18" x14ac:dyDescent="0.3">
      <c r="A60">
        <v>10</v>
      </c>
      <c r="B60">
        <v>30</v>
      </c>
      <c r="C60" s="2">
        <v>1.325449E-10</v>
      </c>
      <c r="D60" s="2">
        <v>6.2192520000000001E-11</v>
      </c>
      <c r="E60" s="2">
        <v>4.8662180000000003E-12</v>
      </c>
      <c r="I60" t="s">
        <v>14</v>
      </c>
      <c r="J60" s="3">
        <f t="shared" si="29"/>
        <v>-9.1536666666666269E-13</v>
      </c>
      <c r="K60" s="3">
        <f t="shared" si="30"/>
        <v>-6.209000000000092E-13</v>
      </c>
      <c r="L60" s="3">
        <f t="shared" si="31"/>
        <v>-3.3887999999999219E-14</v>
      </c>
      <c r="O60" t="s">
        <v>14</v>
      </c>
      <c r="P60" s="3">
        <f t="shared" si="32"/>
        <v>-1.0746333333333222E-12</v>
      </c>
      <c r="Q60" s="3">
        <f t="shared" si="33"/>
        <v>-5.1456333333335038E-13</v>
      </c>
      <c r="R60" s="3">
        <f t="shared" si="34"/>
        <v>-3.5556333333332733E-14</v>
      </c>
    </row>
    <row r="61" spans="1:18" x14ac:dyDescent="0.3">
      <c r="A61">
        <v>10</v>
      </c>
      <c r="B61">
        <v>30</v>
      </c>
      <c r="C61" s="2">
        <v>1.324998E-10</v>
      </c>
      <c r="D61" s="2">
        <v>6.2151150000000005E-11</v>
      </c>
      <c r="E61" s="2">
        <v>4.8651719999999999E-12</v>
      </c>
      <c r="I61" t="s">
        <v>15</v>
      </c>
      <c r="J61" s="3">
        <f t="shared" si="29"/>
        <v>-2.5590333333333331E-12</v>
      </c>
      <c r="K61" s="3">
        <f t="shared" si="30"/>
        <v>-7.4012666666666434E-13</v>
      </c>
      <c r="L61" s="3">
        <f t="shared" si="31"/>
        <v>-8.3724999999999626E-14</v>
      </c>
      <c r="O61" t="s">
        <v>15</v>
      </c>
      <c r="P61" s="3">
        <f t="shared" si="32"/>
        <v>-1.5370333333333288E-12</v>
      </c>
      <c r="Q61" s="3">
        <f t="shared" si="33"/>
        <v>-5.323866666666586E-13</v>
      </c>
      <c r="R61" s="3">
        <f t="shared" si="34"/>
        <v>-5.0255666666667225E-14</v>
      </c>
    </row>
    <row r="62" spans="1:18" x14ac:dyDescent="0.3">
      <c r="A62">
        <v>11</v>
      </c>
      <c r="B62">
        <v>20</v>
      </c>
      <c r="C62" s="2">
        <v>1.5099680000000001E-10</v>
      </c>
      <c r="D62" s="2">
        <v>7.1551379999999996E-11</v>
      </c>
      <c r="E62" s="2">
        <v>5.690197E-12</v>
      </c>
      <c r="I62" t="s">
        <v>17</v>
      </c>
      <c r="J62" s="3">
        <f t="shared" si="29"/>
        <v>-9.7243000000000199E-12</v>
      </c>
      <c r="K62" s="3">
        <f t="shared" si="30"/>
        <v>-4.430170000000012E-12</v>
      </c>
      <c r="L62" s="3">
        <f t="shared" si="31"/>
        <v>-3.0877833333333421E-13</v>
      </c>
      <c r="O62" t="s">
        <v>17</v>
      </c>
      <c r="P62" s="3">
        <f t="shared" si="32"/>
        <v>-6.5049333333333411E-12</v>
      </c>
      <c r="Q62" s="3">
        <f t="shared" si="33"/>
        <v>-3.1274066666666622E-12</v>
      </c>
      <c r="R62" s="3">
        <f t="shared" si="34"/>
        <v>-2.4638766666666706E-13</v>
      </c>
    </row>
    <row r="63" spans="1:18" x14ac:dyDescent="0.3">
      <c r="A63">
        <v>11</v>
      </c>
      <c r="B63">
        <v>20</v>
      </c>
      <c r="C63" s="2">
        <v>1.5085010000000001E-10</v>
      </c>
      <c r="D63" s="2">
        <v>7.1588160000000006E-11</v>
      </c>
      <c r="E63" s="2">
        <v>5.6859070000000002E-12</v>
      </c>
      <c r="I63" t="s">
        <v>18</v>
      </c>
      <c r="J63" s="3">
        <f t="shared" si="29"/>
        <v>-9.3703333333329981E-13</v>
      </c>
      <c r="K63" s="3">
        <f t="shared" si="30"/>
        <v>-6.3471666666665136E-13</v>
      </c>
      <c r="L63" s="3">
        <f t="shared" si="31"/>
        <v>-5.7740000000000115E-14</v>
      </c>
      <c r="O63" t="s">
        <v>18</v>
      </c>
      <c r="P63" s="3">
        <f t="shared" si="32"/>
        <v>-3.1759666666666735E-12</v>
      </c>
      <c r="Q63" s="3">
        <f t="shared" si="33"/>
        <v>-1.2578666666666669E-12</v>
      </c>
      <c r="R63" s="3">
        <f t="shared" si="34"/>
        <v>-8.8932999999999415E-14</v>
      </c>
    </row>
    <row r="64" spans="1:18" x14ac:dyDescent="0.3">
      <c r="A64">
        <v>11</v>
      </c>
      <c r="B64">
        <v>20</v>
      </c>
      <c r="C64" s="2">
        <v>1.508148E-10</v>
      </c>
      <c r="D64" s="2">
        <v>7.1609259999999998E-11</v>
      </c>
      <c r="E64" s="2">
        <v>5.6865000000000001E-12</v>
      </c>
      <c r="I64" t="s">
        <v>19</v>
      </c>
      <c r="J64" s="3">
        <f t="shared" si="29"/>
        <v>-1.3926333333333618E-12</v>
      </c>
      <c r="K64" s="3">
        <f t="shared" si="30"/>
        <v>-7.0005666666668145E-13</v>
      </c>
      <c r="L64" s="3">
        <f t="shared" si="31"/>
        <v>-5.8168333333333526E-14</v>
      </c>
      <c r="O64" t="s">
        <v>19</v>
      </c>
      <c r="P64" s="3">
        <f t="shared" si="32"/>
        <v>-1.2809666666666505E-12</v>
      </c>
      <c r="Q64" s="3">
        <f t="shared" si="33"/>
        <v>-5.4319666666666913E-13</v>
      </c>
      <c r="R64" s="3">
        <f t="shared" si="34"/>
        <v>-4.7139999999999333E-14</v>
      </c>
    </row>
    <row r="65" spans="1:18" x14ac:dyDescent="0.3">
      <c r="A65">
        <v>11</v>
      </c>
      <c r="B65">
        <v>30</v>
      </c>
      <c r="C65" s="2">
        <v>1.311551E-10</v>
      </c>
      <c r="D65" s="2">
        <v>6.1537630000000003E-11</v>
      </c>
      <c r="E65" s="2">
        <v>4.8218420000000003E-12</v>
      </c>
      <c r="I65" t="s">
        <v>20</v>
      </c>
      <c r="J65" s="3">
        <f t="shared" si="29"/>
        <v>-3.8866666666666801E-12</v>
      </c>
      <c r="K65" s="3">
        <f t="shared" si="30"/>
        <v>-1.4047199999999747E-12</v>
      </c>
      <c r="L65" s="3">
        <f t="shared" si="31"/>
        <v>-1.5035533333333243E-13</v>
      </c>
      <c r="O65" t="s">
        <v>20</v>
      </c>
      <c r="P65" s="3">
        <f t="shared" si="32"/>
        <v>-1.4706000000000321E-12</v>
      </c>
      <c r="Q65" s="3">
        <f t="shared" si="33"/>
        <v>-6.792233333333288E-13</v>
      </c>
      <c r="R65" s="3">
        <f t="shared" si="34"/>
        <v>-4.7282666666667576E-14</v>
      </c>
    </row>
    <row r="66" spans="1:18" x14ac:dyDescent="0.3">
      <c r="A66">
        <v>11</v>
      </c>
      <c r="B66">
        <v>30</v>
      </c>
      <c r="C66" s="2">
        <v>1.3111369999999999E-10</v>
      </c>
      <c r="D66" s="2">
        <v>6.1510619999999999E-11</v>
      </c>
      <c r="E66" s="2">
        <v>4.820242E-12</v>
      </c>
      <c r="I66" t="s">
        <v>21</v>
      </c>
      <c r="J66" s="3">
        <f t="shared" si="29"/>
        <v>0</v>
      </c>
      <c r="K66" s="3">
        <f t="shared" si="30"/>
        <v>0</v>
      </c>
      <c r="L66" s="3">
        <f t="shared" si="31"/>
        <v>0</v>
      </c>
      <c r="O66" t="s">
        <v>21</v>
      </c>
      <c r="P66" s="3">
        <f t="shared" si="32"/>
        <v>-1.658666666666644E-12</v>
      </c>
      <c r="Q66" s="3">
        <f t="shared" si="33"/>
        <v>-5.7304666666667188E-13</v>
      </c>
      <c r="R66" s="3">
        <f t="shared" si="34"/>
        <v>-6.0187999999999622E-14</v>
      </c>
    </row>
    <row r="67" spans="1:18" x14ac:dyDescent="0.3">
      <c r="A67">
        <v>11</v>
      </c>
      <c r="B67">
        <v>30</v>
      </c>
      <c r="C67" s="2">
        <v>1.3103179999999999E-10</v>
      </c>
      <c r="D67" s="2">
        <v>6.1478799999999996E-11</v>
      </c>
      <c r="E67" s="2">
        <v>4.81705E-12</v>
      </c>
      <c r="I67" t="s">
        <v>22</v>
      </c>
      <c r="J67" s="3">
        <f t="shared" si="29"/>
        <v>-9.6999999999901541E-15</v>
      </c>
      <c r="K67" s="3">
        <f t="shared" si="30"/>
        <v>-6.6057666666667726E-13</v>
      </c>
      <c r="L67" s="3">
        <f t="shared" si="31"/>
        <v>2.71499999999854E-15</v>
      </c>
      <c r="O67" t="s">
        <v>22</v>
      </c>
      <c r="P67" s="3">
        <f t="shared" si="32"/>
        <v>-5.2816666666666531E-13</v>
      </c>
      <c r="Q67" s="3">
        <f t="shared" si="33"/>
        <v>-5.904799999999876E-13</v>
      </c>
      <c r="R67" s="3">
        <f t="shared" si="34"/>
        <v>-1.577433333333305E-14</v>
      </c>
    </row>
    <row r="68" spans="1:18" x14ac:dyDescent="0.3">
      <c r="A68">
        <v>12</v>
      </c>
      <c r="B68">
        <v>20</v>
      </c>
      <c r="C68" s="2">
        <v>1.4900619999999999E-10</v>
      </c>
      <c r="D68" s="2">
        <v>7.1068979999999999E-11</v>
      </c>
      <c r="E68" s="2">
        <v>5.5989929999999999E-12</v>
      </c>
      <c r="I68" t="s">
        <v>23</v>
      </c>
      <c r="J68" s="3">
        <f t="shared" si="29"/>
        <v>-1.5139666666666331E-12</v>
      </c>
      <c r="K68" s="3">
        <f t="shared" si="30"/>
        <v>-5.8685333333333412E-13</v>
      </c>
      <c r="L68" s="3">
        <f t="shared" si="31"/>
        <v>-5.3551666666665921E-14</v>
      </c>
      <c r="O68" t="s">
        <v>23</v>
      </c>
      <c r="P68" s="3">
        <f t="shared" si="32"/>
        <v>-1.07346666666668E-12</v>
      </c>
      <c r="Q68" s="3">
        <f t="shared" si="33"/>
        <v>-4.3319333333334666E-13</v>
      </c>
      <c r="R68" s="3">
        <f t="shared" si="34"/>
        <v>-4.1363333333333377E-14</v>
      </c>
    </row>
    <row r="69" spans="1:18" x14ac:dyDescent="0.3">
      <c r="A69">
        <v>12</v>
      </c>
      <c r="B69">
        <v>20</v>
      </c>
      <c r="C69" s="2">
        <v>1.4904040000000001E-10</v>
      </c>
      <c r="D69" s="2">
        <v>7.1091650000000006E-11</v>
      </c>
      <c r="E69" s="2">
        <v>5.6009619999999999E-12</v>
      </c>
      <c r="I69" t="s">
        <v>24</v>
      </c>
      <c r="J69" s="3">
        <f t="shared" si="29"/>
        <v>-1.1532666666666821E-12</v>
      </c>
      <c r="K69" s="3">
        <f t="shared" si="30"/>
        <v>-4.3687666666667368E-13</v>
      </c>
      <c r="L69" s="3">
        <f t="shared" si="31"/>
        <v>-4.7407999999998943E-14</v>
      </c>
      <c r="O69" t="s">
        <v>24</v>
      </c>
      <c r="P69" s="3">
        <f t="shared" si="32"/>
        <v>-1.4463666666666426E-12</v>
      </c>
      <c r="Q69" s="3">
        <f t="shared" si="33"/>
        <v>-6.3141000000000165E-13</v>
      </c>
      <c r="R69" s="3">
        <f t="shared" si="34"/>
        <v>-4.7052333333333758E-14</v>
      </c>
    </row>
    <row r="70" spans="1:18" x14ac:dyDescent="0.3">
      <c r="A70">
        <v>12</v>
      </c>
      <c r="B70">
        <v>20</v>
      </c>
      <c r="C70" s="2">
        <v>1.4906149999999999E-10</v>
      </c>
      <c r="D70" s="2">
        <v>7.1100189999999999E-11</v>
      </c>
      <c r="E70" s="2">
        <v>5.6011169999999998E-12</v>
      </c>
    </row>
    <row r="71" spans="1:18" x14ac:dyDescent="0.3">
      <c r="A71">
        <v>12</v>
      </c>
      <c r="B71">
        <v>30</v>
      </c>
      <c r="C71" s="2">
        <v>1.2949980000000001E-10</v>
      </c>
      <c r="D71" s="2">
        <v>6.0961750000000004E-11</v>
      </c>
      <c r="E71" s="2">
        <v>4.7624130000000002E-12</v>
      </c>
    </row>
    <row r="72" spans="1:18" x14ac:dyDescent="0.3">
      <c r="A72">
        <v>12</v>
      </c>
      <c r="B72">
        <v>30</v>
      </c>
      <c r="C72" s="2">
        <v>1.294255E-10</v>
      </c>
      <c r="D72" s="2">
        <v>6.0931080000000006E-11</v>
      </c>
      <c r="E72" s="2">
        <v>4.7583370000000004E-12</v>
      </c>
    </row>
    <row r="73" spans="1:18" x14ac:dyDescent="0.3">
      <c r="A73">
        <v>12</v>
      </c>
      <c r="B73">
        <v>30</v>
      </c>
      <c r="C73" s="2">
        <v>1.293993E-10</v>
      </c>
      <c r="D73" s="2">
        <v>6.0915079999999998E-11</v>
      </c>
      <c r="E73" s="2">
        <v>4.75782E-12</v>
      </c>
    </row>
    <row r="74" spans="1:18" x14ac:dyDescent="0.3">
      <c r="A74">
        <v>13</v>
      </c>
      <c r="B74">
        <v>20</v>
      </c>
      <c r="C74" s="2">
        <v>1.4909109999999999E-10</v>
      </c>
      <c r="D74" s="2">
        <v>7.0391829999999999E-11</v>
      </c>
      <c r="E74" s="2">
        <v>5.6048710000000003E-12</v>
      </c>
    </row>
    <row r="75" spans="1:18" x14ac:dyDescent="0.3">
      <c r="A75">
        <v>13</v>
      </c>
      <c r="B75">
        <v>20</v>
      </c>
      <c r="C75" s="2">
        <v>1.490261E-10</v>
      </c>
      <c r="D75" s="2">
        <v>7.0433040000000006E-11</v>
      </c>
      <c r="E75" s="2">
        <v>5.6032409999999996E-12</v>
      </c>
    </row>
    <row r="76" spans="1:18" x14ac:dyDescent="0.3">
      <c r="A76">
        <v>13</v>
      </c>
      <c r="B76">
        <v>20</v>
      </c>
      <c r="C76" s="2">
        <v>1.489618E-10</v>
      </c>
      <c r="D76" s="2">
        <v>7.0454220000000006E-11</v>
      </c>
      <c r="E76" s="2">
        <v>5.6011050000000001E-12</v>
      </c>
    </row>
    <row r="77" spans="1:18" x14ac:dyDescent="0.3">
      <c r="A77">
        <v>13</v>
      </c>
      <c r="B77">
        <v>30</v>
      </c>
      <c r="C77" s="2">
        <v>1.289812E-10</v>
      </c>
      <c r="D77" s="2">
        <v>6.037169E-11</v>
      </c>
      <c r="E77" s="2">
        <v>4.7470340000000001E-12</v>
      </c>
    </row>
    <row r="78" spans="1:18" x14ac:dyDescent="0.3">
      <c r="A78">
        <v>13</v>
      </c>
      <c r="B78">
        <v>30</v>
      </c>
      <c r="C78" s="2">
        <v>1.288963E-10</v>
      </c>
      <c r="D78" s="2">
        <v>6.0342979999999997E-11</v>
      </c>
      <c r="E78" s="2">
        <v>4.7427160000000003E-12</v>
      </c>
    </row>
    <row r="79" spans="1:18" x14ac:dyDescent="0.3">
      <c r="A79">
        <v>13</v>
      </c>
      <c r="B79">
        <v>30</v>
      </c>
      <c r="C79" s="2">
        <v>1.2886260000000001E-10</v>
      </c>
      <c r="D79" s="2">
        <v>6.0321799999999997E-11</v>
      </c>
      <c r="E79" s="2">
        <v>4.7414970000000002E-12</v>
      </c>
    </row>
    <row r="80" spans="1:18" x14ac:dyDescent="0.3">
      <c r="A80">
        <v>14</v>
      </c>
      <c r="B80">
        <v>20</v>
      </c>
      <c r="C80" s="2">
        <v>1.4759489999999999E-10</v>
      </c>
      <c r="D80" s="2">
        <v>6.981866E-11</v>
      </c>
      <c r="E80" s="2">
        <v>5.5512599999999999E-12</v>
      </c>
    </row>
    <row r="81" spans="1:5" x14ac:dyDescent="0.3">
      <c r="A81">
        <v>14</v>
      </c>
      <c r="B81">
        <v>20</v>
      </c>
      <c r="C81" s="2">
        <v>1.474934E-10</v>
      </c>
      <c r="D81" s="2">
        <v>6.9850280000000003E-11</v>
      </c>
      <c r="E81" s="2">
        <v>5.5497280000000001E-12</v>
      </c>
    </row>
    <row r="82" spans="1:5" x14ac:dyDescent="0.3">
      <c r="A82">
        <v>14</v>
      </c>
      <c r="B82">
        <v>20</v>
      </c>
      <c r="C82" s="2">
        <v>1.474488E-10</v>
      </c>
      <c r="D82" s="2">
        <v>6.9849590000000005E-11</v>
      </c>
      <c r="E82" s="2">
        <v>5.5475739999999998E-12</v>
      </c>
    </row>
    <row r="83" spans="1:5" x14ac:dyDescent="0.3">
      <c r="A83">
        <v>14</v>
      </c>
      <c r="B83">
        <v>30</v>
      </c>
      <c r="C83" s="2">
        <v>1.278689E-10</v>
      </c>
      <c r="D83" s="2">
        <v>5.991669E-11</v>
      </c>
      <c r="E83" s="2">
        <v>4.7026780000000004E-12</v>
      </c>
    </row>
    <row r="84" spans="1:5" x14ac:dyDescent="0.3">
      <c r="A84">
        <v>14</v>
      </c>
      <c r="B84">
        <v>30</v>
      </c>
      <c r="C84" s="2">
        <v>1.278358E-10</v>
      </c>
      <c r="D84" s="2">
        <v>5.9913830000000004E-11</v>
      </c>
      <c r="E84" s="2">
        <v>4.702508E-12</v>
      </c>
    </row>
    <row r="85" spans="1:5" x14ac:dyDescent="0.3">
      <c r="A85">
        <v>14</v>
      </c>
      <c r="B85">
        <v>30</v>
      </c>
      <c r="C85" s="2">
        <v>1.2781499999999999E-10</v>
      </c>
      <c r="D85" s="2">
        <v>5.9906370000000001E-11</v>
      </c>
      <c r="E85" s="2">
        <v>4.7019710000000002E-12</v>
      </c>
    </row>
    <row r="86" spans="1:5" x14ac:dyDescent="0.3">
      <c r="A86">
        <v>15</v>
      </c>
      <c r="B86">
        <v>20</v>
      </c>
      <c r="C86" s="2">
        <v>1.4643099999999999E-10</v>
      </c>
      <c r="D86" s="2">
        <v>6.9406300000000006E-11</v>
      </c>
      <c r="E86" s="2">
        <v>5.5026040000000003E-12</v>
      </c>
    </row>
    <row r="87" spans="1:5" x14ac:dyDescent="0.3">
      <c r="A87">
        <v>15</v>
      </c>
      <c r="B87">
        <v>20</v>
      </c>
      <c r="C87" s="2">
        <v>1.4634009999999999E-10</v>
      </c>
      <c r="D87" s="2">
        <v>6.9397360000000002E-11</v>
      </c>
      <c r="E87" s="2">
        <v>5.503208E-12</v>
      </c>
    </row>
    <row r="88" spans="1:5" x14ac:dyDescent="0.3">
      <c r="A88">
        <v>15</v>
      </c>
      <c r="B88">
        <v>20</v>
      </c>
      <c r="C88" s="2">
        <v>1.4630619999999999E-10</v>
      </c>
      <c r="D88" s="2">
        <v>6.9404240000000006E-11</v>
      </c>
      <c r="E88" s="2">
        <v>5.5005260000000003E-12</v>
      </c>
    </row>
    <row r="89" spans="1:5" x14ac:dyDescent="0.3">
      <c r="A89">
        <v>15</v>
      </c>
      <c r="B89">
        <v>30</v>
      </c>
      <c r="C89" s="2">
        <v>1.2642429999999999E-10</v>
      </c>
      <c r="D89" s="2">
        <v>5.9272910000000005E-11</v>
      </c>
      <c r="E89" s="2">
        <v>4.6550529999999998E-12</v>
      </c>
    </row>
    <row r="90" spans="1:5" x14ac:dyDescent="0.3">
      <c r="A90">
        <v>15</v>
      </c>
      <c r="B90">
        <v>30</v>
      </c>
      <c r="C90" s="2">
        <v>1.2639089999999999E-10</v>
      </c>
      <c r="D90" s="2">
        <v>5.9283560000000001E-11</v>
      </c>
      <c r="E90" s="2">
        <v>4.6547640000000001E-12</v>
      </c>
    </row>
    <row r="91" spans="1:5" x14ac:dyDescent="0.3">
      <c r="A91">
        <v>15</v>
      </c>
      <c r="B91">
        <v>30</v>
      </c>
      <c r="C91" s="2">
        <v>1.2636540000000001E-10</v>
      </c>
      <c r="D91" s="2">
        <v>5.9286189999999994E-11</v>
      </c>
      <c r="E91" s="2">
        <v>4.6561830000000002E-12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 run 1</vt:lpstr>
      <vt:lpstr>2023 Run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Back, Michael</dc:creator>
  <cp:lastModifiedBy>Back, Michael</cp:lastModifiedBy>
  <dcterms:created xsi:type="dcterms:W3CDTF">2024-10-30T13:46:43Z</dcterms:created>
  <dcterms:modified xsi:type="dcterms:W3CDTF">2024-11-12T14:22:55Z</dcterms:modified>
</cp:coreProperties>
</file>