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b\Documents\Kinsman-Costello Lab\Dissertation\MAGM nutrient flux manuscript\"/>
    </mc:Choice>
  </mc:AlternateContent>
  <xr:revisionPtr revIDLastSave="0" documentId="13_ncr:1_{0B2F4EB1-5393-43B8-B7AE-65DD60C9D83D}" xr6:coauthVersionLast="47" xr6:coauthVersionMax="47" xr10:uidLastSave="{00000000-0000-0000-0000-000000000000}"/>
  <bookViews>
    <workbookView xWindow="-110" yWindow="-110" windowWidth="19420" windowHeight="10420" xr2:uid="{046AE09F-6515-4359-BE82-607F5F190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R42" i="1"/>
  <c r="R34" i="1"/>
  <c r="R3" i="1"/>
  <c r="S3" i="1" s="1"/>
  <c r="T3" i="1"/>
  <c r="R4" i="1"/>
  <c r="S4" i="1" s="1"/>
  <c r="R5" i="1"/>
  <c r="T5" i="1" s="1"/>
  <c r="S5" i="1"/>
  <c r="R6" i="1"/>
  <c r="S6" i="1"/>
  <c r="T6" i="1"/>
  <c r="S7" i="1"/>
  <c r="T7" i="1"/>
  <c r="R8" i="1"/>
  <c r="S8" i="1" s="1"/>
  <c r="R9" i="1"/>
  <c r="T9" i="1" s="1"/>
  <c r="S9" i="1"/>
  <c r="R10" i="1"/>
  <c r="S10" i="1"/>
  <c r="T10" i="1"/>
  <c r="R11" i="1"/>
  <c r="S11" i="1"/>
  <c r="T11" i="1"/>
  <c r="R12" i="1"/>
  <c r="S12" i="1" s="1"/>
  <c r="R13" i="1"/>
  <c r="T13" i="1" s="1"/>
  <c r="S13" i="1"/>
  <c r="R14" i="1"/>
  <c r="S14" i="1"/>
  <c r="T14" i="1"/>
  <c r="R15" i="1"/>
  <c r="S15" i="1"/>
  <c r="T15" i="1"/>
  <c r="R16" i="1"/>
  <c r="S16" i="1" s="1"/>
  <c r="R17" i="1"/>
  <c r="T17" i="1" s="1"/>
  <c r="S17" i="1"/>
  <c r="R18" i="1"/>
  <c r="S18" i="1"/>
  <c r="T18" i="1"/>
  <c r="R19" i="1"/>
  <c r="S19" i="1" s="1"/>
  <c r="T19" i="1"/>
  <c r="R20" i="1"/>
  <c r="S20" i="1" s="1"/>
  <c r="R21" i="1"/>
  <c r="T21" i="1" s="1"/>
  <c r="S21" i="1"/>
  <c r="R22" i="1"/>
  <c r="S22" i="1"/>
  <c r="T22" i="1"/>
  <c r="R23" i="1"/>
  <c r="S23" i="1" s="1"/>
  <c r="T23" i="1"/>
  <c r="R24" i="1"/>
  <c r="S24" i="1" s="1"/>
  <c r="R25" i="1"/>
  <c r="T25" i="1" s="1"/>
  <c r="S25" i="1"/>
  <c r="R26" i="1"/>
  <c r="S26" i="1"/>
  <c r="T26" i="1"/>
  <c r="R27" i="1"/>
  <c r="S27" i="1" s="1"/>
  <c r="T27" i="1"/>
  <c r="R28" i="1"/>
  <c r="S28" i="1" s="1"/>
  <c r="R29" i="1"/>
  <c r="T29" i="1" s="1"/>
  <c r="S29" i="1"/>
  <c r="R30" i="1"/>
  <c r="S30" i="1"/>
  <c r="T30" i="1"/>
  <c r="R31" i="1"/>
  <c r="S31" i="1" s="1"/>
  <c r="T31" i="1"/>
  <c r="R32" i="1"/>
  <c r="S32" i="1" s="1"/>
  <c r="R33" i="1"/>
  <c r="T33" i="1" s="1"/>
  <c r="S33" i="1"/>
  <c r="S34" i="1"/>
  <c r="T34" i="1"/>
  <c r="R35" i="1"/>
  <c r="S35" i="1"/>
  <c r="T35" i="1"/>
  <c r="R36" i="1"/>
  <c r="S36" i="1" s="1"/>
  <c r="R37" i="1"/>
  <c r="T37" i="1" s="1"/>
  <c r="S37" i="1"/>
  <c r="R38" i="1"/>
  <c r="S38" i="1"/>
  <c r="T38" i="1"/>
  <c r="R39" i="1"/>
  <c r="S39" i="1" s="1"/>
  <c r="T39" i="1"/>
  <c r="R40" i="1"/>
  <c r="S40" i="1" s="1"/>
  <c r="R41" i="1"/>
  <c r="T41" i="1" s="1"/>
  <c r="S41" i="1"/>
  <c r="S42" i="1"/>
  <c r="T42" i="1"/>
  <c r="R43" i="1"/>
  <c r="S43" i="1" s="1"/>
  <c r="T43" i="1"/>
  <c r="R44" i="1"/>
  <c r="S44" i="1" s="1"/>
  <c r="R45" i="1"/>
  <c r="T45" i="1" s="1"/>
  <c r="S45" i="1"/>
  <c r="R46" i="1"/>
  <c r="S46" i="1"/>
  <c r="T46" i="1"/>
  <c r="R2" i="1"/>
  <c r="T2" i="1"/>
  <c r="T44" i="1" l="1"/>
  <c r="T40" i="1"/>
  <c r="T36" i="1"/>
  <c r="T32" i="1"/>
  <c r="T28" i="1"/>
  <c r="T24" i="1"/>
  <c r="T20" i="1"/>
  <c r="T16" i="1"/>
  <c r="T12" i="1"/>
  <c r="T8" i="1"/>
  <c r="T4" i="1"/>
  <c r="S2" i="1"/>
</calcChain>
</file>

<file path=xl/sharedStrings.xml><?xml version="1.0" encoding="utf-8"?>
<sst xmlns="http://schemas.openxmlformats.org/spreadsheetml/2006/main" count="110" uniqueCount="22">
  <si>
    <t>date_collected</t>
  </si>
  <si>
    <t>days_deployed</t>
  </si>
  <si>
    <t>date_extracted</t>
  </si>
  <si>
    <t>date_analyzed</t>
  </si>
  <si>
    <t>sample_point</t>
  </si>
  <si>
    <t>core_id</t>
  </si>
  <si>
    <t>bag_id</t>
  </si>
  <si>
    <t>core_sa_m2</t>
  </si>
  <si>
    <t>resin_added</t>
  </si>
  <si>
    <t>perc_dw_org</t>
  </si>
  <si>
    <t>total_resin_ww</t>
  </si>
  <si>
    <t>boat_weight</t>
  </si>
  <si>
    <t>ww_subsample</t>
  </si>
  <si>
    <t>dw_plus_boat</t>
  </si>
  <si>
    <t>extraction_subsample_ww</t>
  </si>
  <si>
    <t>percent_moisture</t>
  </si>
  <si>
    <t>percent_dw</t>
  </si>
  <si>
    <t>total_extractant_added_L</t>
  </si>
  <si>
    <t>site</t>
  </si>
  <si>
    <t>date_deployed</t>
  </si>
  <si>
    <t>MAGM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</si>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</sst>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E735-F87D-468B-9195-ED0511EA6E5E}">
  <dimension ref="A1:T46"/>
  <sheetViews>
    <sheetView tabSelected="1" topLeftCell="B1" workbookViewId="0">
      <selection activeCell="S6" sqref="S6"/>
    </sheetView>
  </sheetViews>
  <sheetFormatPr defaultRowHeight="14.5" x14ac:dyDescent="0.35"/>
  <sheetData>
    <row r="1" spans="1:20" x14ac:dyDescent="0.35">
      <c r="A1" t="s">
        <v>18</v>
      </c>
      <c r="B1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5">
      <c r="A2" t="s">
        <v>20</v>
      </c>
      <c r="B2">
        <v>20230829</v>
      </c>
      <c r="C2">
        <v>20230908</v>
      </c>
      <c r="D2">
        <v>10</v>
      </c>
      <c r="E2">
        <v>20230909</v>
      </c>
      <c r="F2">
        <v>20230913</v>
      </c>
      <c r="G2">
        <v>1</v>
      </c>
      <c r="H2" t="s">
        <v>21</v>
      </c>
      <c r="I2">
        <v>1</v>
      </c>
      <c r="J2">
        <v>4.5599999999999998E-3</v>
      </c>
      <c r="K2">
        <v>30.01</v>
      </c>
      <c r="L2">
        <v>0.45</v>
      </c>
      <c r="M2">
        <v>31.43</v>
      </c>
      <c r="N2">
        <v>2.2200000000000002</v>
      </c>
      <c r="O2">
        <v>1.99</v>
      </c>
      <c r="P2">
        <v>2.94</v>
      </c>
      <c r="Q2">
        <v>1.97</v>
      </c>
      <c r="R2">
        <f>(O2-(P2-N2))/O2</f>
        <v>0.63819095477386945</v>
      </c>
      <c r="S2">
        <f>1-R2</f>
        <v>0.36180904522613055</v>
      </c>
      <c r="T2">
        <f>(40+(Q2*R2))/1000</f>
        <v>4.1257236180904523E-2</v>
      </c>
    </row>
    <row r="3" spans="1:20" x14ac:dyDescent="0.35">
      <c r="A3" t="s">
        <v>20</v>
      </c>
      <c r="B3">
        <v>20230829</v>
      </c>
      <c r="C3">
        <v>20230908</v>
      </c>
      <c r="D3">
        <v>10</v>
      </c>
      <c r="E3">
        <v>20230909</v>
      </c>
      <c r="F3">
        <v>20230913</v>
      </c>
      <c r="G3">
        <v>1</v>
      </c>
      <c r="H3" t="s">
        <v>21</v>
      </c>
      <c r="I3">
        <v>2</v>
      </c>
      <c r="J3">
        <v>4.5599999999999998E-3</v>
      </c>
      <c r="K3">
        <v>20.02</v>
      </c>
      <c r="L3">
        <v>0.45</v>
      </c>
      <c r="M3">
        <v>19.329999999999998</v>
      </c>
      <c r="N3">
        <v>2.19</v>
      </c>
      <c r="O3">
        <v>1.99</v>
      </c>
      <c r="P3">
        <v>2.89</v>
      </c>
      <c r="Q3">
        <v>1.95</v>
      </c>
      <c r="R3">
        <f t="shared" ref="R3:R46" si="0">(O3-(P3-N3))/O3</f>
        <v>0.64824120603015067</v>
      </c>
      <c r="S3">
        <f t="shared" ref="S3:S46" si="1">1-R3</f>
        <v>0.35175879396984933</v>
      </c>
      <c r="T3">
        <f t="shared" ref="T3:T46" si="2">(40+(Q3*R3))/1000</f>
        <v>4.1264070351758796E-2</v>
      </c>
    </row>
    <row r="4" spans="1:20" x14ac:dyDescent="0.35">
      <c r="A4" t="s">
        <v>20</v>
      </c>
      <c r="B4">
        <v>20230829</v>
      </c>
      <c r="C4">
        <v>20230908</v>
      </c>
      <c r="D4">
        <v>10</v>
      </c>
      <c r="E4">
        <v>20230909</v>
      </c>
      <c r="F4">
        <v>20230913</v>
      </c>
      <c r="G4">
        <v>1</v>
      </c>
      <c r="H4" t="s">
        <v>21</v>
      </c>
      <c r="I4">
        <v>3</v>
      </c>
      <c r="J4">
        <v>4.5599999999999998E-3</v>
      </c>
      <c r="K4">
        <v>30</v>
      </c>
      <c r="L4">
        <v>0.45</v>
      </c>
      <c r="M4">
        <v>30.35</v>
      </c>
      <c r="N4">
        <v>2.2000000000000002</v>
      </c>
      <c r="O4">
        <v>2.0299999999999998</v>
      </c>
      <c r="P4">
        <v>2.93</v>
      </c>
      <c r="Q4">
        <v>2.04</v>
      </c>
      <c r="R4">
        <f t="shared" si="0"/>
        <v>0.64039408866995073</v>
      </c>
      <c r="S4">
        <f t="shared" si="1"/>
        <v>0.35960591133004927</v>
      </c>
      <c r="T4">
        <f t="shared" si="2"/>
        <v>4.1306403940886693E-2</v>
      </c>
    </row>
    <row r="5" spans="1:20" x14ac:dyDescent="0.35">
      <c r="A5" t="s">
        <v>20</v>
      </c>
      <c r="B5">
        <v>20230829</v>
      </c>
      <c r="C5">
        <v>20230908</v>
      </c>
      <c r="D5">
        <v>10</v>
      </c>
      <c r="E5">
        <v>20230909</v>
      </c>
      <c r="F5">
        <v>20230913</v>
      </c>
      <c r="G5">
        <v>2</v>
      </c>
      <c r="H5" t="s">
        <v>21</v>
      </c>
      <c r="I5">
        <v>1</v>
      </c>
      <c r="J5">
        <v>4.5599999999999998E-3</v>
      </c>
      <c r="K5">
        <v>30.02</v>
      </c>
      <c r="L5">
        <v>0.45</v>
      </c>
      <c r="M5">
        <v>30.29</v>
      </c>
      <c r="N5">
        <v>2.17</v>
      </c>
      <c r="O5">
        <v>1.95</v>
      </c>
      <c r="P5">
        <v>2.88</v>
      </c>
      <c r="Q5">
        <v>1.98</v>
      </c>
      <c r="R5">
        <f t="shared" si="0"/>
        <v>0.63589743589743586</v>
      </c>
      <c r="S5">
        <f t="shared" si="1"/>
        <v>0.36410256410256414</v>
      </c>
      <c r="T5">
        <f t="shared" si="2"/>
        <v>4.1259076923076926E-2</v>
      </c>
    </row>
    <row r="6" spans="1:20" x14ac:dyDescent="0.35">
      <c r="A6" t="s">
        <v>20</v>
      </c>
      <c r="B6">
        <v>20230829</v>
      </c>
      <c r="C6">
        <v>20230908</v>
      </c>
      <c r="D6">
        <v>10</v>
      </c>
      <c r="E6">
        <v>20230909</v>
      </c>
      <c r="F6">
        <v>20230913</v>
      </c>
      <c r="G6">
        <v>2</v>
      </c>
      <c r="H6" t="s">
        <v>21</v>
      </c>
      <c r="I6">
        <v>2</v>
      </c>
      <c r="J6">
        <v>4.5599999999999998E-3</v>
      </c>
      <c r="K6">
        <v>20</v>
      </c>
      <c r="L6">
        <v>0.45</v>
      </c>
      <c r="M6">
        <v>19.93</v>
      </c>
      <c r="N6">
        <v>2.2200000000000002</v>
      </c>
      <c r="O6">
        <v>2</v>
      </c>
      <c r="P6">
        <v>2.91</v>
      </c>
      <c r="Q6">
        <v>2.0099999999999998</v>
      </c>
      <c r="R6">
        <f t="shared" si="0"/>
        <v>0.65500000000000003</v>
      </c>
      <c r="S6">
        <f t="shared" si="1"/>
        <v>0.34499999999999997</v>
      </c>
      <c r="T6">
        <f t="shared" si="2"/>
        <v>4.131655E-2</v>
      </c>
    </row>
    <row r="7" spans="1:20" x14ac:dyDescent="0.35">
      <c r="A7" t="s">
        <v>20</v>
      </c>
      <c r="B7">
        <v>20230829</v>
      </c>
      <c r="C7">
        <v>20230908</v>
      </c>
      <c r="D7">
        <v>10</v>
      </c>
      <c r="E7">
        <v>20230909</v>
      </c>
      <c r="F7">
        <v>20230913</v>
      </c>
      <c r="G7">
        <v>2</v>
      </c>
      <c r="H7" t="s">
        <v>21</v>
      </c>
      <c r="I7">
        <v>3</v>
      </c>
      <c r="J7">
        <v>4.5599999999999998E-3</v>
      </c>
      <c r="K7">
        <v>30</v>
      </c>
      <c r="L7">
        <v>0.45</v>
      </c>
      <c r="M7">
        <v>30.6</v>
      </c>
      <c r="N7">
        <v>2.2400000000000002</v>
      </c>
      <c r="O7">
        <v>2</v>
      </c>
      <c r="P7">
        <v>2.92</v>
      </c>
      <c r="Q7">
        <v>1.99</v>
      </c>
      <c r="R7">
        <f>(O7-(P7-N7))/O7</f>
        <v>0.66000000000000014</v>
      </c>
      <c r="S7">
        <f t="shared" si="1"/>
        <v>0.33999999999999986</v>
      </c>
      <c r="T7">
        <f t="shared" si="2"/>
        <v>4.13134E-2</v>
      </c>
    </row>
    <row r="8" spans="1:20" x14ac:dyDescent="0.35">
      <c r="A8" t="s">
        <v>20</v>
      </c>
      <c r="B8">
        <v>20230829</v>
      </c>
      <c r="C8">
        <v>20230908</v>
      </c>
      <c r="D8">
        <v>10</v>
      </c>
      <c r="E8">
        <v>20230909</v>
      </c>
      <c r="F8">
        <v>20230913</v>
      </c>
      <c r="G8">
        <v>3</v>
      </c>
      <c r="H8" t="s">
        <v>21</v>
      </c>
      <c r="I8">
        <v>1</v>
      </c>
      <c r="J8">
        <v>4.5599999999999998E-3</v>
      </c>
      <c r="K8">
        <v>30.01</v>
      </c>
      <c r="L8">
        <v>0.45</v>
      </c>
      <c r="M8">
        <v>31.86</v>
      </c>
      <c r="N8">
        <v>2.17</v>
      </c>
      <c r="O8">
        <v>2</v>
      </c>
      <c r="P8">
        <v>2.82</v>
      </c>
      <c r="Q8">
        <v>2</v>
      </c>
      <c r="R8">
        <f t="shared" si="0"/>
        <v>0.67500000000000004</v>
      </c>
      <c r="S8">
        <f t="shared" si="1"/>
        <v>0.32499999999999996</v>
      </c>
      <c r="T8">
        <f t="shared" si="2"/>
        <v>4.1350000000000005E-2</v>
      </c>
    </row>
    <row r="9" spans="1:20" x14ac:dyDescent="0.35">
      <c r="A9" t="s">
        <v>20</v>
      </c>
      <c r="B9">
        <v>20230829</v>
      </c>
      <c r="C9">
        <v>20230908</v>
      </c>
      <c r="D9">
        <v>10</v>
      </c>
      <c r="E9">
        <v>20230909</v>
      </c>
      <c r="F9">
        <v>20230913</v>
      </c>
      <c r="G9">
        <v>3</v>
      </c>
      <c r="H9" t="s">
        <v>21</v>
      </c>
      <c r="I9">
        <v>2</v>
      </c>
      <c r="J9">
        <v>4.5599999999999998E-3</v>
      </c>
      <c r="K9">
        <v>20.010000000000002</v>
      </c>
      <c r="L9">
        <v>0.45</v>
      </c>
      <c r="M9">
        <v>18.62</v>
      </c>
      <c r="N9">
        <v>2.23</v>
      </c>
      <c r="O9">
        <v>1.96</v>
      </c>
      <c r="P9">
        <v>2.96</v>
      </c>
      <c r="Q9">
        <v>2.0299999999999998</v>
      </c>
      <c r="R9">
        <f t="shared" si="0"/>
        <v>0.62755102040816324</v>
      </c>
      <c r="S9">
        <f t="shared" si="1"/>
        <v>0.37244897959183676</v>
      </c>
      <c r="T9">
        <f t="shared" si="2"/>
        <v>4.1273928571428573E-2</v>
      </c>
    </row>
    <row r="10" spans="1:20" x14ac:dyDescent="0.35">
      <c r="A10" t="s">
        <v>20</v>
      </c>
      <c r="B10">
        <v>20230829</v>
      </c>
      <c r="C10">
        <v>20230908</v>
      </c>
      <c r="D10">
        <v>10</v>
      </c>
      <c r="E10">
        <v>20230909</v>
      </c>
      <c r="F10">
        <v>20230913</v>
      </c>
      <c r="G10">
        <v>3</v>
      </c>
      <c r="H10" t="s">
        <v>21</v>
      </c>
      <c r="I10">
        <v>3</v>
      </c>
      <c r="J10">
        <v>4.5599999999999998E-3</v>
      </c>
      <c r="K10">
        <v>30.01</v>
      </c>
      <c r="L10">
        <v>0.45</v>
      </c>
      <c r="M10">
        <v>28.61</v>
      </c>
      <c r="N10">
        <v>2.21</v>
      </c>
      <c r="O10">
        <v>1.95</v>
      </c>
      <c r="P10">
        <v>2.94</v>
      </c>
      <c r="Q10">
        <v>1.96</v>
      </c>
      <c r="R10">
        <f t="shared" si="0"/>
        <v>0.62564102564102564</v>
      </c>
      <c r="S10">
        <f t="shared" si="1"/>
        <v>0.37435897435897436</v>
      </c>
      <c r="T10">
        <f t="shared" si="2"/>
        <v>4.1226256410256408E-2</v>
      </c>
    </row>
    <row r="11" spans="1:20" x14ac:dyDescent="0.35">
      <c r="A11" t="s">
        <v>20</v>
      </c>
      <c r="B11">
        <v>20230829</v>
      </c>
      <c r="C11">
        <v>20230908</v>
      </c>
      <c r="D11">
        <v>10</v>
      </c>
      <c r="E11">
        <v>20230909</v>
      </c>
      <c r="F11">
        <v>20230913</v>
      </c>
      <c r="G11">
        <v>4</v>
      </c>
      <c r="H11" t="s">
        <v>21</v>
      </c>
      <c r="I11">
        <v>1</v>
      </c>
      <c r="J11">
        <v>4.5599999999999998E-3</v>
      </c>
      <c r="K11">
        <v>30</v>
      </c>
      <c r="L11">
        <v>0.45</v>
      </c>
      <c r="M11">
        <v>29.69</v>
      </c>
      <c r="N11">
        <v>2.19</v>
      </c>
      <c r="O11">
        <v>1.98</v>
      </c>
      <c r="P11">
        <v>2.89</v>
      </c>
      <c r="Q11">
        <v>2.0099999999999998</v>
      </c>
      <c r="R11">
        <f t="shared" si="0"/>
        <v>0.64646464646464641</v>
      </c>
      <c r="S11">
        <f t="shared" si="1"/>
        <v>0.35353535353535359</v>
      </c>
      <c r="T11">
        <f t="shared" si="2"/>
        <v>4.1299393939393934E-2</v>
      </c>
    </row>
    <row r="12" spans="1:20" x14ac:dyDescent="0.35">
      <c r="A12" t="s">
        <v>20</v>
      </c>
      <c r="B12">
        <v>20230829</v>
      </c>
      <c r="C12">
        <v>20230908</v>
      </c>
      <c r="D12">
        <v>10</v>
      </c>
      <c r="E12">
        <v>20230909</v>
      </c>
      <c r="F12">
        <v>20230913</v>
      </c>
      <c r="G12">
        <v>4</v>
      </c>
      <c r="H12" t="s">
        <v>21</v>
      </c>
      <c r="I12">
        <v>2</v>
      </c>
      <c r="J12">
        <v>4.5599999999999998E-3</v>
      </c>
      <c r="K12">
        <v>20</v>
      </c>
      <c r="L12">
        <v>0.45</v>
      </c>
      <c r="M12">
        <v>17.239999999999998</v>
      </c>
      <c r="N12">
        <v>2.2200000000000002</v>
      </c>
      <c r="O12">
        <v>1.98</v>
      </c>
      <c r="P12">
        <v>2.92</v>
      </c>
      <c r="Q12">
        <v>1.96</v>
      </c>
      <c r="R12">
        <f t="shared" si="0"/>
        <v>0.64646464646464663</v>
      </c>
      <c r="S12">
        <f t="shared" si="1"/>
        <v>0.35353535353535337</v>
      </c>
      <c r="T12">
        <f t="shared" si="2"/>
        <v>4.126707070707071E-2</v>
      </c>
    </row>
    <row r="13" spans="1:20" x14ac:dyDescent="0.35">
      <c r="A13" t="s">
        <v>20</v>
      </c>
      <c r="B13">
        <v>20230829</v>
      </c>
      <c r="C13">
        <v>20230908</v>
      </c>
      <c r="D13">
        <v>10</v>
      </c>
      <c r="E13">
        <v>20230909</v>
      </c>
      <c r="F13">
        <v>20230913</v>
      </c>
      <c r="G13">
        <v>4</v>
      </c>
      <c r="H13" t="s">
        <v>21</v>
      </c>
      <c r="I13">
        <v>3</v>
      </c>
      <c r="J13">
        <v>4.5599999999999998E-3</v>
      </c>
      <c r="K13">
        <v>30</v>
      </c>
      <c r="L13">
        <v>0.45</v>
      </c>
      <c r="M13">
        <v>28.43</v>
      </c>
      <c r="N13">
        <v>2.15</v>
      </c>
      <c r="O13">
        <v>2.0099999999999998</v>
      </c>
      <c r="P13">
        <v>2.91</v>
      </c>
      <c r="Q13">
        <v>1.97</v>
      </c>
      <c r="R13">
        <f t="shared" si="0"/>
        <v>0.62189054726368143</v>
      </c>
      <c r="S13">
        <f t="shared" si="1"/>
        <v>0.37810945273631857</v>
      </c>
      <c r="T13">
        <f t="shared" si="2"/>
        <v>4.1225124378109455E-2</v>
      </c>
    </row>
    <row r="14" spans="1:20" x14ac:dyDescent="0.35">
      <c r="A14" t="s">
        <v>20</v>
      </c>
      <c r="B14">
        <v>20230829</v>
      </c>
      <c r="C14">
        <v>20230908</v>
      </c>
      <c r="D14">
        <v>10</v>
      </c>
      <c r="E14">
        <v>20230909</v>
      </c>
      <c r="F14">
        <v>20230913</v>
      </c>
      <c r="G14">
        <v>5</v>
      </c>
      <c r="H14" t="s">
        <v>21</v>
      </c>
      <c r="I14">
        <v>1</v>
      </c>
      <c r="J14">
        <v>4.5599999999999998E-3</v>
      </c>
      <c r="K14">
        <v>30</v>
      </c>
      <c r="L14">
        <v>0.45</v>
      </c>
      <c r="M14">
        <v>30.26</v>
      </c>
      <c r="N14">
        <v>2.2200000000000002</v>
      </c>
      <c r="O14">
        <v>2.0099999999999998</v>
      </c>
      <c r="P14">
        <v>2.91</v>
      </c>
      <c r="Q14">
        <v>2.02</v>
      </c>
      <c r="R14">
        <f t="shared" si="0"/>
        <v>0.65671641791044777</v>
      </c>
      <c r="S14">
        <f t="shared" si="1"/>
        <v>0.34328358208955223</v>
      </c>
      <c r="T14">
        <f t="shared" si="2"/>
        <v>4.1326567164179102E-2</v>
      </c>
    </row>
    <row r="15" spans="1:20" x14ac:dyDescent="0.35">
      <c r="A15" t="s">
        <v>20</v>
      </c>
      <c r="B15">
        <v>20230829</v>
      </c>
      <c r="C15">
        <v>20230908</v>
      </c>
      <c r="D15">
        <v>10</v>
      </c>
      <c r="E15">
        <v>20230909</v>
      </c>
      <c r="F15">
        <v>20230913</v>
      </c>
      <c r="G15">
        <v>5</v>
      </c>
      <c r="H15" t="s">
        <v>21</v>
      </c>
      <c r="I15">
        <v>2</v>
      </c>
      <c r="J15">
        <v>4.5599999999999998E-3</v>
      </c>
      <c r="K15">
        <v>20</v>
      </c>
      <c r="L15">
        <v>0.45</v>
      </c>
      <c r="M15">
        <v>18.920000000000002</v>
      </c>
      <c r="N15">
        <v>2.2000000000000002</v>
      </c>
      <c r="O15">
        <v>2.02</v>
      </c>
      <c r="P15">
        <v>2.87</v>
      </c>
      <c r="Q15">
        <v>2.04</v>
      </c>
      <c r="R15">
        <f t="shared" si="0"/>
        <v>0.66831683168316836</v>
      </c>
      <c r="S15">
        <f t="shared" si="1"/>
        <v>0.33168316831683164</v>
      </c>
      <c r="T15">
        <f t="shared" si="2"/>
        <v>4.1363366336633664E-2</v>
      </c>
    </row>
    <row r="16" spans="1:20" x14ac:dyDescent="0.35">
      <c r="A16" t="s">
        <v>20</v>
      </c>
      <c r="B16">
        <v>20230829</v>
      </c>
      <c r="C16">
        <v>20230908</v>
      </c>
      <c r="D16">
        <v>10</v>
      </c>
      <c r="E16">
        <v>20230909</v>
      </c>
      <c r="F16">
        <v>20230913</v>
      </c>
      <c r="G16">
        <v>5</v>
      </c>
      <c r="H16" t="s">
        <v>21</v>
      </c>
      <c r="I16">
        <v>3</v>
      </c>
      <c r="J16">
        <v>4.5599999999999998E-3</v>
      </c>
      <c r="K16">
        <v>30</v>
      </c>
      <c r="L16">
        <v>0.45</v>
      </c>
      <c r="M16">
        <v>27.21</v>
      </c>
      <c r="N16">
        <v>2.14</v>
      </c>
      <c r="O16">
        <v>1.99</v>
      </c>
      <c r="P16">
        <v>2.97</v>
      </c>
      <c r="Q16">
        <v>1.97</v>
      </c>
      <c r="R16">
        <f t="shared" si="0"/>
        <v>0.58291457286432158</v>
      </c>
      <c r="S16">
        <f t="shared" si="1"/>
        <v>0.41708542713567842</v>
      </c>
      <c r="T16">
        <f t="shared" si="2"/>
        <v>4.1148341708542716E-2</v>
      </c>
    </row>
    <row r="17" spans="1:20" x14ac:dyDescent="0.35">
      <c r="A17" t="s">
        <v>20</v>
      </c>
      <c r="B17">
        <v>20230829</v>
      </c>
      <c r="C17">
        <v>20230908</v>
      </c>
      <c r="D17">
        <v>10</v>
      </c>
      <c r="E17">
        <v>20230909</v>
      </c>
      <c r="F17">
        <v>20230913</v>
      </c>
      <c r="G17">
        <v>7</v>
      </c>
      <c r="H17" t="s">
        <v>21</v>
      </c>
      <c r="I17">
        <v>1</v>
      </c>
      <c r="J17">
        <v>4.5599999999999998E-3</v>
      </c>
      <c r="K17">
        <v>30.01</v>
      </c>
      <c r="L17">
        <v>0.45</v>
      </c>
      <c r="M17">
        <v>29.89</v>
      </c>
      <c r="N17">
        <v>2.2599999999999998</v>
      </c>
      <c r="O17">
        <v>2.0499999999999998</v>
      </c>
      <c r="P17">
        <v>2.96</v>
      </c>
      <c r="Q17">
        <v>1.98</v>
      </c>
      <c r="R17">
        <f t="shared" si="0"/>
        <v>0.65853658536585358</v>
      </c>
      <c r="S17">
        <f t="shared" si="1"/>
        <v>0.34146341463414642</v>
      </c>
      <c r="T17">
        <f t="shared" si="2"/>
        <v>4.130390243902439E-2</v>
      </c>
    </row>
    <row r="18" spans="1:20" x14ac:dyDescent="0.35">
      <c r="A18" t="s">
        <v>20</v>
      </c>
      <c r="B18">
        <v>20230829</v>
      </c>
      <c r="C18">
        <v>20230908</v>
      </c>
      <c r="D18">
        <v>10</v>
      </c>
      <c r="E18">
        <v>20230909</v>
      </c>
      <c r="F18">
        <v>20230913</v>
      </c>
      <c r="G18">
        <v>7</v>
      </c>
      <c r="H18" t="s">
        <v>21</v>
      </c>
      <c r="I18">
        <v>2</v>
      </c>
      <c r="J18">
        <v>4.5599999999999998E-3</v>
      </c>
      <c r="K18">
        <v>20.02</v>
      </c>
      <c r="L18">
        <v>0.45</v>
      </c>
      <c r="M18">
        <v>18.8</v>
      </c>
      <c r="N18">
        <v>2.25</v>
      </c>
      <c r="O18">
        <v>2.02</v>
      </c>
      <c r="P18">
        <v>2.98</v>
      </c>
      <c r="Q18">
        <v>2.0099999999999998</v>
      </c>
      <c r="R18">
        <f t="shared" si="0"/>
        <v>0.63861386138613863</v>
      </c>
      <c r="S18">
        <f t="shared" si="1"/>
        <v>0.36138613861386137</v>
      </c>
      <c r="T18">
        <f t="shared" si="2"/>
        <v>4.128361386138614E-2</v>
      </c>
    </row>
    <row r="19" spans="1:20" x14ac:dyDescent="0.35">
      <c r="A19" t="s">
        <v>20</v>
      </c>
      <c r="B19">
        <v>20230829</v>
      </c>
      <c r="C19">
        <v>20230908</v>
      </c>
      <c r="D19">
        <v>10</v>
      </c>
      <c r="E19">
        <v>20230909</v>
      </c>
      <c r="F19">
        <v>20230913</v>
      </c>
      <c r="G19">
        <v>7</v>
      </c>
      <c r="H19" t="s">
        <v>21</v>
      </c>
      <c r="I19">
        <v>3</v>
      </c>
      <c r="J19">
        <v>4.5599999999999998E-3</v>
      </c>
      <c r="K19">
        <v>30</v>
      </c>
      <c r="L19">
        <v>0.45</v>
      </c>
      <c r="M19">
        <v>28.47</v>
      </c>
      <c r="N19">
        <v>2.23</v>
      </c>
      <c r="O19">
        <v>2.0499999999999998</v>
      </c>
      <c r="P19">
        <v>3.02</v>
      </c>
      <c r="Q19">
        <v>1.97</v>
      </c>
      <c r="R19">
        <f t="shared" si="0"/>
        <v>0.61463414634146341</v>
      </c>
      <c r="S19">
        <f t="shared" si="1"/>
        <v>0.38536585365853659</v>
      </c>
      <c r="T19">
        <f t="shared" si="2"/>
        <v>4.1210829268292684E-2</v>
      </c>
    </row>
    <row r="20" spans="1:20" x14ac:dyDescent="0.35">
      <c r="A20" t="s">
        <v>20</v>
      </c>
      <c r="B20">
        <v>20230829</v>
      </c>
      <c r="C20">
        <v>20230908</v>
      </c>
      <c r="D20">
        <v>10</v>
      </c>
      <c r="E20">
        <v>20230909</v>
      </c>
      <c r="F20">
        <v>20230913</v>
      </c>
      <c r="G20">
        <v>8</v>
      </c>
      <c r="H20" t="s">
        <v>21</v>
      </c>
      <c r="I20">
        <v>1</v>
      </c>
      <c r="J20">
        <v>4.5599999999999998E-3</v>
      </c>
      <c r="K20">
        <v>30</v>
      </c>
      <c r="L20">
        <v>0.45</v>
      </c>
      <c r="M20">
        <v>32.700000000000003</v>
      </c>
      <c r="N20">
        <v>2.2200000000000002</v>
      </c>
      <c r="O20">
        <v>2.0499999999999998</v>
      </c>
      <c r="P20">
        <v>2.88</v>
      </c>
      <c r="Q20">
        <v>2.02</v>
      </c>
      <c r="R20">
        <f t="shared" si="0"/>
        <v>0.67804878048780504</v>
      </c>
      <c r="S20">
        <f t="shared" si="1"/>
        <v>0.32195121951219496</v>
      </c>
      <c r="T20">
        <f t="shared" si="2"/>
        <v>4.136965853658537E-2</v>
      </c>
    </row>
    <row r="21" spans="1:20" x14ac:dyDescent="0.35">
      <c r="A21" t="s">
        <v>20</v>
      </c>
      <c r="B21">
        <v>20230829</v>
      </c>
      <c r="C21">
        <v>20230908</v>
      </c>
      <c r="D21">
        <v>10</v>
      </c>
      <c r="E21">
        <v>20230909</v>
      </c>
      <c r="F21">
        <v>20230913</v>
      </c>
      <c r="G21">
        <v>8</v>
      </c>
      <c r="H21" t="s">
        <v>21</v>
      </c>
      <c r="I21">
        <v>2</v>
      </c>
      <c r="J21">
        <v>4.5599999999999998E-3</v>
      </c>
      <c r="K21">
        <v>20</v>
      </c>
      <c r="L21">
        <v>0.45</v>
      </c>
      <c r="M21">
        <v>19.59</v>
      </c>
      <c r="N21">
        <v>2.2000000000000002</v>
      </c>
      <c r="O21">
        <v>2.04</v>
      </c>
      <c r="P21">
        <v>2.93</v>
      </c>
      <c r="Q21">
        <v>2</v>
      </c>
      <c r="R21">
        <f t="shared" si="0"/>
        <v>0.64215686274509809</v>
      </c>
      <c r="S21">
        <f t="shared" si="1"/>
        <v>0.35784313725490191</v>
      </c>
      <c r="T21">
        <f t="shared" si="2"/>
        <v>4.1284313725490192E-2</v>
      </c>
    </row>
    <row r="22" spans="1:20" x14ac:dyDescent="0.35">
      <c r="A22" t="s">
        <v>20</v>
      </c>
      <c r="B22">
        <v>20230829</v>
      </c>
      <c r="C22">
        <v>20230908</v>
      </c>
      <c r="D22">
        <v>10</v>
      </c>
      <c r="E22">
        <v>20230909</v>
      </c>
      <c r="F22">
        <v>20230914</v>
      </c>
      <c r="G22">
        <v>8</v>
      </c>
      <c r="H22" t="s">
        <v>21</v>
      </c>
      <c r="I22">
        <v>3</v>
      </c>
      <c r="J22">
        <v>4.5599999999999998E-3</v>
      </c>
      <c r="K22">
        <v>30.02</v>
      </c>
      <c r="L22">
        <v>0.45</v>
      </c>
      <c r="M22">
        <v>28.57</v>
      </c>
      <c r="N22">
        <v>2.21</v>
      </c>
      <c r="O22">
        <v>2.0099999999999998</v>
      </c>
      <c r="P22">
        <v>2.95</v>
      </c>
      <c r="Q22">
        <v>2</v>
      </c>
      <c r="R22">
        <f t="shared" si="0"/>
        <v>0.6318407960199004</v>
      </c>
      <c r="S22">
        <f t="shared" si="1"/>
        <v>0.3681592039800996</v>
      </c>
      <c r="T22">
        <f t="shared" si="2"/>
        <v>4.1263681592039803E-2</v>
      </c>
    </row>
    <row r="23" spans="1:20" x14ac:dyDescent="0.35">
      <c r="A23" t="s">
        <v>20</v>
      </c>
      <c r="B23">
        <v>20230829</v>
      </c>
      <c r="C23">
        <v>20230908</v>
      </c>
      <c r="D23">
        <v>10</v>
      </c>
      <c r="E23">
        <v>20230909</v>
      </c>
      <c r="F23">
        <v>20230914</v>
      </c>
      <c r="G23">
        <v>9</v>
      </c>
      <c r="H23" t="s">
        <v>21</v>
      </c>
      <c r="I23">
        <v>1</v>
      </c>
      <c r="J23">
        <v>4.5599999999999998E-3</v>
      </c>
      <c r="K23">
        <v>30</v>
      </c>
      <c r="L23">
        <v>0.45</v>
      </c>
      <c r="M23">
        <v>32.54</v>
      </c>
      <c r="N23">
        <v>2.14</v>
      </c>
      <c r="O23">
        <v>2.0699999999999998</v>
      </c>
      <c r="P23">
        <v>2.85</v>
      </c>
      <c r="Q23">
        <v>1.99</v>
      </c>
      <c r="R23">
        <f t="shared" si="0"/>
        <v>0.65700483091787443</v>
      </c>
      <c r="S23">
        <f t="shared" si="1"/>
        <v>0.34299516908212557</v>
      </c>
      <c r="T23">
        <f t="shared" si="2"/>
        <v>4.1307439613526571E-2</v>
      </c>
    </row>
    <row r="24" spans="1:20" x14ac:dyDescent="0.35">
      <c r="A24" t="s">
        <v>20</v>
      </c>
      <c r="B24">
        <v>20230829</v>
      </c>
      <c r="C24">
        <v>20230908</v>
      </c>
      <c r="D24">
        <v>10</v>
      </c>
      <c r="E24">
        <v>20230909</v>
      </c>
      <c r="F24">
        <v>20230914</v>
      </c>
      <c r="G24">
        <v>9</v>
      </c>
      <c r="H24" t="s">
        <v>21</v>
      </c>
      <c r="I24">
        <v>2</v>
      </c>
      <c r="J24">
        <v>4.5599999999999998E-3</v>
      </c>
      <c r="K24">
        <v>20</v>
      </c>
      <c r="L24">
        <v>0.45</v>
      </c>
      <c r="M24">
        <v>21.19</v>
      </c>
      <c r="N24">
        <v>2.21</v>
      </c>
      <c r="O24">
        <v>1.98</v>
      </c>
      <c r="P24">
        <v>2.87</v>
      </c>
      <c r="Q24">
        <v>2.02</v>
      </c>
      <c r="R24">
        <f t="shared" si="0"/>
        <v>0.66666666666666663</v>
      </c>
      <c r="S24">
        <f t="shared" si="1"/>
        <v>0.33333333333333337</v>
      </c>
      <c r="T24">
        <f t="shared" si="2"/>
        <v>4.1346666666666664E-2</v>
      </c>
    </row>
    <row r="25" spans="1:20" x14ac:dyDescent="0.35">
      <c r="A25" t="s">
        <v>20</v>
      </c>
      <c r="B25">
        <v>20230829</v>
      </c>
      <c r="C25">
        <v>20230908</v>
      </c>
      <c r="D25">
        <v>10</v>
      </c>
      <c r="E25">
        <v>20230909</v>
      </c>
      <c r="F25">
        <v>20230914</v>
      </c>
      <c r="G25">
        <v>9</v>
      </c>
      <c r="H25" t="s">
        <v>21</v>
      </c>
      <c r="I25">
        <v>3</v>
      </c>
      <c r="J25">
        <v>4.5599999999999998E-3</v>
      </c>
      <c r="K25">
        <v>30</v>
      </c>
      <c r="L25">
        <v>0.45</v>
      </c>
      <c r="M25">
        <v>32.4</v>
      </c>
      <c r="N25">
        <v>2.19</v>
      </c>
      <c r="O25">
        <v>2.04</v>
      </c>
      <c r="P25">
        <v>2.88</v>
      </c>
      <c r="Q25">
        <v>2.0099999999999998</v>
      </c>
      <c r="R25">
        <f t="shared" si="0"/>
        <v>0.66176470588235292</v>
      </c>
      <c r="S25">
        <f t="shared" si="1"/>
        <v>0.33823529411764708</v>
      </c>
      <c r="T25">
        <f t="shared" si="2"/>
        <v>4.1330147058823527E-2</v>
      </c>
    </row>
    <row r="26" spans="1:20" x14ac:dyDescent="0.35">
      <c r="A26" t="s">
        <v>20</v>
      </c>
      <c r="B26">
        <v>20230829</v>
      </c>
      <c r="C26">
        <v>20230908</v>
      </c>
      <c r="D26">
        <v>10</v>
      </c>
      <c r="E26">
        <v>20230911</v>
      </c>
      <c r="F26">
        <v>20230914</v>
      </c>
      <c r="G26">
        <v>10</v>
      </c>
      <c r="H26" t="s">
        <v>21</v>
      </c>
      <c r="I26">
        <v>1</v>
      </c>
      <c r="J26">
        <v>4.5599999999999998E-3</v>
      </c>
      <c r="K26">
        <v>30.01</v>
      </c>
      <c r="L26">
        <v>0.45</v>
      </c>
      <c r="M26">
        <v>30.75</v>
      </c>
      <c r="N26">
        <v>2.25</v>
      </c>
      <c r="O26">
        <v>2.0299999999999998</v>
      </c>
      <c r="P26">
        <v>2.94</v>
      </c>
      <c r="Q26">
        <v>1.98</v>
      </c>
      <c r="R26">
        <f t="shared" si="0"/>
        <v>0.66009852216748766</v>
      </c>
      <c r="S26">
        <f t="shared" si="1"/>
        <v>0.33990147783251234</v>
      </c>
      <c r="T26">
        <f t="shared" si="2"/>
        <v>4.1306995073891628E-2</v>
      </c>
    </row>
    <row r="27" spans="1:20" x14ac:dyDescent="0.35">
      <c r="A27" t="s">
        <v>20</v>
      </c>
      <c r="B27">
        <v>20230829</v>
      </c>
      <c r="C27">
        <v>20230908</v>
      </c>
      <c r="D27">
        <v>10</v>
      </c>
      <c r="E27">
        <v>20230911</v>
      </c>
      <c r="F27">
        <v>20230914</v>
      </c>
      <c r="G27">
        <v>10</v>
      </c>
      <c r="H27" t="s">
        <v>21</v>
      </c>
      <c r="I27">
        <v>2</v>
      </c>
      <c r="J27">
        <v>4.5599999999999998E-3</v>
      </c>
      <c r="K27">
        <v>20.010000000000002</v>
      </c>
      <c r="L27">
        <v>0.45</v>
      </c>
      <c r="M27">
        <v>17.09</v>
      </c>
      <c r="N27">
        <v>2.23</v>
      </c>
      <c r="O27">
        <v>1.99</v>
      </c>
      <c r="P27">
        <v>2.95</v>
      </c>
      <c r="Q27">
        <v>2.0299999999999998</v>
      </c>
      <c r="R27">
        <f t="shared" si="0"/>
        <v>0.63819095477386922</v>
      </c>
      <c r="S27">
        <f t="shared" si="1"/>
        <v>0.36180904522613078</v>
      </c>
      <c r="T27">
        <f t="shared" si="2"/>
        <v>4.1295527638190957E-2</v>
      </c>
    </row>
    <row r="28" spans="1:20" x14ac:dyDescent="0.35">
      <c r="A28" t="s">
        <v>20</v>
      </c>
      <c r="B28">
        <v>20230829</v>
      </c>
      <c r="C28">
        <v>20230908</v>
      </c>
      <c r="D28">
        <v>10</v>
      </c>
      <c r="E28">
        <v>20230911</v>
      </c>
      <c r="F28">
        <v>20230914</v>
      </c>
      <c r="G28">
        <v>10</v>
      </c>
      <c r="H28" t="s">
        <v>21</v>
      </c>
      <c r="I28">
        <v>3</v>
      </c>
      <c r="J28">
        <v>4.5599999999999998E-3</v>
      </c>
      <c r="K28">
        <v>30.02</v>
      </c>
      <c r="L28">
        <v>0.45</v>
      </c>
      <c r="M28">
        <v>32.06</v>
      </c>
      <c r="N28">
        <v>2.19</v>
      </c>
      <c r="O28">
        <v>2.04</v>
      </c>
      <c r="P28">
        <v>2.93</v>
      </c>
      <c r="Q28">
        <v>2.04</v>
      </c>
      <c r="R28">
        <f t="shared" si="0"/>
        <v>0.63725490196078427</v>
      </c>
      <c r="S28">
        <f t="shared" si="1"/>
        <v>0.36274509803921573</v>
      </c>
      <c r="T28">
        <f t="shared" si="2"/>
        <v>4.1299999999999996E-2</v>
      </c>
    </row>
    <row r="29" spans="1:20" x14ac:dyDescent="0.35">
      <c r="A29" t="s">
        <v>20</v>
      </c>
      <c r="B29">
        <v>20230829</v>
      </c>
      <c r="C29">
        <v>20230908</v>
      </c>
      <c r="D29">
        <v>10</v>
      </c>
      <c r="E29">
        <v>20230911</v>
      </c>
      <c r="F29">
        <v>20230914</v>
      </c>
      <c r="G29">
        <v>11</v>
      </c>
      <c r="H29" t="s">
        <v>21</v>
      </c>
      <c r="I29">
        <v>1</v>
      </c>
      <c r="J29">
        <v>4.5599999999999998E-3</v>
      </c>
      <c r="K29">
        <v>30</v>
      </c>
      <c r="L29">
        <v>0.45</v>
      </c>
      <c r="M29">
        <v>32.51</v>
      </c>
      <c r="N29">
        <v>2.17</v>
      </c>
      <c r="O29">
        <v>2.0099999999999998</v>
      </c>
      <c r="P29">
        <v>2.97</v>
      </c>
      <c r="Q29">
        <v>1.98</v>
      </c>
      <c r="R29">
        <f t="shared" si="0"/>
        <v>0.60199004975124359</v>
      </c>
      <c r="S29">
        <f t="shared" si="1"/>
        <v>0.39800995024875641</v>
      </c>
      <c r="T29">
        <f t="shared" si="2"/>
        <v>4.1191940298507458E-2</v>
      </c>
    </row>
    <row r="30" spans="1:20" x14ac:dyDescent="0.35">
      <c r="A30" t="s">
        <v>20</v>
      </c>
      <c r="B30">
        <v>20230829</v>
      </c>
      <c r="C30">
        <v>20230908</v>
      </c>
      <c r="D30">
        <v>10</v>
      </c>
      <c r="E30">
        <v>20230911</v>
      </c>
      <c r="F30">
        <v>20230914</v>
      </c>
      <c r="G30">
        <v>11</v>
      </c>
      <c r="H30" t="s">
        <v>21</v>
      </c>
      <c r="I30">
        <v>2</v>
      </c>
      <c r="J30">
        <v>4.5599999999999998E-3</v>
      </c>
      <c r="K30">
        <v>20</v>
      </c>
      <c r="L30">
        <v>0.45</v>
      </c>
      <c r="M30">
        <v>21.75</v>
      </c>
      <c r="N30">
        <v>2.2599999999999998</v>
      </c>
      <c r="O30">
        <v>2.06</v>
      </c>
      <c r="P30">
        <v>3.03</v>
      </c>
      <c r="Q30">
        <v>2.04</v>
      </c>
      <c r="R30">
        <f t="shared" si="0"/>
        <v>0.62621359223300976</v>
      </c>
      <c r="S30">
        <f t="shared" si="1"/>
        <v>0.37378640776699024</v>
      </c>
      <c r="T30">
        <f t="shared" si="2"/>
        <v>4.1277475728155336E-2</v>
      </c>
    </row>
    <row r="31" spans="1:20" x14ac:dyDescent="0.35">
      <c r="A31" t="s">
        <v>20</v>
      </c>
      <c r="B31">
        <v>20230829</v>
      </c>
      <c r="C31">
        <v>20230908</v>
      </c>
      <c r="D31">
        <v>10</v>
      </c>
      <c r="E31">
        <v>20230911</v>
      </c>
      <c r="F31">
        <v>20230914</v>
      </c>
      <c r="G31">
        <v>11</v>
      </c>
      <c r="H31" t="s">
        <v>21</v>
      </c>
      <c r="I31">
        <v>3</v>
      </c>
      <c r="J31">
        <v>4.5599999999999998E-3</v>
      </c>
      <c r="K31">
        <v>20.02</v>
      </c>
      <c r="L31">
        <v>0.45</v>
      </c>
      <c r="M31">
        <v>26.92</v>
      </c>
      <c r="N31">
        <v>2.17</v>
      </c>
      <c r="O31">
        <v>2.06</v>
      </c>
      <c r="P31">
        <v>3.02</v>
      </c>
      <c r="Q31">
        <v>2.06</v>
      </c>
      <c r="R31">
        <f t="shared" si="0"/>
        <v>0.58737864077669899</v>
      </c>
      <c r="S31">
        <f t="shared" si="1"/>
        <v>0.41262135922330101</v>
      </c>
      <c r="T31">
        <f t="shared" si="2"/>
        <v>4.1210000000000004E-2</v>
      </c>
    </row>
    <row r="32" spans="1:20" x14ac:dyDescent="0.35">
      <c r="A32" t="s">
        <v>20</v>
      </c>
      <c r="B32">
        <v>20230829</v>
      </c>
      <c r="C32">
        <v>20230908</v>
      </c>
      <c r="D32">
        <v>10</v>
      </c>
      <c r="E32">
        <v>20230911</v>
      </c>
      <c r="F32">
        <v>20230914</v>
      </c>
      <c r="G32">
        <v>12</v>
      </c>
      <c r="H32" t="s">
        <v>21</v>
      </c>
      <c r="I32">
        <v>1</v>
      </c>
      <c r="J32">
        <v>4.5599999999999998E-3</v>
      </c>
      <c r="K32">
        <v>30</v>
      </c>
      <c r="L32">
        <v>0.45</v>
      </c>
      <c r="M32">
        <v>28.49</v>
      </c>
      <c r="N32">
        <v>2.1800000000000002</v>
      </c>
      <c r="O32">
        <v>2.02</v>
      </c>
      <c r="P32">
        <v>2.91</v>
      </c>
      <c r="Q32">
        <v>2.0299999999999998</v>
      </c>
      <c r="R32">
        <f t="shared" si="0"/>
        <v>0.63861386138613863</v>
      </c>
      <c r="S32">
        <f t="shared" si="1"/>
        <v>0.36138613861386137</v>
      </c>
      <c r="T32">
        <f t="shared" si="2"/>
        <v>4.1296386138613861E-2</v>
      </c>
    </row>
    <row r="33" spans="1:20" x14ac:dyDescent="0.35">
      <c r="A33" t="s">
        <v>20</v>
      </c>
      <c r="B33">
        <v>20230829</v>
      </c>
      <c r="C33">
        <v>20230908</v>
      </c>
      <c r="D33">
        <v>10</v>
      </c>
      <c r="E33">
        <v>20230911</v>
      </c>
      <c r="F33">
        <v>20230914</v>
      </c>
      <c r="G33">
        <v>12</v>
      </c>
      <c r="H33" t="s">
        <v>21</v>
      </c>
      <c r="I33">
        <v>2</v>
      </c>
      <c r="J33">
        <v>4.5599999999999998E-3</v>
      </c>
      <c r="K33">
        <v>20</v>
      </c>
      <c r="L33">
        <v>0.45</v>
      </c>
      <c r="M33">
        <v>19.5</v>
      </c>
      <c r="N33">
        <v>2.13</v>
      </c>
      <c r="O33">
        <v>2.0099999999999998</v>
      </c>
      <c r="P33">
        <v>2.83</v>
      </c>
      <c r="Q33">
        <v>2.04</v>
      </c>
      <c r="R33">
        <f t="shared" si="0"/>
        <v>0.65174129353233823</v>
      </c>
      <c r="S33">
        <f t="shared" si="1"/>
        <v>0.34825870646766177</v>
      </c>
      <c r="T33">
        <f t="shared" si="2"/>
        <v>4.1329552238805967E-2</v>
      </c>
    </row>
    <row r="34" spans="1:20" x14ac:dyDescent="0.35">
      <c r="A34" t="s">
        <v>20</v>
      </c>
      <c r="B34">
        <v>20230829</v>
      </c>
      <c r="C34">
        <v>20230908</v>
      </c>
      <c r="D34">
        <v>10</v>
      </c>
      <c r="E34">
        <v>20230911</v>
      </c>
      <c r="F34">
        <v>20230914</v>
      </c>
      <c r="G34">
        <v>12</v>
      </c>
      <c r="H34" t="s">
        <v>21</v>
      </c>
      <c r="I34">
        <v>3</v>
      </c>
      <c r="J34">
        <v>4.5599999999999998E-3</v>
      </c>
      <c r="K34">
        <v>30.02</v>
      </c>
      <c r="L34">
        <v>0.45</v>
      </c>
      <c r="M34">
        <v>26.73</v>
      </c>
      <c r="N34">
        <v>2.2599999999999998</v>
      </c>
      <c r="O34">
        <v>2</v>
      </c>
      <c r="P34">
        <v>3.06</v>
      </c>
      <c r="Q34">
        <v>2.0499999999999998</v>
      </c>
      <c r="R34">
        <f>(O34-(P34-N34))/O34</f>
        <v>0.59999999999999987</v>
      </c>
      <c r="S34">
        <f t="shared" si="1"/>
        <v>0.40000000000000013</v>
      </c>
      <c r="T34">
        <f t="shared" si="2"/>
        <v>4.1229999999999996E-2</v>
      </c>
    </row>
    <row r="35" spans="1:20" x14ac:dyDescent="0.35">
      <c r="A35" t="s">
        <v>20</v>
      </c>
      <c r="B35">
        <v>20230829</v>
      </c>
      <c r="C35">
        <v>20230908</v>
      </c>
      <c r="D35">
        <v>10</v>
      </c>
      <c r="E35">
        <v>20230911</v>
      </c>
      <c r="F35">
        <v>20230914</v>
      </c>
      <c r="G35">
        <v>13</v>
      </c>
      <c r="H35" t="s">
        <v>21</v>
      </c>
      <c r="I35">
        <v>1</v>
      </c>
      <c r="J35">
        <v>4.5599999999999998E-3</v>
      </c>
      <c r="K35">
        <v>30.01</v>
      </c>
      <c r="L35">
        <v>0.45</v>
      </c>
      <c r="M35">
        <v>28.43</v>
      </c>
      <c r="N35">
        <v>2.19</v>
      </c>
      <c r="O35">
        <v>2.02</v>
      </c>
      <c r="P35">
        <v>3.01</v>
      </c>
      <c r="Q35">
        <v>2.0299999999999998</v>
      </c>
      <c r="R35">
        <f t="shared" si="0"/>
        <v>0.59405940594059414</v>
      </c>
      <c r="S35">
        <f t="shared" si="1"/>
        <v>0.40594059405940586</v>
      </c>
      <c r="T35">
        <f t="shared" si="2"/>
        <v>4.1205940594059409E-2</v>
      </c>
    </row>
    <row r="36" spans="1:20" x14ac:dyDescent="0.35">
      <c r="A36" t="s">
        <v>20</v>
      </c>
      <c r="B36">
        <v>20230829</v>
      </c>
      <c r="C36">
        <v>20230908</v>
      </c>
      <c r="D36">
        <v>10</v>
      </c>
      <c r="E36">
        <v>20230911</v>
      </c>
      <c r="F36">
        <v>20230914</v>
      </c>
      <c r="G36">
        <v>13</v>
      </c>
      <c r="H36" t="s">
        <v>21</v>
      </c>
      <c r="I36">
        <v>2</v>
      </c>
      <c r="J36">
        <v>4.5599999999999998E-3</v>
      </c>
      <c r="K36">
        <v>20.03</v>
      </c>
      <c r="L36">
        <v>0.45</v>
      </c>
      <c r="M36">
        <v>17.09</v>
      </c>
      <c r="N36">
        <v>2.19</v>
      </c>
      <c r="O36">
        <v>2.0499999999999998</v>
      </c>
      <c r="P36">
        <v>3.04</v>
      </c>
      <c r="Q36">
        <v>2.0299999999999998</v>
      </c>
      <c r="R36">
        <f t="shared" si="0"/>
        <v>0.58536585365853655</v>
      </c>
      <c r="S36">
        <f t="shared" si="1"/>
        <v>0.41463414634146345</v>
      </c>
      <c r="T36">
        <f t="shared" si="2"/>
        <v>4.1188292682926828E-2</v>
      </c>
    </row>
    <row r="37" spans="1:20" x14ac:dyDescent="0.35">
      <c r="A37" t="s">
        <v>20</v>
      </c>
      <c r="B37">
        <v>20230829</v>
      </c>
      <c r="C37">
        <v>20230908</v>
      </c>
      <c r="D37">
        <v>10</v>
      </c>
      <c r="E37">
        <v>20230911</v>
      </c>
      <c r="F37">
        <v>20230914</v>
      </c>
      <c r="G37">
        <v>13</v>
      </c>
      <c r="H37" t="s">
        <v>21</v>
      </c>
      <c r="I37">
        <v>3</v>
      </c>
      <c r="J37">
        <v>4.5599999999999998E-3</v>
      </c>
      <c r="K37">
        <v>30.01</v>
      </c>
      <c r="L37">
        <v>0.45</v>
      </c>
      <c r="M37">
        <v>27.72</v>
      </c>
      <c r="N37">
        <v>2.21</v>
      </c>
      <c r="O37">
        <v>2.0099999999999998</v>
      </c>
      <c r="P37">
        <v>3.06</v>
      </c>
      <c r="Q37">
        <v>2.02</v>
      </c>
      <c r="R37">
        <f t="shared" si="0"/>
        <v>0.57711442786069644</v>
      </c>
      <c r="S37">
        <f t="shared" si="1"/>
        <v>0.42288557213930356</v>
      </c>
      <c r="T37">
        <f t="shared" si="2"/>
        <v>4.1165771144278607E-2</v>
      </c>
    </row>
    <row r="38" spans="1:20" x14ac:dyDescent="0.35">
      <c r="A38" t="s">
        <v>20</v>
      </c>
      <c r="B38">
        <v>20230829</v>
      </c>
      <c r="C38">
        <v>20230908</v>
      </c>
      <c r="D38">
        <v>10</v>
      </c>
      <c r="E38">
        <v>20230911</v>
      </c>
      <c r="F38">
        <v>20230914</v>
      </c>
      <c r="G38">
        <v>14</v>
      </c>
      <c r="H38" t="s">
        <v>21</v>
      </c>
      <c r="I38">
        <v>1</v>
      </c>
      <c r="J38">
        <v>4.5599999999999998E-3</v>
      </c>
      <c r="K38">
        <v>30.01</v>
      </c>
      <c r="L38">
        <v>0.45</v>
      </c>
      <c r="M38">
        <v>30.03</v>
      </c>
      <c r="N38">
        <v>2.1800000000000002</v>
      </c>
      <c r="O38">
        <v>2.0099999999999998</v>
      </c>
      <c r="P38">
        <v>2.99</v>
      </c>
      <c r="Q38">
        <v>2.06</v>
      </c>
      <c r="R38">
        <f t="shared" si="0"/>
        <v>0.59701492537313428</v>
      </c>
      <c r="S38">
        <f t="shared" si="1"/>
        <v>0.40298507462686572</v>
      </c>
      <c r="T38">
        <f t="shared" si="2"/>
        <v>4.1229850746268656E-2</v>
      </c>
    </row>
    <row r="39" spans="1:20" x14ac:dyDescent="0.35">
      <c r="A39" t="s">
        <v>20</v>
      </c>
      <c r="B39">
        <v>20230829</v>
      </c>
      <c r="C39">
        <v>20230908</v>
      </c>
      <c r="D39">
        <v>10</v>
      </c>
      <c r="E39">
        <v>20230911</v>
      </c>
      <c r="F39">
        <v>20230914</v>
      </c>
      <c r="G39">
        <v>14</v>
      </c>
      <c r="H39" t="s">
        <v>21</v>
      </c>
      <c r="I39">
        <v>2</v>
      </c>
      <c r="J39">
        <v>4.5599999999999998E-3</v>
      </c>
      <c r="K39">
        <v>20</v>
      </c>
      <c r="L39">
        <v>0.45</v>
      </c>
      <c r="M39">
        <v>18.46</v>
      </c>
      <c r="N39">
        <v>2.21</v>
      </c>
      <c r="O39">
        <v>2.04</v>
      </c>
      <c r="P39">
        <v>2.99</v>
      </c>
      <c r="Q39">
        <v>1.98</v>
      </c>
      <c r="R39">
        <f t="shared" si="0"/>
        <v>0.61764705882352933</v>
      </c>
      <c r="S39">
        <f t="shared" si="1"/>
        <v>0.38235294117647067</v>
      </c>
      <c r="T39">
        <f t="shared" si="2"/>
        <v>4.1222941176470587E-2</v>
      </c>
    </row>
    <row r="40" spans="1:20" x14ac:dyDescent="0.35">
      <c r="A40" t="s">
        <v>20</v>
      </c>
      <c r="B40">
        <v>20230829</v>
      </c>
      <c r="C40">
        <v>20230908</v>
      </c>
      <c r="D40">
        <v>10</v>
      </c>
      <c r="E40">
        <v>20230911</v>
      </c>
      <c r="F40">
        <v>20230914</v>
      </c>
      <c r="G40">
        <v>14</v>
      </c>
      <c r="H40" t="s">
        <v>21</v>
      </c>
      <c r="I40">
        <v>3</v>
      </c>
      <c r="J40">
        <v>4.5599999999999998E-3</v>
      </c>
      <c r="K40">
        <v>30</v>
      </c>
      <c r="L40">
        <v>0.45</v>
      </c>
      <c r="M40">
        <v>31.01</v>
      </c>
      <c r="N40">
        <v>2.25</v>
      </c>
      <c r="O40">
        <v>2.0299999999999998</v>
      </c>
      <c r="P40">
        <v>3.1</v>
      </c>
      <c r="Q40">
        <v>2.02</v>
      </c>
      <c r="R40">
        <f t="shared" si="0"/>
        <v>0.58128078817733986</v>
      </c>
      <c r="S40">
        <f t="shared" si="1"/>
        <v>0.41871921182266014</v>
      </c>
      <c r="T40">
        <f t="shared" si="2"/>
        <v>4.1174187192118225E-2</v>
      </c>
    </row>
    <row r="41" spans="1:20" x14ac:dyDescent="0.35">
      <c r="A41" t="s">
        <v>20</v>
      </c>
      <c r="B41">
        <v>20230829</v>
      </c>
      <c r="C41">
        <v>20230908</v>
      </c>
      <c r="D41">
        <v>10</v>
      </c>
      <c r="E41">
        <v>20230911</v>
      </c>
      <c r="F41">
        <v>20230914</v>
      </c>
      <c r="G41">
        <v>15</v>
      </c>
      <c r="H41" t="s">
        <v>21</v>
      </c>
      <c r="I41">
        <v>1</v>
      </c>
      <c r="J41">
        <v>4.5599999999999998E-3</v>
      </c>
      <c r="K41">
        <v>30.05</v>
      </c>
      <c r="L41">
        <v>0.45</v>
      </c>
      <c r="M41">
        <v>30.27</v>
      </c>
      <c r="N41">
        <v>2.29</v>
      </c>
      <c r="O41">
        <v>2.0299999999999998</v>
      </c>
      <c r="P41">
        <v>3.17</v>
      </c>
      <c r="Q41">
        <v>2.0099999999999998</v>
      </c>
      <c r="R41">
        <f t="shared" si="0"/>
        <v>0.56650246305418717</v>
      </c>
      <c r="S41">
        <f t="shared" si="1"/>
        <v>0.43349753694581283</v>
      </c>
      <c r="T41">
        <f t="shared" si="2"/>
        <v>4.1138669950738914E-2</v>
      </c>
    </row>
    <row r="42" spans="1:20" x14ac:dyDescent="0.35">
      <c r="A42" t="s">
        <v>20</v>
      </c>
      <c r="B42">
        <v>20230829</v>
      </c>
      <c r="C42">
        <v>20230908</v>
      </c>
      <c r="D42">
        <v>10</v>
      </c>
      <c r="E42">
        <v>20230911</v>
      </c>
      <c r="F42">
        <v>20230914</v>
      </c>
      <c r="G42">
        <v>15</v>
      </c>
      <c r="H42" t="s">
        <v>21</v>
      </c>
      <c r="I42">
        <v>2</v>
      </c>
      <c r="J42">
        <v>4.5599999999999998E-3</v>
      </c>
      <c r="K42">
        <v>20</v>
      </c>
      <c r="L42">
        <v>0.45</v>
      </c>
      <c r="M42">
        <v>16.78</v>
      </c>
      <c r="N42">
        <v>2.25</v>
      </c>
      <c r="O42">
        <v>2.0499999999999998</v>
      </c>
      <c r="P42">
        <v>3.07</v>
      </c>
      <c r="Q42">
        <v>2.02</v>
      </c>
      <c r="R42">
        <f>(O42-(P42-N42))/O42</f>
        <v>0.60000000000000009</v>
      </c>
      <c r="S42">
        <f t="shared" si="1"/>
        <v>0.39999999999999991</v>
      </c>
      <c r="T42">
        <f t="shared" si="2"/>
        <v>4.1212000000000006E-2</v>
      </c>
    </row>
    <row r="43" spans="1:20" x14ac:dyDescent="0.35">
      <c r="A43" t="s">
        <v>20</v>
      </c>
      <c r="B43">
        <v>20230829</v>
      </c>
      <c r="C43">
        <v>20230908</v>
      </c>
      <c r="D43">
        <v>10</v>
      </c>
      <c r="E43">
        <v>20230911</v>
      </c>
      <c r="F43">
        <v>20230914</v>
      </c>
      <c r="G43">
        <v>15</v>
      </c>
      <c r="H43" t="s">
        <v>21</v>
      </c>
      <c r="I43">
        <v>3</v>
      </c>
      <c r="J43">
        <v>4.5599999999999998E-3</v>
      </c>
      <c r="K43">
        <v>30.01</v>
      </c>
      <c r="L43">
        <v>0.45</v>
      </c>
      <c r="M43">
        <v>28.05</v>
      </c>
      <c r="N43">
        <v>2.27</v>
      </c>
      <c r="O43">
        <v>1.99</v>
      </c>
      <c r="P43">
        <v>3.12</v>
      </c>
      <c r="Q43">
        <v>2.0099999999999998</v>
      </c>
      <c r="R43">
        <f t="shared" si="0"/>
        <v>0.57286432160804013</v>
      </c>
      <c r="S43">
        <f t="shared" si="1"/>
        <v>0.42713567839195987</v>
      </c>
      <c r="T43">
        <f t="shared" si="2"/>
        <v>4.1151457286432165E-2</v>
      </c>
    </row>
    <row r="44" spans="1:20" x14ac:dyDescent="0.35">
      <c r="A44" t="s">
        <v>20</v>
      </c>
      <c r="B44">
        <v>20230829</v>
      </c>
      <c r="C44">
        <v>20230908</v>
      </c>
      <c r="D44">
        <v>10</v>
      </c>
      <c r="E44">
        <v>20230911</v>
      </c>
      <c r="F44">
        <v>20230914</v>
      </c>
      <c r="G44">
        <v>16</v>
      </c>
      <c r="H44" t="s">
        <v>21</v>
      </c>
      <c r="I44">
        <v>1</v>
      </c>
      <c r="J44">
        <v>4.5599999999999998E-3</v>
      </c>
      <c r="K44">
        <v>30.01</v>
      </c>
      <c r="L44">
        <v>0.45</v>
      </c>
      <c r="M44">
        <v>31.28</v>
      </c>
      <c r="N44">
        <v>2.25</v>
      </c>
      <c r="O44">
        <v>2.04</v>
      </c>
      <c r="P44">
        <v>3.04</v>
      </c>
      <c r="Q44">
        <v>2.04</v>
      </c>
      <c r="R44">
        <f t="shared" si="0"/>
        <v>0.61274509803921573</v>
      </c>
      <c r="S44">
        <f t="shared" si="1"/>
        <v>0.38725490196078427</v>
      </c>
      <c r="T44">
        <f t="shared" si="2"/>
        <v>4.1250000000000002E-2</v>
      </c>
    </row>
    <row r="45" spans="1:20" x14ac:dyDescent="0.35">
      <c r="A45" t="s">
        <v>20</v>
      </c>
      <c r="B45">
        <v>20230829</v>
      </c>
      <c r="C45">
        <v>20230908</v>
      </c>
      <c r="D45">
        <v>10</v>
      </c>
      <c r="E45">
        <v>20230911</v>
      </c>
      <c r="F45">
        <v>20230914</v>
      </c>
      <c r="G45">
        <v>16</v>
      </c>
      <c r="H45" t="s">
        <v>21</v>
      </c>
      <c r="I45">
        <v>2</v>
      </c>
      <c r="J45">
        <v>4.5599999999999998E-3</v>
      </c>
      <c r="K45">
        <v>20.010000000000002</v>
      </c>
      <c r="L45">
        <v>0.45</v>
      </c>
      <c r="M45">
        <v>17.649999999999999</v>
      </c>
      <c r="N45">
        <v>2.27</v>
      </c>
      <c r="O45">
        <v>2.0099999999999998</v>
      </c>
      <c r="P45">
        <v>3.09</v>
      </c>
      <c r="Q45">
        <v>2</v>
      </c>
      <c r="R45">
        <f t="shared" si="0"/>
        <v>0.59203980099502496</v>
      </c>
      <c r="S45">
        <f t="shared" si="1"/>
        <v>0.40796019900497504</v>
      </c>
      <c r="T45">
        <f t="shared" si="2"/>
        <v>4.1184079601990047E-2</v>
      </c>
    </row>
    <row r="46" spans="1:20" x14ac:dyDescent="0.35">
      <c r="A46" t="s">
        <v>20</v>
      </c>
      <c r="B46">
        <v>20230829</v>
      </c>
      <c r="C46">
        <v>20230908</v>
      </c>
      <c r="D46">
        <v>10</v>
      </c>
      <c r="E46">
        <v>20230911</v>
      </c>
      <c r="F46">
        <v>20230914</v>
      </c>
      <c r="G46">
        <v>16</v>
      </c>
      <c r="H46" t="s">
        <v>21</v>
      </c>
      <c r="I46">
        <v>3</v>
      </c>
      <c r="J46">
        <v>4.5599999999999998E-3</v>
      </c>
      <c r="K46">
        <v>30</v>
      </c>
      <c r="L46">
        <v>0.45</v>
      </c>
      <c r="M46">
        <v>28.82</v>
      </c>
      <c r="N46">
        <v>2.31</v>
      </c>
      <c r="O46">
        <v>2.04</v>
      </c>
      <c r="P46">
        <v>3.12</v>
      </c>
      <c r="Q46">
        <v>2.0099999999999998</v>
      </c>
      <c r="R46">
        <f t="shared" si="0"/>
        <v>0.6029411764705882</v>
      </c>
      <c r="S46">
        <f t="shared" si="1"/>
        <v>0.3970588235294118</v>
      </c>
      <c r="T46">
        <f t="shared" si="2"/>
        <v>4.1211911764705879E-2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Mike Back</cp:lastModifiedBy>
  <dcterms:created xsi:type="dcterms:W3CDTF">2023-09-27T19:24:26Z</dcterms:created>
  <dcterms:modified xsi:type="dcterms:W3CDTF">2023-09-27T20:27:03Z</dcterms:modified>
</cp:coreProperties>
</file>