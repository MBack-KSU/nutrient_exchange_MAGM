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b\Documents\Kinsman-Costello Lab\Dissertation\MAGM nutrient flux manuscript\"/>
    </mc:Choice>
  </mc:AlternateContent>
  <xr:revisionPtr revIDLastSave="0" documentId="13_ncr:1_{13188BCD-C365-49C4-84F5-7D4CFAE34B0F}" xr6:coauthVersionLast="47" xr6:coauthVersionMax="47" xr10:uidLastSave="{00000000-0000-0000-0000-000000000000}"/>
  <bookViews>
    <workbookView xWindow="-110" yWindow="-110" windowWidth="19420" windowHeight="10420" xr2:uid="{D12F196B-04AB-4024-AE8E-C73DC0BF37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" l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3" i="1"/>
  <c r="T2" i="1"/>
  <c r="S82" i="1"/>
  <c r="R82" i="1"/>
  <c r="S81" i="1"/>
  <c r="R81" i="1"/>
  <c r="S80" i="1"/>
  <c r="R80" i="1"/>
  <c r="R79" i="1"/>
  <c r="R78" i="1"/>
  <c r="S77" i="1"/>
  <c r="R77" i="1"/>
  <c r="R76" i="1"/>
  <c r="R75" i="1"/>
  <c r="R74" i="1"/>
  <c r="S74" i="1" s="1"/>
  <c r="S73" i="1"/>
  <c r="R73" i="1"/>
  <c r="R72" i="1"/>
  <c r="R71" i="1"/>
  <c r="R70" i="1"/>
  <c r="S70" i="1" s="1"/>
  <c r="S69" i="1"/>
  <c r="R69" i="1"/>
  <c r="R68" i="1"/>
  <c r="R67" i="1"/>
  <c r="R66" i="1"/>
  <c r="S66" i="1" s="1"/>
  <c r="S65" i="1"/>
  <c r="R65" i="1"/>
  <c r="R64" i="1"/>
  <c r="R63" i="1"/>
  <c r="R62" i="1"/>
  <c r="S62" i="1" s="1"/>
  <c r="S61" i="1"/>
  <c r="R61" i="1"/>
  <c r="R60" i="1"/>
  <c r="R59" i="1"/>
  <c r="R58" i="1"/>
  <c r="S58" i="1" s="1"/>
  <c r="S57" i="1"/>
  <c r="R57" i="1"/>
  <c r="R56" i="1"/>
  <c r="R55" i="1"/>
  <c r="R54" i="1"/>
  <c r="S54" i="1" s="1"/>
  <c r="S53" i="1"/>
  <c r="R53" i="1"/>
  <c r="R52" i="1"/>
  <c r="R51" i="1"/>
  <c r="R50" i="1"/>
  <c r="S50" i="1" s="1"/>
  <c r="S49" i="1"/>
  <c r="R49" i="1"/>
  <c r="R48" i="1"/>
  <c r="R47" i="1"/>
  <c r="R46" i="1"/>
  <c r="S46" i="1" s="1"/>
  <c r="S45" i="1"/>
  <c r="R45" i="1"/>
  <c r="R44" i="1"/>
  <c r="R43" i="1"/>
  <c r="R42" i="1"/>
  <c r="S42" i="1" s="1"/>
  <c r="S41" i="1"/>
  <c r="R41" i="1"/>
  <c r="R40" i="1"/>
  <c r="R39" i="1"/>
  <c r="R38" i="1"/>
  <c r="S38" i="1" s="1"/>
  <c r="S37" i="1"/>
  <c r="R37" i="1"/>
  <c r="R36" i="1"/>
  <c r="R35" i="1"/>
  <c r="R34" i="1"/>
  <c r="S34" i="1" s="1"/>
  <c r="S33" i="1"/>
  <c r="R33" i="1"/>
  <c r="R32" i="1"/>
  <c r="R31" i="1"/>
  <c r="R30" i="1"/>
  <c r="S30" i="1" s="1"/>
  <c r="S29" i="1"/>
  <c r="R29" i="1"/>
  <c r="R28" i="1"/>
  <c r="R27" i="1"/>
  <c r="R26" i="1"/>
  <c r="S26" i="1" s="1"/>
  <c r="S25" i="1"/>
  <c r="R25" i="1"/>
  <c r="R24" i="1"/>
  <c r="R23" i="1"/>
  <c r="R22" i="1"/>
  <c r="S22" i="1" s="1"/>
  <c r="S21" i="1"/>
  <c r="R21" i="1"/>
  <c r="R20" i="1"/>
  <c r="R19" i="1"/>
  <c r="R18" i="1"/>
  <c r="S18" i="1" s="1"/>
  <c r="S17" i="1"/>
  <c r="R17" i="1"/>
  <c r="R16" i="1"/>
  <c r="R15" i="1"/>
  <c r="R14" i="1"/>
  <c r="S14" i="1" s="1"/>
  <c r="S13" i="1"/>
  <c r="R13" i="1"/>
  <c r="R12" i="1"/>
  <c r="R11" i="1"/>
  <c r="R10" i="1"/>
  <c r="S10" i="1" s="1"/>
  <c r="S9" i="1"/>
  <c r="R9" i="1"/>
  <c r="R8" i="1"/>
  <c r="R7" i="1"/>
  <c r="R6" i="1"/>
  <c r="S6" i="1" s="1"/>
  <c r="S5" i="1"/>
  <c r="R5" i="1"/>
  <c r="R4" i="1"/>
  <c r="R3" i="1"/>
  <c r="R2" i="1"/>
  <c r="S2" i="1" s="1"/>
  <c r="S4" i="1" l="1"/>
  <c r="S12" i="1"/>
  <c r="S28" i="1"/>
  <c r="S40" i="1"/>
  <c r="S60" i="1"/>
  <c r="S64" i="1"/>
  <c r="S8" i="1"/>
  <c r="S16" i="1"/>
  <c r="S20" i="1"/>
  <c r="S24" i="1"/>
  <c r="S32" i="1"/>
  <c r="S36" i="1"/>
  <c r="S44" i="1"/>
  <c r="S48" i="1"/>
  <c r="S52" i="1"/>
  <c r="S56" i="1"/>
  <c r="S68" i="1"/>
  <c r="S72" i="1"/>
  <c r="S76" i="1"/>
  <c r="S3" i="1"/>
  <c r="S7" i="1"/>
  <c r="S11" i="1"/>
  <c r="S15" i="1"/>
  <c r="S19" i="1"/>
  <c r="S23" i="1"/>
  <c r="S27" i="1"/>
  <c r="S31" i="1"/>
  <c r="S39" i="1"/>
  <c r="S43" i="1"/>
  <c r="S47" i="1"/>
  <c r="S51" i="1"/>
  <c r="S55" i="1"/>
  <c r="S59" i="1"/>
  <c r="S63" i="1"/>
  <c r="S67" i="1"/>
  <c r="S71" i="1"/>
  <c r="S75" i="1"/>
  <c r="S79" i="1"/>
  <c r="S35" i="1"/>
  <c r="S78" i="1"/>
</calcChain>
</file>

<file path=xl/sharedStrings.xml><?xml version="1.0" encoding="utf-8"?>
<sst xmlns="http://schemas.openxmlformats.org/spreadsheetml/2006/main" count="182" uniqueCount="24">
  <si>
    <t>site</t>
  </si>
  <si>
    <t>date_deployed</t>
  </si>
  <si>
    <t>date_collected</t>
  </si>
  <si>
    <t>days_deployed</t>
  </si>
  <si>
    <t>date_extracted</t>
  </si>
  <si>
    <t>date_analyzed</t>
  </si>
  <si>
    <t>sample_point</t>
  </si>
  <si>
    <t>core_id</t>
  </si>
  <si>
    <t>bag_id</t>
  </si>
  <si>
    <t>core_sa_m2</t>
  </si>
  <si>
    <t>resin_added</t>
  </si>
  <si>
    <t>perc_dw_org</t>
  </si>
  <si>
    <t>total_resin_ww</t>
  </si>
  <si>
    <t>boat_weight</t>
  </si>
  <si>
    <t>ww_subsample</t>
  </si>
  <si>
    <t>dw_plus_boat</t>
  </si>
  <si>
    <t>extraction_subsample_ww</t>
  </si>
  <si>
    <t>percent_moisture</t>
  </si>
  <si>
    <t>percent_dw</t>
  </si>
  <si>
    <t>total_extractant_added_L</t>
  </si>
  <si>
    <t>MAGM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</si>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</sst>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12BCC-3C92-4B11-BA76-AC667BA5EA9F}">
  <dimension ref="A1:T82"/>
  <sheetViews>
    <sheetView tabSelected="1" topLeftCell="C1" workbookViewId="0">
      <selection activeCell="U81" sqref="U81"/>
    </sheetView>
  </sheetViews>
  <sheetFormatPr defaultRowHeight="14.5" x14ac:dyDescent="0.35"/>
  <sheetData>
    <row r="1" spans="1:20" ht="15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5" thickBot="1" x14ac:dyDescent="0.4">
      <c r="A2" t="s">
        <v>20</v>
      </c>
      <c r="B2">
        <v>20220719</v>
      </c>
      <c r="C2">
        <v>20220802</v>
      </c>
      <c r="D2">
        <v>14</v>
      </c>
      <c r="E2" s="1">
        <v>20220803</v>
      </c>
      <c r="F2">
        <v>20220816</v>
      </c>
      <c r="G2">
        <v>1</v>
      </c>
      <c r="H2" t="s">
        <v>21</v>
      </c>
      <c r="I2">
        <v>1</v>
      </c>
      <c r="J2">
        <v>4.5599999999999998E-3</v>
      </c>
      <c r="K2">
        <v>30.02</v>
      </c>
      <c r="L2">
        <v>0.45</v>
      </c>
      <c r="M2">
        <v>32.880000000000003</v>
      </c>
      <c r="N2">
        <v>2.87</v>
      </c>
      <c r="O2">
        <v>4.04</v>
      </c>
      <c r="P2">
        <v>4.49</v>
      </c>
      <c r="Q2">
        <v>2.02</v>
      </c>
      <c r="R2">
        <f>(O2-(P2-N2))/O2</f>
        <v>0.59900990099009899</v>
      </c>
      <c r="S2">
        <f>1-R2</f>
        <v>0.40099009900990101</v>
      </c>
      <c r="T2">
        <f>(40+(Q2*R2))/1000</f>
        <v>4.1210000000000004E-2</v>
      </c>
    </row>
    <row r="3" spans="1:20" ht="15" thickBot="1" x14ac:dyDescent="0.4">
      <c r="A3" t="s">
        <v>20</v>
      </c>
      <c r="B3">
        <v>20220719</v>
      </c>
      <c r="C3">
        <v>20220802</v>
      </c>
      <c r="D3">
        <v>14</v>
      </c>
      <c r="E3" s="1">
        <v>20220803</v>
      </c>
      <c r="F3">
        <v>20220816</v>
      </c>
      <c r="G3">
        <v>1</v>
      </c>
      <c r="H3" t="s">
        <v>21</v>
      </c>
      <c r="I3">
        <v>2</v>
      </c>
      <c r="J3">
        <v>4.5599999999999998E-3</v>
      </c>
      <c r="K3">
        <v>29.97</v>
      </c>
      <c r="L3">
        <v>0.45</v>
      </c>
      <c r="M3">
        <v>31.62</v>
      </c>
      <c r="N3">
        <v>2.87</v>
      </c>
      <c r="O3">
        <v>3.99</v>
      </c>
      <c r="P3">
        <v>4.6399999999999997</v>
      </c>
      <c r="Q3">
        <v>1.96</v>
      </c>
      <c r="R3">
        <f t="shared" ref="R3:R66" si="0">(O3-(P3-N3))/O3</f>
        <v>0.5563909774436091</v>
      </c>
      <c r="S3">
        <f>1-R3</f>
        <v>0.4436090225563909</v>
      </c>
      <c r="T3">
        <f>(40+(Q3*R3))/1000</f>
        <v>4.1090526315789473E-2</v>
      </c>
    </row>
    <row r="4" spans="1:20" ht="15" thickBot="1" x14ac:dyDescent="0.4">
      <c r="A4" t="s">
        <v>20</v>
      </c>
      <c r="B4">
        <v>20220719</v>
      </c>
      <c r="C4">
        <v>20220802</v>
      </c>
      <c r="D4">
        <v>14</v>
      </c>
      <c r="E4" s="1">
        <v>20220803</v>
      </c>
      <c r="F4">
        <v>20220816</v>
      </c>
      <c r="G4">
        <v>1</v>
      </c>
      <c r="H4" t="s">
        <v>21</v>
      </c>
      <c r="I4">
        <v>3</v>
      </c>
      <c r="J4">
        <v>4.5599999999999998E-3</v>
      </c>
      <c r="K4">
        <v>30.03</v>
      </c>
      <c r="L4">
        <v>0.45</v>
      </c>
      <c r="M4">
        <v>33.700000000000003</v>
      </c>
      <c r="N4">
        <v>2.87</v>
      </c>
      <c r="O4">
        <v>4.01</v>
      </c>
      <c r="P4">
        <v>4.53</v>
      </c>
      <c r="Q4">
        <v>1.96</v>
      </c>
      <c r="R4">
        <f t="shared" si="0"/>
        <v>0.5860349127182044</v>
      </c>
      <c r="S4">
        <f t="shared" ref="S4:S67" si="1">1-R4</f>
        <v>0.4139650872817956</v>
      </c>
      <c r="T4">
        <f t="shared" ref="T4:T67" si="2">(40+(Q4*R4))/1000</f>
        <v>4.1148628428927678E-2</v>
      </c>
    </row>
    <row r="5" spans="1:20" ht="15" thickBot="1" x14ac:dyDescent="0.4">
      <c r="A5" t="s">
        <v>20</v>
      </c>
      <c r="B5">
        <v>20220719</v>
      </c>
      <c r="C5">
        <v>20220802</v>
      </c>
      <c r="D5">
        <v>14</v>
      </c>
      <c r="E5" s="1">
        <v>20220803</v>
      </c>
      <c r="F5">
        <v>20220816</v>
      </c>
      <c r="G5">
        <v>1</v>
      </c>
      <c r="H5" t="s">
        <v>22</v>
      </c>
      <c r="I5">
        <v>1</v>
      </c>
      <c r="J5">
        <v>4.5599999999999998E-3</v>
      </c>
      <c r="K5">
        <v>30.188300000000002</v>
      </c>
      <c r="L5">
        <v>0.45</v>
      </c>
      <c r="M5">
        <v>32.04</v>
      </c>
      <c r="N5">
        <v>2.5299999999999998</v>
      </c>
      <c r="O5">
        <v>3.97</v>
      </c>
      <c r="P5">
        <v>4.1900000000000004</v>
      </c>
      <c r="Q5">
        <v>2</v>
      </c>
      <c r="R5">
        <f t="shared" si="0"/>
        <v>0.5818639798488664</v>
      </c>
      <c r="S5">
        <f t="shared" si="1"/>
        <v>0.4181360201511336</v>
      </c>
      <c r="T5">
        <f t="shared" si="2"/>
        <v>4.1163727959697728E-2</v>
      </c>
    </row>
    <row r="6" spans="1:20" ht="15" thickBot="1" x14ac:dyDescent="0.4">
      <c r="A6" t="s">
        <v>20</v>
      </c>
      <c r="B6">
        <v>20220719</v>
      </c>
      <c r="C6">
        <v>20220802</v>
      </c>
      <c r="D6">
        <v>14</v>
      </c>
      <c r="E6" s="1">
        <v>20220803</v>
      </c>
      <c r="F6">
        <v>20220816</v>
      </c>
      <c r="G6">
        <v>1</v>
      </c>
      <c r="H6" t="s">
        <v>22</v>
      </c>
      <c r="I6">
        <v>2</v>
      </c>
      <c r="J6">
        <v>4.5599999999999998E-3</v>
      </c>
      <c r="K6">
        <v>20.0198</v>
      </c>
      <c r="L6">
        <v>0.45</v>
      </c>
      <c r="M6">
        <v>18.97</v>
      </c>
      <c r="N6">
        <v>2.66</v>
      </c>
      <c r="O6">
        <v>4.01</v>
      </c>
      <c r="P6">
        <v>4.4400000000000004</v>
      </c>
      <c r="Q6">
        <v>2.02</v>
      </c>
      <c r="R6">
        <f t="shared" si="0"/>
        <v>0.55610972568578543</v>
      </c>
      <c r="S6">
        <f t="shared" si="1"/>
        <v>0.44389027431421457</v>
      </c>
      <c r="T6">
        <f t="shared" si="2"/>
        <v>4.112334164588529E-2</v>
      </c>
    </row>
    <row r="7" spans="1:20" ht="15" thickBot="1" x14ac:dyDescent="0.4">
      <c r="A7" t="s">
        <v>20</v>
      </c>
      <c r="B7">
        <v>20220719</v>
      </c>
      <c r="C7">
        <v>20220802</v>
      </c>
      <c r="D7">
        <v>14</v>
      </c>
      <c r="E7" s="1">
        <v>20220803</v>
      </c>
      <c r="F7">
        <v>20220816</v>
      </c>
      <c r="G7">
        <v>1</v>
      </c>
      <c r="H7" t="s">
        <v>22</v>
      </c>
      <c r="I7">
        <v>3</v>
      </c>
      <c r="J7">
        <v>4.5599999999999998E-3</v>
      </c>
      <c r="K7">
        <v>30.0382</v>
      </c>
      <c r="L7">
        <v>0.45</v>
      </c>
      <c r="M7">
        <v>33.43</v>
      </c>
      <c r="N7">
        <v>2.88</v>
      </c>
      <c r="O7">
        <v>4</v>
      </c>
      <c r="P7">
        <v>4.55</v>
      </c>
      <c r="Q7">
        <v>2.02</v>
      </c>
      <c r="R7">
        <f t="shared" si="0"/>
        <v>0.58250000000000002</v>
      </c>
      <c r="S7">
        <f t="shared" si="1"/>
        <v>0.41749999999999998</v>
      </c>
      <c r="T7">
        <f t="shared" si="2"/>
        <v>4.1176650000000002E-2</v>
      </c>
    </row>
    <row r="8" spans="1:20" ht="15" thickBot="1" x14ac:dyDescent="0.4">
      <c r="A8" t="s">
        <v>20</v>
      </c>
      <c r="B8">
        <v>20220719</v>
      </c>
      <c r="C8">
        <v>20220802</v>
      </c>
      <c r="D8">
        <v>14</v>
      </c>
      <c r="E8" s="1">
        <v>20220803</v>
      </c>
      <c r="F8">
        <v>20220816</v>
      </c>
      <c r="G8">
        <v>1</v>
      </c>
      <c r="H8" t="s">
        <v>23</v>
      </c>
      <c r="I8">
        <v>1</v>
      </c>
      <c r="J8">
        <v>4.5599999999999998E-3</v>
      </c>
      <c r="K8">
        <v>30.038900000000002</v>
      </c>
      <c r="L8">
        <v>0.45</v>
      </c>
      <c r="M8">
        <v>34.42</v>
      </c>
      <c r="N8">
        <v>2.88</v>
      </c>
      <c r="O8">
        <v>3.98</v>
      </c>
      <c r="P8">
        <v>4.46</v>
      </c>
      <c r="Q8">
        <v>2.04</v>
      </c>
      <c r="R8">
        <f t="shared" si="0"/>
        <v>0.60301507537688437</v>
      </c>
      <c r="S8">
        <f t="shared" si="1"/>
        <v>0.39698492462311563</v>
      </c>
      <c r="T8">
        <f t="shared" si="2"/>
        <v>4.1230150753768846E-2</v>
      </c>
    </row>
    <row r="9" spans="1:20" ht="15" thickBot="1" x14ac:dyDescent="0.4">
      <c r="A9" t="s">
        <v>20</v>
      </c>
      <c r="B9">
        <v>20220719</v>
      </c>
      <c r="C9">
        <v>20220802</v>
      </c>
      <c r="D9">
        <v>14</v>
      </c>
      <c r="E9" s="1">
        <v>20220803</v>
      </c>
      <c r="F9">
        <v>20220816</v>
      </c>
      <c r="G9">
        <v>1</v>
      </c>
      <c r="H9" t="s">
        <v>23</v>
      </c>
      <c r="I9">
        <v>2</v>
      </c>
      <c r="J9">
        <v>4.5599999999999998E-3</v>
      </c>
      <c r="K9">
        <v>20.032699999999998</v>
      </c>
      <c r="L9">
        <v>0.45</v>
      </c>
      <c r="M9">
        <v>19.66</v>
      </c>
      <c r="N9">
        <v>3.08</v>
      </c>
      <c r="O9">
        <v>4.03</v>
      </c>
      <c r="P9">
        <v>4.7300000000000004</v>
      </c>
      <c r="Q9">
        <v>2.0299999999999998</v>
      </c>
      <c r="R9">
        <f t="shared" si="0"/>
        <v>0.59057071960297758</v>
      </c>
      <c r="S9">
        <f t="shared" si="1"/>
        <v>0.40942928039702242</v>
      </c>
      <c r="T9">
        <f t="shared" si="2"/>
        <v>4.1198858560794041E-2</v>
      </c>
    </row>
    <row r="10" spans="1:20" ht="15" thickBot="1" x14ac:dyDescent="0.4">
      <c r="A10" t="s">
        <v>20</v>
      </c>
      <c r="B10">
        <v>20220719</v>
      </c>
      <c r="C10">
        <v>20220802</v>
      </c>
      <c r="D10">
        <v>14</v>
      </c>
      <c r="E10" s="1">
        <v>20220803</v>
      </c>
      <c r="F10">
        <v>20220816</v>
      </c>
      <c r="G10">
        <v>1</v>
      </c>
      <c r="H10" t="s">
        <v>23</v>
      </c>
      <c r="I10">
        <v>3</v>
      </c>
      <c r="J10">
        <v>4.5599999999999998E-3</v>
      </c>
      <c r="K10">
        <v>30.0261</v>
      </c>
      <c r="L10">
        <v>0.45</v>
      </c>
      <c r="M10">
        <v>33.79</v>
      </c>
      <c r="N10">
        <v>3.04</v>
      </c>
      <c r="O10">
        <v>4.04</v>
      </c>
      <c r="P10">
        <v>4.57</v>
      </c>
      <c r="Q10">
        <v>1.97</v>
      </c>
      <c r="R10">
        <f t="shared" si="0"/>
        <v>0.62128712871287128</v>
      </c>
      <c r="S10">
        <f t="shared" si="1"/>
        <v>0.37871287128712872</v>
      </c>
      <c r="T10">
        <f t="shared" si="2"/>
        <v>4.1223935643564358E-2</v>
      </c>
    </row>
    <row r="11" spans="1:20" ht="15" thickBot="1" x14ac:dyDescent="0.4">
      <c r="A11" t="s">
        <v>20</v>
      </c>
      <c r="B11">
        <v>20220719</v>
      </c>
      <c r="C11">
        <v>20220802</v>
      </c>
      <c r="D11">
        <v>14</v>
      </c>
      <c r="E11" s="1">
        <v>20220803</v>
      </c>
      <c r="F11">
        <v>20220816</v>
      </c>
      <c r="G11">
        <v>2</v>
      </c>
      <c r="H11" t="s">
        <v>21</v>
      </c>
      <c r="I11">
        <v>1</v>
      </c>
      <c r="J11">
        <v>4.5599999999999998E-3</v>
      </c>
      <c r="K11">
        <v>30.04</v>
      </c>
      <c r="L11">
        <v>0.45</v>
      </c>
      <c r="M11">
        <v>32.33</v>
      </c>
      <c r="N11">
        <v>2.86</v>
      </c>
      <c r="O11">
        <v>4.05</v>
      </c>
      <c r="P11">
        <v>4.5599999999999996</v>
      </c>
      <c r="Q11">
        <v>2.02</v>
      </c>
      <c r="R11">
        <f t="shared" si="0"/>
        <v>0.58024691358024694</v>
      </c>
      <c r="S11">
        <f t="shared" si="1"/>
        <v>0.41975308641975306</v>
      </c>
      <c r="T11">
        <f t="shared" si="2"/>
        <v>4.1172098765432097E-2</v>
      </c>
    </row>
    <row r="12" spans="1:20" ht="15" thickBot="1" x14ac:dyDescent="0.4">
      <c r="A12" t="s">
        <v>20</v>
      </c>
      <c r="B12">
        <v>20220719</v>
      </c>
      <c r="C12">
        <v>20220802</v>
      </c>
      <c r="D12">
        <v>14</v>
      </c>
      <c r="E12" s="1">
        <v>20220803</v>
      </c>
      <c r="F12">
        <v>20220816</v>
      </c>
      <c r="G12">
        <v>2</v>
      </c>
      <c r="H12" t="s">
        <v>21</v>
      </c>
      <c r="I12">
        <v>2</v>
      </c>
      <c r="J12">
        <v>4.5599999999999998E-3</v>
      </c>
      <c r="K12">
        <v>20.039200000000001</v>
      </c>
      <c r="L12">
        <v>0.45</v>
      </c>
      <c r="M12">
        <v>18.72</v>
      </c>
      <c r="N12">
        <v>2.91</v>
      </c>
      <c r="O12">
        <v>3.95</v>
      </c>
      <c r="P12">
        <v>4.68</v>
      </c>
      <c r="Q12">
        <v>2.0499999999999998</v>
      </c>
      <c r="R12">
        <f t="shared" si="0"/>
        <v>0.55189873417721536</v>
      </c>
      <c r="S12">
        <f t="shared" si="1"/>
        <v>0.44810126582278464</v>
      </c>
      <c r="T12">
        <f t="shared" si="2"/>
        <v>4.1131392405063298E-2</v>
      </c>
    </row>
    <row r="13" spans="1:20" ht="15" thickBot="1" x14ac:dyDescent="0.4">
      <c r="A13" t="s">
        <v>20</v>
      </c>
      <c r="B13">
        <v>20220719</v>
      </c>
      <c r="C13">
        <v>20220802</v>
      </c>
      <c r="D13">
        <v>14</v>
      </c>
      <c r="E13" s="1">
        <v>20220803</v>
      </c>
      <c r="F13">
        <v>20220816</v>
      </c>
      <c r="G13">
        <v>2</v>
      </c>
      <c r="H13" t="s">
        <v>21</v>
      </c>
      <c r="I13">
        <v>3</v>
      </c>
      <c r="J13">
        <v>4.5599999999999998E-3</v>
      </c>
      <c r="K13">
        <v>30.0351</v>
      </c>
      <c r="L13">
        <v>0.45</v>
      </c>
      <c r="M13">
        <v>32.380000000000003</v>
      </c>
      <c r="N13">
        <v>2.88</v>
      </c>
      <c r="O13">
        <v>4.03</v>
      </c>
      <c r="P13">
        <v>4.53</v>
      </c>
      <c r="Q13">
        <v>2.0099999999999998</v>
      </c>
      <c r="R13">
        <f t="shared" si="0"/>
        <v>0.59057071960297758</v>
      </c>
      <c r="S13">
        <f t="shared" si="1"/>
        <v>0.40942928039702242</v>
      </c>
      <c r="T13">
        <f t="shared" si="2"/>
        <v>4.1187047146401985E-2</v>
      </c>
    </row>
    <row r="14" spans="1:20" ht="15" thickBot="1" x14ac:dyDescent="0.4">
      <c r="A14" t="s">
        <v>20</v>
      </c>
      <c r="B14">
        <v>20220719</v>
      </c>
      <c r="C14">
        <v>20220802</v>
      </c>
      <c r="D14">
        <v>14</v>
      </c>
      <c r="E14" s="1">
        <v>20220803</v>
      </c>
      <c r="F14">
        <v>20220816</v>
      </c>
      <c r="G14">
        <v>2</v>
      </c>
      <c r="H14" t="s">
        <v>22</v>
      </c>
      <c r="I14">
        <v>1</v>
      </c>
      <c r="J14">
        <v>4.5599999999999998E-3</v>
      </c>
      <c r="K14">
        <v>30.011700000000001</v>
      </c>
      <c r="L14">
        <v>0.45</v>
      </c>
      <c r="M14">
        <v>30.97</v>
      </c>
      <c r="N14">
        <v>2.92</v>
      </c>
      <c r="O14">
        <v>4.0199999999999996</v>
      </c>
      <c r="P14">
        <v>4.57</v>
      </c>
      <c r="Q14">
        <v>1.99</v>
      </c>
      <c r="R14">
        <f t="shared" si="0"/>
        <v>0.58955223880596996</v>
      </c>
      <c r="S14">
        <f t="shared" si="1"/>
        <v>0.41044776119403004</v>
      </c>
      <c r="T14">
        <f t="shared" si="2"/>
        <v>4.1173208955223875E-2</v>
      </c>
    </row>
    <row r="15" spans="1:20" ht="15" thickBot="1" x14ac:dyDescent="0.4">
      <c r="A15" t="s">
        <v>20</v>
      </c>
      <c r="B15">
        <v>20220719</v>
      </c>
      <c r="C15">
        <v>20220802</v>
      </c>
      <c r="D15">
        <v>14</v>
      </c>
      <c r="E15" s="1">
        <v>20220803</v>
      </c>
      <c r="F15">
        <v>20220816</v>
      </c>
      <c r="G15">
        <v>2</v>
      </c>
      <c r="H15" t="s">
        <v>22</v>
      </c>
      <c r="I15">
        <v>2</v>
      </c>
      <c r="J15">
        <v>4.5599999999999998E-3</v>
      </c>
      <c r="K15">
        <v>20.026900000000001</v>
      </c>
      <c r="L15">
        <v>0.45</v>
      </c>
      <c r="M15">
        <v>17.72</v>
      </c>
      <c r="N15">
        <v>3.08</v>
      </c>
      <c r="O15">
        <v>3.95</v>
      </c>
      <c r="P15">
        <v>4.83</v>
      </c>
      <c r="Q15">
        <v>2</v>
      </c>
      <c r="R15">
        <f t="shared" si="0"/>
        <v>0.55696202531645567</v>
      </c>
      <c r="S15">
        <f t="shared" si="1"/>
        <v>0.44303797468354433</v>
      </c>
      <c r="T15">
        <f t="shared" si="2"/>
        <v>4.1113924050632911E-2</v>
      </c>
    </row>
    <row r="16" spans="1:20" ht="15" thickBot="1" x14ac:dyDescent="0.4">
      <c r="A16" t="s">
        <v>20</v>
      </c>
      <c r="B16">
        <v>20220719</v>
      </c>
      <c r="C16">
        <v>20220802</v>
      </c>
      <c r="D16">
        <v>14</v>
      </c>
      <c r="E16" s="1">
        <v>20220803</v>
      </c>
      <c r="F16">
        <v>20220816</v>
      </c>
      <c r="G16">
        <v>2</v>
      </c>
      <c r="H16" t="s">
        <v>22</v>
      </c>
      <c r="I16">
        <v>3</v>
      </c>
      <c r="J16">
        <v>4.5599999999999998E-3</v>
      </c>
      <c r="K16">
        <v>30.010100000000001</v>
      </c>
      <c r="L16">
        <v>0.45</v>
      </c>
      <c r="M16">
        <v>34.590000000000003</v>
      </c>
      <c r="N16">
        <v>3.09</v>
      </c>
      <c r="O16">
        <v>4.05</v>
      </c>
      <c r="P16">
        <v>4.75</v>
      </c>
      <c r="Q16">
        <v>2.02</v>
      </c>
      <c r="R16">
        <f t="shared" si="0"/>
        <v>0.59012345679012346</v>
      </c>
      <c r="S16">
        <f t="shared" si="1"/>
        <v>0.40987654320987654</v>
      </c>
      <c r="T16">
        <f t="shared" si="2"/>
        <v>4.1192049382716048E-2</v>
      </c>
    </row>
    <row r="17" spans="1:20" ht="15" thickBot="1" x14ac:dyDescent="0.4">
      <c r="A17" t="s">
        <v>20</v>
      </c>
      <c r="B17">
        <v>20220719</v>
      </c>
      <c r="C17">
        <v>20220802</v>
      </c>
      <c r="D17">
        <v>14</v>
      </c>
      <c r="E17" s="1">
        <v>20220803</v>
      </c>
      <c r="F17">
        <v>20220816</v>
      </c>
      <c r="G17">
        <v>2</v>
      </c>
      <c r="H17" t="s">
        <v>23</v>
      </c>
      <c r="I17">
        <v>1</v>
      </c>
      <c r="J17">
        <v>4.5599999999999998E-3</v>
      </c>
      <c r="K17">
        <v>30.004999999999999</v>
      </c>
      <c r="L17">
        <v>0.45</v>
      </c>
      <c r="M17">
        <v>33.270000000000003</v>
      </c>
      <c r="N17">
        <v>3.07</v>
      </c>
      <c r="O17">
        <v>3.99</v>
      </c>
      <c r="P17">
        <v>4.7300000000000004</v>
      </c>
      <c r="Q17">
        <v>2.0299999999999998</v>
      </c>
      <c r="R17">
        <f t="shared" si="0"/>
        <v>0.58395989974937335</v>
      </c>
      <c r="S17">
        <f t="shared" si="1"/>
        <v>0.41604010025062665</v>
      </c>
      <c r="T17">
        <f t="shared" si="2"/>
        <v>4.1185438596491229E-2</v>
      </c>
    </row>
    <row r="18" spans="1:20" ht="15" thickBot="1" x14ac:dyDescent="0.4">
      <c r="A18" t="s">
        <v>20</v>
      </c>
      <c r="B18">
        <v>20220719</v>
      </c>
      <c r="C18">
        <v>20220802</v>
      </c>
      <c r="D18">
        <v>14</v>
      </c>
      <c r="E18" s="1">
        <v>20220803</v>
      </c>
      <c r="F18">
        <v>20220816</v>
      </c>
      <c r="G18">
        <v>2</v>
      </c>
      <c r="H18" t="s">
        <v>23</v>
      </c>
      <c r="I18">
        <v>2</v>
      </c>
      <c r="J18">
        <v>4.5599999999999998E-3</v>
      </c>
      <c r="K18">
        <v>20.031500000000001</v>
      </c>
      <c r="L18">
        <v>0.45</v>
      </c>
      <c r="M18">
        <v>21.29</v>
      </c>
      <c r="N18">
        <v>3.24</v>
      </c>
      <c r="O18">
        <v>4.03</v>
      </c>
      <c r="P18">
        <v>4.8</v>
      </c>
      <c r="Q18">
        <v>2.0299999999999998</v>
      </c>
      <c r="R18">
        <f t="shared" si="0"/>
        <v>0.61290322580645173</v>
      </c>
      <c r="S18">
        <f t="shared" si="1"/>
        <v>0.38709677419354827</v>
      </c>
      <c r="T18">
        <f t="shared" si="2"/>
        <v>4.1244193548387098E-2</v>
      </c>
    </row>
    <row r="19" spans="1:20" ht="15" thickBot="1" x14ac:dyDescent="0.4">
      <c r="A19" t="s">
        <v>20</v>
      </c>
      <c r="B19">
        <v>20220719</v>
      </c>
      <c r="C19">
        <v>20220802</v>
      </c>
      <c r="D19">
        <v>14</v>
      </c>
      <c r="E19" s="1">
        <v>20220803</v>
      </c>
      <c r="F19">
        <v>20220816</v>
      </c>
      <c r="G19">
        <v>2</v>
      </c>
      <c r="H19" t="s">
        <v>23</v>
      </c>
      <c r="I19">
        <v>3</v>
      </c>
      <c r="J19">
        <v>4.5599999999999998E-3</v>
      </c>
      <c r="K19">
        <v>30.029800000000002</v>
      </c>
      <c r="L19">
        <v>0.45</v>
      </c>
      <c r="M19">
        <v>38.07</v>
      </c>
      <c r="N19">
        <v>3.24</v>
      </c>
      <c r="O19">
        <v>4.04</v>
      </c>
      <c r="P19">
        <v>4.75</v>
      </c>
      <c r="Q19">
        <v>1.98</v>
      </c>
      <c r="R19">
        <f t="shared" si="0"/>
        <v>0.62623762376237624</v>
      </c>
      <c r="S19">
        <f t="shared" si="1"/>
        <v>0.37376237623762376</v>
      </c>
      <c r="T19">
        <f t="shared" si="2"/>
        <v>4.1239950495049506E-2</v>
      </c>
    </row>
    <row r="20" spans="1:20" ht="15" thickBot="1" x14ac:dyDescent="0.4">
      <c r="A20" t="s">
        <v>20</v>
      </c>
      <c r="B20">
        <v>20220719</v>
      </c>
      <c r="C20">
        <v>20220802</v>
      </c>
      <c r="D20">
        <v>14</v>
      </c>
      <c r="E20" s="1">
        <v>20220803</v>
      </c>
      <c r="F20">
        <v>20220816</v>
      </c>
      <c r="G20">
        <v>3</v>
      </c>
      <c r="H20" t="s">
        <v>21</v>
      </c>
      <c r="I20">
        <v>1</v>
      </c>
      <c r="J20">
        <v>4.5599999999999998E-3</v>
      </c>
      <c r="K20">
        <v>30.046099999999999</v>
      </c>
      <c r="L20">
        <v>0.45</v>
      </c>
      <c r="M20">
        <v>31.64</v>
      </c>
      <c r="N20">
        <v>3.17</v>
      </c>
      <c r="O20">
        <v>4.01</v>
      </c>
      <c r="P20">
        <v>4.75</v>
      </c>
      <c r="Q20">
        <v>1.99</v>
      </c>
      <c r="R20">
        <f t="shared" si="0"/>
        <v>0.6059850374064838</v>
      </c>
      <c r="S20">
        <f t="shared" si="1"/>
        <v>0.3940149625935162</v>
      </c>
      <c r="T20">
        <f t="shared" si="2"/>
        <v>4.1205910224438903E-2</v>
      </c>
    </row>
    <row r="21" spans="1:20" ht="15" thickBot="1" x14ac:dyDescent="0.4">
      <c r="A21" t="s">
        <v>20</v>
      </c>
      <c r="B21">
        <v>20220719</v>
      </c>
      <c r="C21">
        <v>20220802</v>
      </c>
      <c r="D21">
        <v>14</v>
      </c>
      <c r="E21" s="1">
        <v>20220803</v>
      </c>
      <c r="F21">
        <v>20220816</v>
      </c>
      <c r="G21">
        <v>3</v>
      </c>
      <c r="H21" t="s">
        <v>21</v>
      </c>
      <c r="I21">
        <v>2</v>
      </c>
      <c r="J21">
        <v>4.5599999999999998E-3</v>
      </c>
      <c r="K21">
        <v>20.012699999999999</v>
      </c>
      <c r="L21">
        <v>0.45</v>
      </c>
      <c r="M21">
        <v>18.079999999999998</v>
      </c>
      <c r="N21">
        <v>3.21</v>
      </c>
      <c r="O21">
        <v>4.01</v>
      </c>
      <c r="P21">
        <v>5.21</v>
      </c>
      <c r="Q21">
        <v>1.99</v>
      </c>
      <c r="R21">
        <f t="shared" si="0"/>
        <v>0.50124688279301743</v>
      </c>
      <c r="S21">
        <f t="shared" si="1"/>
        <v>0.49875311720698257</v>
      </c>
      <c r="T21">
        <f t="shared" si="2"/>
        <v>4.0997481296758106E-2</v>
      </c>
    </row>
    <row r="22" spans="1:20" ht="15" thickBot="1" x14ac:dyDescent="0.4">
      <c r="A22" t="s">
        <v>20</v>
      </c>
      <c r="B22">
        <v>20220719</v>
      </c>
      <c r="C22">
        <v>20220802</v>
      </c>
      <c r="D22">
        <v>14</v>
      </c>
      <c r="E22" s="1">
        <v>20220803</v>
      </c>
      <c r="F22">
        <v>20220816</v>
      </c>
      <c r="G22">
        <v>3</v>
      </c>
      <c r="H22" t="s">
        <v>21</v>
      </c>
      <c r="I22">
        <v>3</v>
      </c>
      <c r="J22">
        <v>4.5599999999999998E-3</v>
      </c>
      <c r="K22">
        <v>29.989100000000001</v>
      </c>
      <c r="L22">
        <v>0.45</v>
      </c>
      <c r="M22">
        <v>28.5</v>
      </c>
      <c r="N22">
        <v>3.22</v>
      </c>
      <c r="O22">
        <v>3.99</v>
      </c>
      <c r="P22">
        <v>5.08</v>
      </c>
      <c r="Q22">
        <v>1.98</v>
      </c>
      <c r="R22">
        <f t="shared" si="0"/>
        <v>0.53383458646616544</v>
      </c>
      <c r="S22">
        <f t="shared" si="1"/>
        <v>0.46616541353383456</v>
      </c>
      <c r="T22">
        <f t="shared" si="2"/>
        <v>4.1056992481203008E-2</v>
      </c>
    </row>
    <row r="23" spans="1:20" ht="15" thickBot="1" x14ac:dyDescent="0.4">
      <c r="A23" t="s">
        <v>20</v>
      </c>
      <c r="B23">
        <v>20220719</v>
      </c>
      <c r="C23">
        <v>20220802</v>
      </c>
      <c r="D23">
        <v>14</v>
      </c>
      <c r="E23" s="1">
        <v>20220803</v>
      </c>
      <c r="F23">
        <v>20220816</v>
      </c>
      <c r="G23">
        <v>3</v>
      </c>
      <c r="H23" t="s">
        <v>22</v>
      </c>
      <c r="I23">
        <v>1</v>
      </c>
      <c r="J23">
        <v>4.5599999999999998E-3</v>
      </c>
      <c r="K23">
        <v>30.04</v>
      </c>
      <c r="L23">
        <v>0.45</v>
      </c>
      <c r="M23">
        <v>35.25</v>
      </c>
      <c r="N23">
        <v>3.14</v>
      </c>
      <c r="O23">
        <v>4.01</v>
      </c>
      <c r="P23">
        <v>4.66</v>
      </c>
      <c r="Q23">
        <v>2.0299999999999998</v>
      </c>
      <c r="R23">
        <f t="shared" si="0"/>
        <v>0.62094763092269323</v>
      </c>
      <c r="S23">
        <f t="shared" si="1"/>
        <v>0.37905236907730677</v>
      </c>
      <c r="T23">
        <f t="shared" si="2"/>
        <v>4.1260523690773071E-2</v>
      </c>
    </row>
    <row r="24" spans="1:20" ht="15" thickBot="1" x14ac:dyDescent="0.4">
      <c r="A24" t="s">
        <v>20</v>
      </c>
      <c r="B24">
        <v>20220719</v>
      </c>
      <c r="C24">
        <v>20220802</v>
      </c>
      <c r="D24">
        <v>14</v>
      </c>
      <c r="E24" s="1">
        <v>20220803</v>
      </c>
      <c r="F24">
        <v>20220816</v>
      </c>
      <c r="G24">
        <v>3</v>
      </c>
      <c r="H24" t="s">
        <v>22</v>
      </c>
      <c r="I24">
        <v>2</v>
      </c>
      <c r="J24">
        <v>4.5599999999999998E-3</v>
      </c>
      <c r="K24">
        <v>19.997199999999999</v>
      </c>
      <c r="L24">
        <v>0.45</v>
      </c>
      <c r="M24">
        <v>19</v>
      </c>
      <c r="N24">
        <v>3.17</v>
      </c>
      <c r="O24">
        <v>3.99</v>
      </c>
      <c r="P24">
        <v>4.74</v>
      </c>
      <c r="Q24">
        <v>2.04</v>
      </c>
      <c r="R24">
        <f t="shared" si="0"/>
        <v>0.60651629072681701</v>
      </c>
      <c r="S24">
        <f t="shared" si="1"/>
        <v>0.39348370927318299</v>
      </c>
      <c r="T24">
        <f t="shared" si="2"/>
        <v>4.1237293233082707E-2</v>
      </c>
    </row>
    <row r="25" spans="1:20" ht="15" thickBot="1" x14ac:dyDescent="0.4">
      <c r="A25" t="s">
        <v>20</v>
      </c>
      <c r="B25">
        <v>20220719</v>
      </c>
      <c r="C25">
        <v>20220802</v>
      </c>
      <c r="D25">
        <v>14</v>
      </c>
      <c r="E25" s="1">
        <v>20220803</v>
      </c>
      <c r="F25">
        <v>20220816</v>
      </c>
      <c r="G25">
        <v>3</v>
      </c>
      <c r="H25" t="s">
        <v>22</v>
      </c>
      <c r="I25">
        <v>3</v>
      </c>
      <c r="J25">
        <v>4.5599999999999998E-3</v>
      </c>
      <c r="K25">
        <v>30.05</v>
      </c>
      <c r="L25">
        <v>0.45</v>
      </c>
      <c r="M25">
        <v>33.39</v>
      </c>
      <c r="N25">
        <v>3.17</v>
      </c>
      <c r="O25">
        <v>4</v>
      </c>
      <c r="P25">
        <v>4.6500000000000004</v>
      </c>
      <c r="Q25">
        <v>2.04</v>
      </c>
      <c r="R25">
        <f t="shared" si="0"/>
        <v>0.62999999999999989</v>
      </c>
      <c r="S25">
        <f t="shared" si="1"/>
        <v>0.37000000000000011</v>
      </c>
      <c r="T25">
        <f t="shared" si="2"/>
        <v>4.1285200000000001E-2</v>
      </c>
    </row>
    <row r="26" spans="1:20" ht="15" thickBot="1" x14ac:dyDescent="0.4">
      <c r="A26" t="s">
        <v>20</v>
      </c>
      <c r="B26">
        <v>20220719</v>
      </c>
      <c r="C26">
        <v>20220802</v>
      </c>
      <c r="D26">
        <v>14</v>
      </c>
      <c r="E26" s="1">
        <v>20220803</v>
      </c>
      <c r="F26">
        <v>20220816</v>
      </c>
      <c r="G26">
        <v>3</v>
      </c>
      <c r="H26" t="s">
        <v>23</v>
      </c>
      <c r="I26">
        <v>1</v>
      </c>
      <c r="J26">
        <v>4.5599999999999998E-3</v>
      </c>
      <c r="K26">
        <v>29.9527</v>
      </c>
      <c r="L26">
        <v>0.45</v>
      </c>
      <c r="M26">
        <v>33.299999999999997</v>
      </c>
      <c r="N26">
        <v>2.56</v>
      </c>
      <c r="O26">
        <v>3.97</v>
      </c>
      <c r="P26">
        <v>4.09</v>
      </c>
      <c r="Q26">
        <v>1.99</v>
      </c>
      <c r="R26">
        <f t="shared" si="0"/>
        <v>0.61460957178841313</v>
      </c>
      <c r="S26">
        <f t="shared" si="1"/>
        <v>0.38539042821158687</v>
      </c>
      <c r="T26">
        <f t="shared" si="2"/>
        <v>4.1223073047858938E-2</v>
      </c>
    </row>
    <row r="27" spans="1:20" ht="15" thickBot="1" x14ac:dyDescent="0.4">
      <c r="A27" t="s">
        <v>20</v>
      </c>
      <c r="B27">
        <v>20220719</v>
      </c>
      <c r="C27">
        <v>20220802</v>
      </c>
      <c r="D27">
        <v>14</v>
      </c>
      <c r="E27" s="1">
        <v>20220803</v>
      </c>
      <c r="F27">
        <v>20220816</v>
      </c>
      <c r="G27">
        <v>3</v>
      </c>
      <c r="H27" t="s">
        <v>23</v>
      </c>
      <c r="I27">
        <v>2</v>
      </c>
      <c r="J27">
        <v>4.5599999999999998E-3</v>
      </c>
      <c r="K27">
        <v>20.017900000000001</v>
      </c>
      <c r="L27">
        <v>0.45</v>
      </c>
      <c r="M27">
        <v>20.89</v>
      </c>
      <c r="N27">
        <v>3.04</v>
      </c>
      <c r="O27">
        <v>3.99</v>
      </c>
      <c r="P27">
        <v>4.58</v>
      </c>
      <c r="Q27">
        <v>2.0299999999999998</v>
      </c>
      <c r="R27">
        <f t="shared" si="0"/>
        <v>0.61403508771929827</v>
      </c>
      <c r="S27">
        <f t="shared" si="1"/>
        <v>0.38596491228070173</v>
      </c>
      <c r="T27">
        <f t="shared" si="2"/>
        <v>4.1246491228070177E-2</v>
      </c>
    </row>
    <row r="28" spans="1:20" ht="15" thickBot="1" x14ac:dyDescent="0.4">
      <c r="A28" t="s">
        <v>20</v>
      </c>
      <c r="B28">
        <v>20220719</v>
      </c>
      <c r="C28">
        <v>20220802</v>
      </c>
      <c r="D28">
        <v>14</v>
      </c>
      <c r="E28" s="1">
        <v>20220803</v>
      </c>
      <c r="F28">
        <v>20220816</v>
      </c>
      <c r="G28">
        <v>3</v>
      </c>
      <c r="H28" t="s">
        <v>23</v>
      </c>
      <c r="I28">
        <v>3</v>
      </c>
      <c r="J28">
        <v>4.5599999999999998E-3</v>
      </c>
      <c r="K28">
        <v>30.030799999999999</v>
      </c>
      <c r="L28">
        <v>0.45</v>
      </c>
      <c r="M28">
        <v>37.06</v>
      </c>
      <c r="N28">
        <v>2.76</v>
      </c>
      <c r="O28">
        <v>3.95</v>
      </c>
      <c r="P28">
        <v>4.21</v>
      </c>
      <c r="Q28">
        <v>2.04</v>
      </c>
      <c r="R28">
        <f t="shared" si="0"/>
        <v>0.63291139240506322</v>
      </c>
      <c r="S28">
        <f t="shared" si="1"/>
        <v>0.36708860759493678</v>
      </c>
      <c r="T28">
        <f t="shared" si="2"/>
        <v>4.1291139240506328E-2</v>
      </c>
    </row>
    <row r="29" spans="1:20" ht="15" thickBot="1" x14ac:dyDescent="0.4">
      <c r="A29" t="s">
        <v>20</v>
      </c>
      <c r="B29">
        <v>20220719</v>
      </c>
      <c r="C29">
        <v>20220802</v>
      </c>
      <c r="D29">
        <v>14</v>
      </c>
      <c r="E29" s="1">
        <v>20220803</v>
      </c>
      <c r="F29">
        <v>20220816</v>
      </c>
      <c r="G29">
        <v>4</v>
      </c>
      <c r="H29" t="s">
        <v>21</v>
      </c>
      <c r="I29">
        <v>1</v>
      </c>
      <c r="J29">
        <v>4.5599999999999998E-3</v>
      </c>
      <c r="K29">
        <v>29.952100000000002</v>
      </c>
      <c r="L29">
        <v>0.45</v>
      </c>
      <c r="M29">
        <v>36.07</v>
      </c>
      <c r="N29">
        <v>2.76</v>
      </c>
      <c r="O29">
        <v>4</v>
      </c>
      <c r="P29">
        <v>4.4000000000000004</v>
      </c>
      <c r="Q29">
        <v>1.99</v>
      </c>
      <c r="R29">
        <f t="shared" si="0"/>
        <v>0.58999999999999986</v>
      </c>
      <c r="S29">
        <f t="shared" si="1"/>
        <v>0.41000000000000014</v>
      </c>
      <c r="T29">
        <f t="shared" si="2"/>
        <v>4.1174100000000005E-2</v>
      </c>
    </row>
    <row r="30" spans="1:20" ht="15" thickBot="1" x14ac:dyDescent="0.4">
      <c r="A30" t="s">
        <v>20</v>
      </c>
      <c r="B30">
        <v>20220719</v>
      </c>
      <c r="C30">
        <v>20220802</v>
      </c>
      <c r="D30">
        <v>14</v>
      </c>
      <c r="E30" s="1">
        <v>20220803</v>
      </c>
      <c r="F30">
        <v>20220816</v>
      </c>
      <c r="G30">
        <v>4</v>
      </c>
      <c r="H30" t="s">
        <v>21</v>
      </c>
      <c r="I30">
        <v>2</v>
      </c>
      <c r="J30">
        <v>4.5599999999999998E-3</v>
      </c>
      <c r="K30">
        <v>19.959199999999999</v>
      </c>
      <c r="L30">
        <v>0.45</v>
      </c>
      <c r="M30">
        <v>22.51</v>
      </c>
      <c r="N30">
        <v>2.63</v>
      </c>
      <c r="O30">
        <v>4.05</v>
      </c>
      <c r="P30">
        <v>4.2699999999999996</v>
      </c>
      <c r="Q30">
        <v>2.0099999999999998</v>
      </c>
      <c r="R30">
        <f t="shared" si="0"/>
        <v>0.59506172839506177</v>
      </c>
      <c r="S30">
        <f t="shared" si="1"/>
        <v>0.40493827160493823</v>
      </c>
      <c r="T30">
        <f t="shared" si="2"/>
        <v>4.1196074074074079E-2</v>
      </c>
    </row>
    <row r="31" spans="1:20" ht="15" thickBot="1" x14ac:dyDescent="0.4">
      <c r="A31" t="s">
        <v>20</v>
      </c>
      <c r="B31">
        <v>20220719</v>
      </c>
      <c r="C31">
        <v>20220802</v>
      </c>
      <c r="D31">
        <v>14</v>
      </c>
      <c r="E31" s="1">
        <v>20220803</v>
      </c>
      <c r="F31">
        <v>20220816</v>
      </c>
      <c r="G31">
        <v>4</v>
      </c>
      <c r="H31" t="s">
        <v>21</v>
      </c>
      <c r="I31">
        <v>3</v>
      </c>
      <c r="J31">
        <v>4.5599999999999998E-3</v>
      </c>
      <c r="K31">
        <v>29.985299999999999</v>
      </c>
      <c r="L31">
        <v>0.45</v>
      </c>
      <c r="M31">
        <v>37.49</v>
      </c>
      <c r="N31">
        <v>2.76</v>
      </c>
      <c r="O31">
        <v>4.04</v>
      </c>
      <c r="P31">
        <v>4.2699999999999996</v>
      </c>
      <c r="Q31">
        <v>2.0099999999999998</v>
      </c>
      <c r="R31">
        <f t="shared" si="0"/>
        <v>0.62623762376237624</v>
      </c>
      <c r="S31">
        <f t="shared" si="1"/>
        <v>0.37376237623762376</v>
      </c>
      <c r="T31">
        <f t="shared" si="2"/>
        <v>4.1258737623762379E-2</v>
      </c>
    </row>
    <row r="32" spans="1:20" ht="15" thickBot="1" x14ac:dyDescent="0.4">
      <c r="A32" t="s">
        <v>20</v>
      </c>
      <c r="B32">
        <v>20220719</v>
      </c>
      <c r="C32">
        <v>20220802</v>
      </c>
      <c r="D32">
        <v>14</v>
      </c>
      <c r="E32" s="1">
        <v>20220803</v>
      </c>
      <c r="F32">
        <v>20220816</v>
      </c>
      <c r="G32">
        <v>4</v>
      </c>
      <c r="H32" t="s">
        <v>22</v>
      </c>
      <c r="I32">
        <v>1</v>
      </c>
      <c r="J32">
        <v>4.5599999999999998E-3</v>
      </c>
      <c r="K32">
        <v>29.9695</v>
      </c>
      <c r="L32">
        <v>0.45</v>
      </c>
      <c r="M32">
        <v>28.33</v>
      </c>
      <c r="N32">
        <v>2.61</v>
      </c>
      <c r="O32">
        <v>4.04</v>
      </c>
      <c r="P32">
        <v>4.67</v>
      </c>
      <c r="Q32">
        <v>2.0099999999999998</v>
      </c>
      <c r="R32">
        <f t="shared" si="0"/>
        <v>0.49009900990099009</v>
      </c>
      <c r="S32">
        <f t="shared" si="1"/>
        <v>0.50990099009900991</v>
      </c>
      <c r="T32">
        <f t="shared" si="2"/>
        <v>4.0985099009900994E-2</v>
      </c>
    </row>
    <row r="33" spans="1:20" ht="15" thickBot="1" x14ac:dyDescent="0.4">
      <c r="A33" t="s">
        <v>20</v>
      </c>
      <c r="B33">
        <v>20220719</v>
      </c>
      <c r="C33">
        <v>20220802</v>
      </c>
      <c r="D33">
        <v>14</v>
      </c>
      <c r="E33" s="1">
        <v>20220803</v>
      </c>
      <c r="F33">
        <v>20220816</v>
      </c>
      <c r="G33">
        <v>4</v>
      </c>
      <c r="H33" t="s">
        <v>22</v>
      </c>
      <c r="I33">
        <v>2</v>
      </c>
      <c r="J33">
        <v>4.5599999999999998E-3</v>
      </c>
      <c r="K33">
        <v>19.9876</v>
      </c>
      <c r="L33">
        <v>0.45</v>
      </c>
      <c r="M33">
        <v>19.5</v>
      </c>
      <c r="N33">
        <v>2.62</v>
      </c>
      <c r="O33">
        <v>4.04</v>
      </c>
      <c r="P33">
        <v>4.53</v>
      </c>
      <c r="Q33">
        <v>1.96</v>
      </c>
      <c r="R33">
        <f t="shared" si="0"/>
        <v>0.52722772277227725</v>
      </c>
      <c r="S33">
        <f t="shared" si="1"/>
        <v>0.47277227722772275</v>
      </c>
      <c r="T33">
        <f t="shared" si="2"/>
        <v>4.103336633663366E-2</v>
      </c>
    </row>
    <row r="34" spans="1:20" ht="15" thickBot="1" x14ac:dyDescent="0.4">
      <c r="A34" t="s">
        <v>20</v>
      </c>
      <c r="B34">
        <v>20220719</v>
      </c>
      <c r="C34">
        <v>20220802</v>
      </c>
      <c r="D34">
        <v>14</v>
      </c>
      <c r="E34" s="1">
        <v>20220803</v>
      </c>
      <c r="F34">
        <v>20220816</v>
      </c>
      <c r="G34">
        <v>4</v>
      </c>
      <c r="H34" t="s">
        <v>22</v>
      </c>
      <c r="I34">
        <v>3</v>
      </c>
      <c r="J34">
        <v>4.5599999999999998E-3</v>
      </c>
      <c r="K34">
        <v>29.968599999999999</v>
      </c>
      <c r="L34">
        <v>0.45</v>
      </c>
      <c r="M34">
        <v>38.85</v>
      </c>
      <c r="N34">
        <v>2.61</v>
      </c>
      <c r="O34">
        <v>3.96</v>
      </c>
      <c r="P34">
        <v>4.09</v>
      </c>
      <c r="Q34">
        <v>2</v>
      </c>
      <c r="R34">
        <f t="shared" si="0"/>
        <v>0.6262626262626263</v>
      </c>
      <c r="S34">
        <f t="shared" si="1"/>
        <v>0.3737373737373737</v>
      </c>
      <c r="T34">
        <f t="shared" si="2"/>
        <v>4.1252525252525256E-2</v>
      </c>
    </row>
    <row r="35" spans="1:20" ht="15" thickBot="1" x14ac:dyDescent="0.4">
      <c r="A35" t="s">
        <v>20</v>
      </c>
      <c r="B35">
        <v>20220719</v>
      </c>
      <c r="C35">
        <v>20220802</v>
      </c>
      <c r="D35">
        <v>14</v>
      </c>
      <c r="E35" s="1">
        <v>20220803</v>
      </c>
      <c r="F35">
        <v>20220816</v>
      </c>
      <c r="G35">
        <v>4</v>
      </c>
      <c r="H35" t="s">
        <v>23</v>
      </c>
      <c r="I35">
        <v>1</v>
      </c>
      <c r="J35">
        <v>4.5599999999999998E-3</v>
      </c>
      <c r="K35">
        <v>30.011399999999998</v>
      </c>
      <c r="L35">
        <v>0.45</v>
      </c>
      <c r="M35">
        <v>38.1</v>
      </c>
      <c r="N35">
        <v>2.71</v>
      </c>
      <c r="O35">
        <v>3.97</v>
      </c>
      <c r="P35">
        <v>4.29</v>
      </c>
      <c r="Q35">
        <v>2</v>
      </c>
      <c r="R35">
        <f t="shared" si="0"/>
        <v>0.60201511335012592</v>
      </c>
      <c r="S35">
        <f t="shared" si="1"/>
        <v>0.39798488664987408</v>
      </c>
      <c r="T35">
        <f t="shared" si="2"/>
        <v>4.1204030226700251E-2</v>
      </c>
    </row>
    <row r="36" spans="1:20" ht="15" thickBot="1" x14ac:dyDescent="0.4">
      <c r="A36" t="s">
        <v>20</v>
      </c>
      <c r="B36">
        <v>20220719</v>
      </c>
      <c r="C36">
        <v>20220802</v>
      </c>
      <c r="D36">
        <v>14</v>
      </c>
      <c r="E36" s="1">
        <v>20220803</v>
      </c>
      <c r="F36">
        <v>20220816</v>
      </c>
      <c r="G36">
        <v>4</v>
      </c>
      <c r="H36" t="s">
        <v>23</v>
      </c>
      <c r="I36">
        <v>2</v>
      </c>
      <c r="J36">
        <v>4.5599999999999998E-3</v>
      </c>
      <c r="K36">
        <v>19.954799999999999</v>
      </c>
      <c r="L36">
        <v>0.45</v>
      </c>
      <c r="M36">
        <v>19.79</v>
      </c>
      <c r="N36">
        <v>2.67</v>
      </c>
      <c r="O36">
        <v>3.98</v>
      </c>
      <c r="P36">
        <v>4.25</v>
      </c>
      <c r="Q36">
        <v>1.96</v>
      </c>
      <c r="R36">
        <f t="shared" si="0"/>
        <v>0.60301507537688437</v>
      </c>
      <c r="S36">
        <f t="shared" si="1"/>
        <v>0.39698492462311563</v>
      </c>
      <c r="T36">
        <f t="shared" si="2"/>
        <v>4.118190954773869E-2</v>
      </c>
    </row>
    <row r="37" spans="1:20" ht="15" thickBot="1" x14ac:dyDescent="0.4">
      <c r="A37" t="s">
        <v>20</v>
      </c>
      <c r="B37">
        <v>20220719</v>
      </c>
      <c r="C37">
        <v>20220802</v>
      </c>
      <c r="D37">
        <v>14</v>
      </c>
      <c r="E37" s="1">
        <v>20220803</v>
      </c>
      <c r="F37">
        <v>20220816</v>
      </c>
      <c r="G37">
        <v>4</v>
      </c>
      <c r="H37" t="s">
        <v>23</v>
      </c>
      <c r="I37">
        <v>3</v>
      </c>
      <c r="J37">
        <v>4.5599999999999998E-3</v>
      </c>
      <c r="K37">
        <v>29.976500000000001</v>
      </c>
      <c r="L37">
        <v>0.45</v>
      </c>
      <c r="M37">
        <v>32.33</v>
      </c>
      <c r="N37">
        <v>2.66</v>
      </c>
      <c r="O37">
        <v>3.95</v>
      </c>
      <c r="P37">
        <v>4.21</v>
      </c>
      <c r="Q37">
        <v>2.0299999999999998</v>
      </c>
      <c r="R37">
        <f t="shared" si="0"/>
        <v>0.60759493670886078</v>
      </c>
      <c r="S37">
        <f t="shared" si="1"/>
        <v>0.39240506329113922</v>
      </c>
      <c r="T37">
        <f t="shared" si="2"/>
        <v>4.1233417721518992E-2</v>
      </c>
    </row>
    <row r="38" spans="1:20" ht="15" thickBot="1" x14ac:dyDescent="0.4">
      <c r="A38" t="s">
        <v>20</v>
      </c>
      <c r="B38">
        <v>20220719</v>
      </c>
      <c r="C38">
        <v>20220802</v>
      </c>
      <c r="D38">
        <v>14</v>
      </c>
      <c r="E38" s="1">
        <v>20220803</v>
      </c>
      <c r="F38">
        <v>20220816</v>
      </c>
      <c r="G38">
        <v>5</v>
      </c>
      <c r="H38" t="s">
        <v>21</v>
      </c>
      <c r="I38">
        <v>1</v>
      </c>
      <c r="J38">
        <v>4.5599999999999998E-3</v>
      </c>
      <c r="K38">
        <v>30.013000000000002</v>
      </c>
      <c r="L38">
        <v>0.45</v>
      </c>
      <c r="M38">
        <v>36.200000000000003</v>
      </c>
      <c r="N38">
        <v>2.58</v>
      </c>
      <c r="O38">
        <v>4.04</v>
      </c>
      <c r="P38">
        <v>4.1500000000000004</v>
      </c>
      <c r="Q38">
        <v>2.02</v>
      </c>
      <c r="R38">
        <f t="shared" si="0"/>
        <v>0.61138613861386137</v>
      </c>
      <c r="S38">
        <f t="shared" si="1"/>
        <v>0.38861386138613863</v>
      </c>
      <c r="T38">
        <f t="shared" si="2"/>
        <v>4.1235000000000001E-2</v>
      </c>
    </row>
    <row r="39" spans="1:20" ht="15" thickBot="1" x14ac:dyDescent="0.4">
      <c r="A39" t="s">
        <v>20</v>
      </c>
      <c r="B39">
        <v>20220719</v>
      </c>
      <c r="C39">
        <v>20220802</v>
      </c>
      <c r="D39">
        <v>14</v>
      </c>
      <c r="E39" s="1">
        <v>20220803</v>
      </c>
      <c r="F39">
        <v>20220816</v>
      </c>
      <c r="G39">
        <v>5</v>
      </c>
      <c r="H39" t="s">
        <v>21</v>
      </c>
      <c r="I39">
        <v>2</v>
      </c>
      <c r="J39">
        <v>4.5599999999999998E-3</v>
      </c>
      <c r="K39">
        <v>20.0091</v>
      </c>
      <c r="L39">
        <v>0.45</v>
      </c>
      <c r="M39">
        <v>24.39</v>
      </c>
      <c r="N39">
        <v>2.56</v>
      </c>
      <c r="O39">
        <v>4.01</v>
      </c>
      <c r="P39">
        <v>4.05</v>
      </c>
      <c r="Q39">
        <v>2.0099999999999998</v>
      </c>
      <c r="R39">
        <f t="shared" si="0"/>
        <v>0.62842892768079806</v>
      </c>
      <c r="S39">
        <f t="shared" si="1"/>
        <v>0.37157107231920194</v>
      </c>
      <c r="T39">
        <f t="shared" si="2"/>
        <v>4.1263142144638401E-2</v>
      </c>
    </row>
    <row r="40" spans="1:20" ht="15" thickBot="1" x14ac:dyDescent="0.4">
      <c r="A40" t="s">
        <v>20</v>
      </c>
      <c r="B40">
        <v>20220719</v>
      </c>
      <c r="C40">
        <v>20220802</v>
      </c>
      <c r="D40">
        <v>14</v>
      </c>
      <c r="E40" s="1">
        <v>20220803</v>
      </c>
      <c r="F40">
        <v>20220816</v>
      </c>
      <c r="G40">
        <v>5</v>
      </c>
      <c r="H40" t="s">
        <v>21</v>
      </c>
      <c r="I40">
        <v>3</v>
      </c>
      <c r="J40">
        <v>4.5599999999999998E-3</v>
      </c>
      <c r="K40">
        <v>29.997399999999999</v>
      </c>
      <c r="L40">
        <v>0.45</v>
      </c>
      <c r="M40">
        <v>38.19</v>
      </c>
      <c r="N40">
        <v>2.59</v>
      </c>
      <c r="O40">
        <v>3.99</v>
      </c>
      <c r="P40">
        <v>4.03</v>
      </c>
      <c r="Q40">
        <v>2</v>
      </c>
      <c r="R40">
        <f t="shared" si="0"/>
        <v>0.63909774436090216</v>
      </c>
      <c r="S40">
        <f t="shared" si="1"/>
        <v>0.36090225563909784</v>
      </c>
      <c r="T40">
        <f t="shared" si="2"/>
        <v>4.127819548872181E-2</v>
      </c>
    </row>
    <row r="41" spans="1:20" ht="15" thickBot="1" x14ac:dyDescent="0.4">
      <c r="A41" t="s">
        <v>20</v>
      </c>
      <c r="B41">
        <v>20220719</v>
      </c>
      <c r="C41">
        <v>20220802</v>
      </c>
      <c r="D41">
        <v>14</v>
      </c>
      <c r="E41" s="1">
        <v>20220803</v>
      </c>
      <c r="F41">
        <v>20220816</v>
      </c>
      <c r="G41">
        <v>5</v>
      </c>
      <c r="H41" t="s">
        <v>22</v>
      </c>
      <c r="I41">
        <v>1</v>
      </c>
      <c r="J41">
        <v>4.5599999999999998E-3</v>
      </c>
      <c r="K41">
        <v>30.0185</v>
      </c>
      <c r="L41">
        <v>0.45</v>
      </c>
      <c r="M41">
        <v>37.85</v>
      </c>
      <c r="N41">
        <v>2.76</v>
      </c>
      <c r="O41">
        <v>3.97</v>
      </c>
      <c r="P41">
        <v>4.2300000000000004</v>
      </c>
      <c r="Q41">
        <v>1.97</v>
      </c>
      <c r="R41">
        <f t="shared" si="0"/>
        <v>0.62972292191435753</v>
      </c>
      <c r="S41">
        <f t="shared" si="1"/>
        <v>0.37027707808564247</v>
      </c>
      <c r="T41">
        <f t="shared" si="2"/>
        <v>4.1240554156171283E-2</v>
      </c>
    </row>
    <row r="42" spans="1:20" ht="15" thickBot="1" x14ac:dyDescent="0.4">
      <c r="A42" t="s">
        <v>20</v>
      </c>
      <c r="B42">
        <v>20220719</v>
      </c>
      <c r="C42">
        <v>20220802</v>
      </c>
      <c r="D42">
        <v>14</v>
      </c>
      <c r="E42" s="1">
        <v>20220803</v>
      </c>
      <c r="F42">
        <v>20220816</v>
      </c>
      <c r="G42">
        <v>5</v>
      </c>
      <c r="H42" t="s">
        <v>22</v>
      </c>
      <c r="I42">
        <v>2</v>
      </c>
      <c r="J42">
        <v>4.5599999999999998E-3</v>
      </c>
      <c r="K42">
        <v>19.960799999999999</v>
      </c>
      <c r="L42">
        <v>0.45</v>
      </c>
      <c r="M42">
        <v>24.11</v>
      </c>
      <c r="N42">
        <v>2.69</v>
      </c>
      <c r="O42">
        <v>4</v>
      </c>
      <c r="P42">
        <v>4.18</v>
      </c>
      <c r="Q42">
        <v>1.98</v>
      </c>
      <c r="R42">
        <f t="shared" si="0"/>
        <v>0.62750000000000006</v>
      </c>
      <c r="S42">
        <f t="shared" si="1"/>
        <v>0.37249999999999994</v>
      </c>
      <c r="T42">
        <f t="shared" si="2"/>
        <v>4.124245E-2</v>
      </c>
    </row>
    <row r="43" spans="1:20" ht="15" thickBot="1" x14ac:dyDescent="0.4">
      <c r="A43" t="s">
        <v>20</v>
      </c>
      <c r="B43">
        <v>20220719</v>
      </c>
      <c r="C43">
        <v>20220802</v>
      </c>
      <c r="D43">
        <v>14</v>
      </c>
      <c r="E43" s="1">
        <v>20220803</v>
      </c>
      <c r="F43">
        <v>20220816</v>
      </c>
      <c r="G43">
        <v>5</v>
      </c>
      <c r="H43" t="s">
        <v>22</v>
      </c>
      <c r="I43">
        <v>3</v>
      </c>
      <c r="J43">
        <v>4.5599999999999998E-3</v>
      </c>
      <c r="K43">
        <v>30.045000000000002</v>
      </c>
      <c r="L43">
        <v>0.45</v>
      </c>
      <c r="M43">
        <v>40.840000000000003</v>
      </c>
      <c r="N43">
        <v>2.73</v>
      </c>
      <c r="O43">
        <v>4.04</v>
      </c>
      <c r="P43">
        <v>4.17</v>
      </c>
      <c r="Q43">
        <v>2</v>
      </c>
      <c r="R43">
        <f t="shared" si="0"/>
        <v>0.64356435643564358</v>
      </c>
      <c r="S43">
        <f t="shared" si="1"/>
        <v>0.35643564356435642</v>
      </c>
      <c r="T43">
        <f t="shared" si="2"/>
        <v>4.1287128712871289E-2</v>
      </c>
    </row>
    <row r="44" spans="1:20" ht="15" thickBot="1" x14ac:dyDescent="0.4">
      <c r="A44" t="s">
        <v>20</v>
      </c>
      <c r="B44">
        <v>20220719</v>
      </c>
      <c r="C44">
        <v>20220802</v>
      </c>
      <c r="D44">
        <v>14</v>
      </c>
      <c r="E44" s="1">
        <v>20220803</v>
      </c>
      <c r="F44">
        <v>20220816</v>
      </c>
      <c r="G44">
        <v>5</v>
      </c>
      <c r="H44" t="s">
        <v>23</v>
      </c>
      <c r="I44">
        <v>1</v>
      </c>
      <c r="J44">
        <v>4.5599999999999998E-3</v>
      </c>
      <c r="K44">
        <v>30.031500000000001</v>
      </c>
      <c r="L44">
        <v>0.45</v>
      </c>
      <c r="M44">
        <v>40.270000000000003</v>
      </c>
      <c r="N44">
        <v>3.03</v>
      </c>
      <c r="O44">
        <v>4</v>
      </c>
      <c r="P44">
        <v>4.47</v>
      </c>
      <c r="Q44">
        <v>2.04</v>
      </c>
      <c r="R44">
        <f t="shared" si="0"/>
        <v>0.64</v>
      </c>
      <c r="S44">
        <f t="shared" si="1"/>
        <v>0.36</v>
      </c>
      <c r="T44">
        <f t="shared" si="2"/>
        <v>4.1305599999999998E-2</v>
      </c>
    </row>
    <row r="45" spans="1:20" ht="15" thickBot="1" x14ac:dyDescent="0.4">
      <c r="A45" t="s">
        <v>20</v>
      </c>
      <c r="B45">
        <v>20220719</v>
      </c>
      <c r="C45">
        <v>20220802</v>
      </c>
      <c r="D45">
        <v>14</v>
      </c>
      <c r="E45" s="1">
        <v>20220803</v>
      </c>
      <c r="F45">
        <v>20220816</v>
      </c>
      <c r="G45">
        <v>5</v>
      </c>
      <c r="H45" t="s">
        <v>23</v>
      </c>
      <c r="I45">
        <v>2</v>
      </c>
      <c r="J45">
        <v>4.5599999999999998E-3</v>
      </c>
      <c r="K45">
        <v>19.991599999999998</v>
      </c>
      <c r="L45">
        <v>0.45</v>
      </c>
      <c r="M45">
        <v>24.8</v>
      </c>
      <c r="N45">
        <v>3.04</v>
      </c>
      <c r="O45">
        <v>4.05</v>
      </c>
      <c r="P45">
        <v>4.54</v>
      </c>
      <c r="Q45">
        <v>1.99</v>
      </c>
      <c r="R45">
        <f t="shared" si="0"/>
        <v>0.62962962962962965</v>
      </c>
      <c r="S45">
        <f t="shared" si="1"/>
        <v>0.37037037037037035</v>
      </c>
      <c r="T45">
        <f t="shared" si="2"/>
        <v>4.1252962962962964E-2</v>
      </c>
    </row>
    <row r="46" spans="1:20" ht="15" thickBot="1" x14ac:dyDescent="0.4">
      <c r="A46" t="s">
        <v>20</v>
      </c>
      <c r="B46">
        <v>20220719</v>
      </c>
      <c r="C46">
        <v>20220802</v>
      </c>
      <c r="D46">
        <v>14</v>
      </c>
      <c r="E46" s="1">
        <v>20220803</v>
      </c>
      <c r="F46">
        <v>20220816</v>
      </c>
      <c r="G46">
        <v>5</v>
      </c>
      <c r="H46" t="s">
        <v>23</v>
      </c>
      <c r="I46">
        <v>3</v>
      </c>
      <c r="J46">
        <v>4.5599999999999998E-3</v>
      </c>
      <c r="K46">
        <v>29.975100000000001</v>
      </c>
      <c r="L46">
        <v>0.45</v>
      </c>
      <c r="M46">
        <v>38.26</v>
      </c>
      <c r="N46">
        <v>2.98</v>
      </c>
      <c r="O46">
        <v>3.99</v>
      </c>
      <c r="P46">
        <v>4.43</v>
      </c>
      <c r="Q46">
        <v>1.98</v>
      </c>
      <c r="R46">
        <f t="shared" si="0"/>
        <v>0.63659147869674193</v>
      </c>
      <c r="S46">
        <f t="shared" si="1"/>
        <v>0.36340852130325807</v>
      </c>
      <c r="T46">
        <f t="shared" si="2"/>
        <v>4.126045112781955E-2</v>
      </c>
    </row>
    <row r="47" spans="1:20" ht="15" thickBot="1" x14ac:dyDescent="0.4">
      <c r="A47" t="s">
        <v>20</v>
      </c>
      <c r="B47">
        <v>20220719</v>
      </c>
      <c r="C47">
        <v>20220802</v>
      </c>
      <c r="D47">
        <v>14</v>
      </c>
      <c r="E47" s="1">
        <v>20220803</v>
      </c>
      <c r="F47">
        <v>20220816</v>
      </c>
      <c r="G47">
        <v>6</v>
      </c>
      <c r="H47" t="s">
        <v>21</v>
      </c>
      <c r="I47">
        <v>1</v>
      </c>
      <c r="J47">
        <v>4.5599999999999998E-3</v>
      </c>
      <c r="K47">
        <v>29.956399999999999</v>
      </c>
      <c r="L47">
        <v>0.45</v>
      </c>
      <c r="M47">
        <v>31</v>
      </c>
      <c r="N47">
        <v>2.82</v>
      </c>
      <c r="O47">
        <v>4.01</v>
      </c>
      <c r="P47">
        <v>4.46</v>
      </c>
      <c r="Q47">
        <v>2.0099999999999998</v>
      </c>
      <c r="R47">
        <f t="shared" si="0"/>
        <v>0.59102244389027425</v>
      </c>
      <c r="S47">
        <f t="shared" si="1"/>
        <v>0.40897755610972575</v>
      </c>
      <c r="T47">
        <f t="shared" si="2"/>
        <v>4.1187955112219447E-2</v>
      </c>
    </row>
    <row r="48" spans="1:20" ht="15" thickBot="1" x14ac:dyDescent="0.4">
      <c r="A48" t="s">
        <v>20</v>
      </c>
      <c r="B48">
        <v>20220719</v>
      </c>
      <c r="C48">
        <v>20220802</v>
      </c>
      <c r="D48">
        <v>14</v>
      </c>
      <c r="E48" s="1">
        <v>20220803</v>
      </c>
      <c r="F48">
        <v>20220816</v>
      </c>
      <c r="G48">
        <v>6</v>
      </c>
      <c r="H48" t="s">
        <v>21</v>
      </c>
      <c r="I48">
        <v>2</v>
      </c>
      <c r="J48">
        <v>4.5599999999999998E-3</v>
      </c>
      <c r="K48">
        <v>19.987100000000002</v>
      </c>
      <c r="L48">
        <v>0.45</v>
      </c>
      <c r="M48">
        <v>18.989999999999998</v>
      </c>
      <c r="N48">
        <v>2.85</v>
      </c>
      <c r="O48">
        <v>3.95</v>
      </c>
      <c r="P48">
        <v>4.45</v>
      </c>
      <c r="Q48">
        <v>1.99</v>
      </c>
      <c r="R48">
        <f t="shared" si="0"/>
        <v>0.59493670886075944</v>
      </c>
      <c r="S48">
        <f t="shared" si="1"/>
        <v>0.40506329113924056</v>
      </c>
      <c r="T48">
        <f t="shared" si="2"/>
        <v>4.1183924050632911E-2</v>
      </c>
    </row>
    <row r="49" spans="1:20" ht="15" thickBot="1" x14ac:dyDescent="0.4">
      <c r="A49" t="s">
        <v>20</v>
      </c>
      <c r="B49">
        <v>20220719</v>
      </c>
      <c r="C49">
        <v>20220802</v>
      </c>
      <c r="D49">
        <v>14</v>
      </c>
      <c r="E49" s="1">
        <v>20220803</v>
      </c>
      <c r="F49">
        <v>20220816</v>
      </c>
      <c r="G49">
        <v>6</v>
      </c>
      <c r="H49" t="s">
        <v>21</v>
      </c>
      <c r="I49">
        <v>3</v>
      </c>
      <c r="J49">
        <v>4.5599999999999998E-3</v>
      </c>
      <c r="K49">
        <v>29.986899999999999</v>
      </c>
      <c r="L49">
        <v>0.45</v>
      </c>
      <c r="M49">
        <v>32.72</v>
      </c>
      <c r="N49">
        <v>3.12</v>
      </c>
      <c r="O49">
        <v>4.05</v>
      </c>
      <c r="P49">
        <v>4.67</v>
      </c>
      <c r="Q49">
        <v>2.04</v>
      </c>
      <c r="R49">
        <f t="shared" si="0"/>
        <v>0.61728395061728403</v>
      </c>
      <c r="S49">
        <f t="shared" si="1"/>
        <v>0.38271604938271597</v>
      </c>
      <c r="T49">
        <f t="shared" si="2"/>
        <v>4.1259259259259259E-2</v>
      </c>
    </row>
    <row r="50" spans="1:20" ht="15" thickBot="1" x14ac:dyDescent="0.4">
      <c r="A50" t="s">
        <v>20</v>
      </c>
      <c r="B50">
        <v>20220719</v>
      </c>
      <c r="C50">
        <v>20220802</v>
      </c>
      <c r="D50">
        <v>14</v>
      </c>
      <c r="E50" s="1">
        <v>20220803</v>
      </c>
      <c r="F50">
        <v>20220816</v>
      </c>
      <c r="G50">
        <v>6</v>
      </c>
      <c r="H50" t="s">
        <v>22</v>
      </c>
      <c r="I50">
        <v>1</v>
      </c>
      <c r="J50">
        <v>4.5599999999999998E-3</v>
      </c>
      <c r="K50">
        <v>29.962800000000001</v>
      </c>
      <c r="L50">
        <v>0.45</v>
      </c>
      <c r="M50">
        <v>38.43</v>
      </c>
      <c r="N50">
        <v>2.96</v>
      </c>
      <c r="O50">
        <v>4.01</v>
      </c>
      <c r="P50">
        <v>4.47</v>
      </c>
      <c r="Q50">
        <v>2.0099999999999998</v>
      </c>
      <c r="R50">
        <f t="shared" si="0"/>
        <v>0.62344139650872821</v>
      </c>
      <c r="S50">
        <f t="shared" si="1"/>
        <v>0.37655860349127179</v>
      </c>
      <c r="T50">
        <f t="shared" si="2"/>
        <v>4.1253117206982541E-2</v>
      </c>
    </row>
    <row r="51" spans="1:20" ht="15" thickBot="1" x14ac:dyDescent="0.4">
      <c r="A51" t="s">
        <v>20</v>
      </c>
      <c r="B51">
        <v>20220719</v>
      </c>
      <c r="C51">
        <v>20220802</v>
      </c>
      <c r="D51">
        <v>14</v>
      </c>
      <c r="E51" s="1">
        <v>20220803</v>
      </c>
      <c r="F51">
        <v>20220816</v>
      </c>
      <c r="G51">
        <v>6</v>
      </c>
      <c r="H51" t="s">
        <v>22</v>
      </c>
      <c r="I51">
        <v>2</v>
      </c>
      <c r="J51">
        <v>4.5599999999999998E-3</v>
      </c>
      <c r="K51">
        <v>20.046500000000002</v>
      </c>
      <c r="L51">
        <v>0.45</v>
      </c>
      <c r="M51">
        <v>24.21</v>
      </c>
      <c r="N51">
        <v>3.11</v>
      </c>
      <c r="O51">
        <v>4</v>
      </c>
      <c r="P51">
        <v>4.1900000000000004</v>
      </c>
      <c r="Q51">
        <v>2.04</v>
      </c>
      <c r="R51">
        <f t="shared" si="0"/>
        <v>0.72999999999999987</v>
      </c>
      <c r="S51">
        <f t="shared" si="1"/>
        <v>0.27000000000000013</v>
      </c>
      <c r="T51">
        <f t="shared" si="2"/>
        <v>4.1489199999999997E-2</v>
      </c>
    </row>
    <row r="52" spans="1:20" ht="15" thickBot="1" x14ac:dyDescent="0.4">
      <c r="A52" t="s">
        <v>20</v>
      </c>
      <c r="B52">
        <v>20220719</v>
      </c>
      <c r="C52">
        <v>20220802</v>
      </c>
      <c r="D52">
        <v>14</v>
      </c>
      <c r="E52" s="1">
        <v>20220803</v>
      </c>
      <c r="F52">
        <v>20220816</v>
      </c>
      <c r="G52">
        <v>6</v>
      </c>
      <c r="H52" t="s">
        <v>22</v>
      </c>
      <c r="I52">
        <v>3</v>
      </c>
      <c r="J52">
        <v>4.5599999999999998E-3</v>
      </c>
      <c r="K52">
        <v>30.014900000000001</v>
      </c>
      <c r="L52">
        <v>0.45</v>
      </c>
      <c r="M52">
        <v>39.71</v>
      </c>
      <c r="N52">
        <v>2.85</v>
      </c>
      <c r="O52">
        <v>3.98</v>
      </c>
      <c r="P52">
        <v>4.28</v>
      </c>
      <c r="Q52">
        <v>2</v>
      </c>
      <c r="R52">
        <f t="shared" si="0"/>
        <v>0.64070351758793964</v>
      </c>
      <c r="S52">
        <f t="shared" si="1"/>
        <v>0.35929648241206036</v>
      </c>
      <c r="T52">
        <f t="shared" si="2"/>
        <v>4.1281407035175882E-2</v>
      </c>
    </row>
    <row r="53" spans="1:20" ht="15" thickBot="1" x14ac:dyDescent="0.4">
      <c r="A53" t="s">
        <v>20</v>
      </c>
      <c r="B53">
        <v>20220719</v>
      </c>
      <c r="C53">
        <v>20220802</v>
      </c>
      <c r="D53">
        <v>14</v>
      </c>
      <c r="E53" s="1">
        <v>20220803</v>
      </c>
      <c r="F53">
        <v>20220816</v>
      </c>
      <c r="G53">
        <v>6</v>
      </c>
      <c r="H53" t="s">
        <v>23</v>
      </c>
      <c r="I53">
        <v>1</v>
      </c>
      <c r="J53">
        <v>4.5599999999999998E-3</v>
      </c>
      <c r="K53">
        <v>30.04</v>
      </c>
      <c r="L53">
        <v>0.45</v>
      </c>
      <c r="M53">
        <v>39.47</v>
      </c>
      <c r="N53">
        <v>2.82</v>
      </c>
      <c r="O53">
        <v>4.03</v>
      </c>
      <c r="P53">
        <v>4.33</v>
      </c>
      <c r="Q53">
        <v>2.02</v>
      </c>
      <c r="R53">
        <f t="shared" si="0"/>
        <v>0.62531017369727049</v>
      </c>
      <c r="S53">
        <f t="shared" si="1"/>
        <v>0.37468982630272951</v>
      </c>
      <c r="T53">
        <f t="shared" si="2"/>
        <v>4.1263126550868487E-2</v>
      </c>
    </row>
    <row r="54" spans="1:20" ht="15" thickBot="1" x14ac:dyDescent="0.4">
      <c r="A54" t="s">
        <v>20</v>
      </c>
      <c r="B54">
        <v>20220719</v>
      </c>
      <c r="C54">
        <v>20220802</v>
      </c>
      <c r="D54">
        <v>14</v>
      </c>
      <c r="E54" s="1">
        <v>20220803</v>
      </c>
      <c r="F54">
        <v>20220816</v>
      </c>
      <c r="G54">
        <v>6</v>
      </c>
      <c r="H54" t="s">
        <v>23</v>
      </c>
      <c r="I54">
        <v>2</v>
      </c>
      <c r="J54">
        <v>4.5599999999999998E-3</v>
      </c>
      <c r="K54">
        <v>20.03</v>
      </c>
      <c r="L54">
        <v>0.45</v>
      </c>
      <c r="M54">
        <v>24.39</v>
      </c>
      <c r="N54">
        <v>2.84</v>
      </c>
      <c r="O54">
        <v>4.01</v>
      </c>
      <c r="P54">
        <v>4.38</v>
      </c>
      <c r="Q54">
        <v>2.0299999999999998</v>
      </c>
      <c r="R54">
        <f t="shared" si="0"/>
        <v>0.61596009975062338</v>
      </c>
      <c r="S54">
        <f t="shared" si="1"/>
        <v>0.38403990024937662</v>
      </c>
      <c r="T54">
        <f t="shared" si="2"/>
        <v>4.1250399002493762E-2</v>
      </c>
    </row>
    <row r="55" spans="1:20" ht="15" thickBot="1" x14ac:dyDescent="0.4">
      <c r="A55" t="s">
        <v>20</v>
      </c>
      <c r="B55">
        <v>20220719</v>
      </c>
      <c r="C55">
        <v>20220802</v>
      </c>
      <c r="D55">
        <v>14</v>
      </c>
      <c r="E55" s="1">
        <v>20220803</v>
      </c>
      <c r="F55">
        <v>20220816</v>
      </c>
      <c r="G55">
        <v>6</v>
      </c>
      <c r="H55" t="s">
        <v>23</v>
      </c>
      <c r="I55">
        <v>3</v>
      </c>
      <c r="J55">
        <v>4.5599999999999998E-3</v>
      </c>
      <c r="K55">
        <v>30.01</v>
      </c>
      <c r="L55">
        <v>0.45</v>
      </c>
      <c r="M55">
        <v>39.700000000000003</v>
      </c>
      <c r="N55">
        <v>2.78</v>
      </c>
      <c r="O55">
        <v>3.99</v>
      </c>
      <c r="P55">
        <v>4.24</v>
      </c>
      <c r="Q55">
        <v>2.0499999999999998</v>
      </c>
      <c r="R55">
        <f t="shared" si="0"/>
        <v>0.63408521303258136</v>
      </c>
      <c r="S55">
        <f t="shared" si="1"/>
        <v>0.36591478696741864</v>
      </c>
      <c r="T55">
        <f t="shared" si="2"/>
        <v>4.1299874686716788E-2</v>
      </c>
    </row>
    <row r="56" spans="1:20" ht="15" thickBot="1" x14ac:dyDescent="0.4">
      <c r="A56" t="s">
        <v>20</v>
      </c>
      <c r="B56">
        <v>20220719</v>
      </c>
      <c r="C56">
        <v>20220802</v>
      </c>
      <c r="D56">
        <v>14</v>
      </c>
      <c r="E56" s="1">
        <v>20220803</v>
      </c>
      <c r="F56">
        <v>20220816</v>
      </c>
      <c r="G56">
        <v>7</v>
      </c>
      <c r="H56" t="s">
        <v>21</v>
      </c>
      <c r="I56">
        <v>1</v>
      </c>
      <c r="J56">
        <v>4.5599999999999998E-3</v>
      </c>
      <c r="K56">
        <v>29.96</v>
      </c>
      <c r="L56">
        <v>0.45</v>
      </c>
      <c r="M56">
        <v>37.47</v>
      </c>
      <c r="N56">
        <v>2.68</v>
      </c>
      <c r="O56">
        <v>3.99</v>
      </c>
      <c r="P56">
        <v>4.25</v>
      </c>
      <c r="Q56">
        <v>1.98</v>
      </c>
      <c r="R56">
        <f t="shared" si="0"/>
        <v>0.60651629072681712</v>
      </c>
      <c r="S56">
        <f t="shared" si="1"/>
        <v>0.39348370927318288</v>
      </c>
      <c r="T56">
        <f t="shared" si="2"/>
        <v>4.1200902255639098E-2</v>
      </c>
    </row>
    <row r="57" spans="1:20" ht="15" thickBot="1" x14ac:dyDescent="0.4">
      <c r="A57" t="s">
        <v>20</v>
      </c>
      <c r="B57">
        <v>20220719</v>
      </c>
      <c r="C57">
        <v>20220802</v>
      </c>
      <c r="D57">
        <v>14</v>
      </c>
      <c r="E57" s="1">
        <v>20220803</v>
      </c>
      <c r="F57">
        <v>20220816</v>
      </c>
      <c r="G57">
        <v>7</v>
      </c>
      <c r="H57" t="s">
        <v>21</v>
      </c>
      <c r="I57">
        <v>2</v>
      </c>
      <c r="J57">
        <v>4.5599999999999998E-3</v>
      </c>
      <c r="K57">
        <v>19.96</v>
      </c>
      <c r="L57">
        <v>0.45</v>
      </c>
      <c r="M57">
        <v>23.8</v>
      </c>
      <c r="N57">
        <v>2.83</v>
      </c>
      <c r="O57">
        <v>4.05</v>
      </c>
      <c r="P57">
        <v>4.3600000000000003</v>
      </c>
      <c r="Q57">
        <v>2</v>
      </c>
      <c r="R57">
        <f t="shared" si="0"/>
        <v>0.62222222222222212</v>
      </c>
      <c r="S57">
        <f t="shared" si="1"/>
        <v>0.37777777777777788</v>
      </c>
      <c r="T57">
        <f t="shared" si="2"/>
        <v>4.1244444444444445E-2</v>
      </c>
    </row>
    <row r="58" spans="1:20" ht="15" thickBot="1" x14ac:dyDescent="0.4">
      <c r="A58" t="s">
        <v>20</v>
      </c>
      <c r="B58">
        <v>20220719</v>
      </c>
      <c r="C58">
        <v>20220802</v>
      </c>
      <c r="D58">
        <v>14</v>
      </c>
      <c r="E58" s="1">
        <v>20220803</v>
      </c>
      <c r="F58">
        <v>20220816</v>
      </c>
      <c r="G58">
        <v>7</v>
      </c>
      <c r="H58" t="s">
        <v>21</v>
      </c>
      <c r="I58">
        <v>3</v>
      </c>
      <c r="J58">
        <v>4.5599999999999998E-3</v>
      </c>
      <c r="K58">
        <v>30.03</v>
      </c>
      <c r="L58">
        <v>0.45</v>
      </c>
      <c r="M58">
        <v>39.21</v>
      </c>
      <c r="N58">
        <v>2.85</v>
      </c>
      <c r="O58">
        <v>3.98</v>
      </c>
      <c r="P58">
        <v>4.3099999999999996</v>
      </c>
      <c r="Q58">
        <v>2.02</v>
      </c>
      <c r="R58">
        <f t="shared" si="0"/>
        <v>0.63316582914572872</v>
      </c>
      <c r="S58">
        <f t="shared" si="1"/>
        <v>0.36683417085427128</v>
      </c>
      <c r="T58">
        <f t="shared" si="2"/>
        <v>4.1278994974874375E-2</v>
      </c>
    </row>
    <row r="59" spans="1:20" ht="15" thickBot="1" x14ac:dyDescent="0.4">
      <c r="A59" t="s">
        <v>20</v>
      </c>
      <c r="B59">
        <v>20220719</v>
      </c>
      <c r="C59">
        <v>20220802</v>
      </c>
      <c r="D59">
        <v>14</v>
      </c>
      <c r="E59" s="1">
        <v>20220803</v>
      </c>
      <c r="F59">
        <v>20220816</v>
      </c>
      <c r="G59">
        <v>7</v>
      </c>
      <c r="H59" t="s">
        <v>22</v>
      </c>
      <c r="I59">
        <v>1</v>
      </c>
      <c r="J59">
        <v>4.5599999999999998E-3</v>
      </c>
      <c r="K59">
        <v>29.98</v>
      </c>
      <c r="L59">
        <v>0.45</v>
      </c>
      <c r="M59">
        <v>36.619999999999997</v>
      </c>
      <c r="N59">
        <v>2.86</v>
      </c>
      <c r="O59">
        <v>4.01</v>
      </c>
      <c r="P59">
        <v>4.46</v>
      </c>
      <c r="Q59">
        <v>2</v>
      </c>
      <c r="R59">
        <f t="shared" si="0"/>
        <v>0.60099750623441395</v>
      </c>
      <c r="S59">
        <f t="shared" si="1"/>
        <v>0.39900249376558605</v>
      </c>
      <c r="T59">
        <f t="shared" si="2"/>
        <v>4.120199501246883E-2</v>
      </c>
    </row>
    <row r="60" spans="1:20" ht="15" thickBot="1" x14ac:dyDescent="0.4">
      <c r="A60" t="s">
        <v>20</v>
      </c>
      <c r="B60">
        <v>20220719</v>
      </c>
      <c r="C60">
        <v>20220802</v>
      </c>
      <c r="D60">
        <v>14</v>
      </c>
      <c r="E60" s="1">
        <v>20220803</v>
      </c>
      <c r="F60">
        <v>20220816</v>
      </c>
      <c r="G60">
        <v>7</v>
      </c>
      <c r="H60" t="s">
        <v>22</v>
      </c>
      <c r="I60">
        <v>2</v>
      </c>
      <c r="J60">
        <v>4.5599999999999998E-3</v>
      </c>
      <c r="K60">
        <v>20.04</v>
      </c>
      <c r="L60">
        <v>0.45</v>
      </c>
      <c r="M60">
        <v>23.64</v>
      </c>
      <c r="N60">
        <v>2.89</v>
      </c>
      <c r="O60">
        <v>3.97</v>
      </c>
      <c r="P60">
        <v>4.38</v>
      </c>
      <c r="Q60">
        <v>2.0299999999999998</v>
      </c>
      <c r="R60">
        <f t="shared" si="0"/>
        <v>0.62468513853904295</v>
      </c>
      <c r="S60">
        <f t="shared" si="1"/>
        <v>0.37531486146095705</v>
      </c>
      <c r="T60">
        <f t="shared" si="2"/>
        <v>4.1268110831234259E-2</v>
      </c>
    </row>
    <row r="61" spans="1:20" ht="15" thickBot="1" x14ac:dyDescent="0.4">
      <c r="A61" t="s">
        <v>20</v>
      </c>
      <c r="B61">
        <v>20220719</v>
      </c>
      <c r="C61">
        <v>20220802</v>
      </c>
      <c r="D61">
        <v>14</v>
      </c>
      <c r="E61" s="1">
        <v>20220803</v>
      </c>
      <c r="F61">
        <v>20220816</v>
      </c>
      <c r="G61">
        <v>7</v>
      </c>
      <c r="H61" t="s">
        <v>22</v>
      </c>
      <c r="I61">
        <v>3</v>
      </c>
      <c r="J61">
        <v>4.5599999999999998E-3</v>
      </c>
      <c r="K61">
        <v>29.99</v>
      </c>
      <c r="L61">
        <v>0.45</v>
      </c>
      <c r="M61">
        <v>39.36</v>
      </c>
      <c r="N61">
        <v>2.96</v>
      </c>
      <c r="O61">
        <v>4.0199999999999996</v>
      </c>
      <c r="P61">
        <v>4.42</v>
      </c>
      <c r="Q61">
        <v>2.04</v>
      </c>
      <c r="R61">
        <f t="shared" si="0"/>
        <v>0.63681592039800994</v>
      </c>
      <c r="S61">
        <f t="shared" si="1"/>
        <v>0.36318407960199006</v>
      </c>
      <c r="T61">
        <f t="shared" si="2"/>
        <v>4.1299104477611939E-2</v>
      </c>
    </row>
    <row r="62" spans="1:20" ht="15" thickBot="1" x14ac:dyDescent="0.4">
      <c r="A62" t="s">
        <v>20</v>
      </c>
      <c r="B62">
        <v>20220719</v>
      </c>
      <c r="C62">
        <v>20220802</v>
      </c>
      <c r="D62">
        <v>14</v>
      </c>
      <c r="E62" s="1">
        <v>20220803</v>
      </c>
      <c r="F62">
        <v>20220816</v>
      </c>
      <c r="G62">
        <v>7</v>
      </c>
      <c r="H62" t="s">
        <v>23</v>
      </c>
      <c r="I62">
        <v>1</v>
      </c>
      <c r="J62">
        <v>4.5599999999999998E-3</v>
      </c>
      <c r="K62">
        <v>30.05</v>
      </c>
      <c r="L62">
        <v>0.45</v>
      </c>
      <c r="M62">
        <v>39.72</v>
      </c>
      <c r="N62">
        <v>2.94</v>
      </c>
      <c r="O62">
        <v>4.0199999999999996</v>
      </c>
      <c r="P62">
        <v>4.4800000000000004</v>
      </c>
      <c r="Q62">
        <v>1.99</v>
      </c>
      <c r="R62">
        <f t="shared" si="0"/>
        <v>0.616915422885572</v>
      </c>
      <c r="S62">
        <f t="shared" si="1"/>
        <v>0.383084577114428</v>
      </c>
      <c r="T62">
        <f t="shared" si="2"/>
        <v>4.1227661691542287E-2</v>
      </c>
    </row>
    <row r="63" spans="1:20" ht="15" thickBot="1" x14ac:dyDescent="0.4">
      <c r="A63" t="s">
        <v>20</v>
      </c>
      <c r="B63">
        <v>20220719</v>
      </c>
      <c r="C63">
        <v>20220802</v>
      </c>
      <c r="D63">
        <v>14</v>
      </c>
      <c r="E63" s="1">
        <v>20220803</v>
      </c>
      <c r="F63">
        <v>20220816</v>
      </c>
      <c r="G63">
        <v>7</v>
      </c>
      <c r="H63" t="s">
        <v>23</v>
      </c>
      <c r="I63">
        <v>2</v>
      </c>
      <c r="J63">
        <v>4.5599999999999998E-3</v>
      </c>
      <c r="K63">
        <v>20.010000000000002</v>
      </c>
      <c r="L63">
        <v>0.45</v>
      </c>
      <c r="M63">
        <v>24.41</v>
      </c>
      <c r="N63">
        <v>2.96</v>
      </c>
      <c r="O63">
        <v>4.01</v>
      </c>
      <c r="P63">
        <v>4.46</v>
      </c>
      <c r="Q63">
        <v>1.97</v>
      </c>
      <c r="R63">
        <f t="shared" si="0"/>
        <v>0.62593516209476308</v>
      </c>
      <c r="S63">
        <f t="shared" si="1"/>
        <v>0.37406483790523692</v>
      </c>
      <c r="T63">
        <f t="shared" si="2"/>
        <v>4.1233092269326685E-2</v>
      </c>
    </row>
    <row r="64" spans="1:20" ht="15" thickBot="1" x14ac:dyDescent="0.4">
      <c r="A64" t="s">
        <v>20</v>
      </c>
      <c r="B64">
        <v>20220719</v>
      </c>
      <c r="C64">
        <v>20220802</v>
      </c>
      <c r="D64">
        <v>14</v>
      </c>
      <c r="E64" s="1">
        <v>20220803</v>
      </c>
      <c r="F64">
        <v>20220816</v>
      </c>
      <c r="G64">
        <v>7</v>
      </c>
      <c r="H64" t="s">
        <v>23</v>
      </c>
      <c r="I64">
        <v>3</v>
      </c>
      <c r="J64">
        <v>4.5599999999999998E-3</v>
      </c>
      <c r="K64">
        <v>30.01</v>
      </c>
      <c r="L64">
        <v>0.45</v>
      </c>
      <c r="M64">
        <v>39.25</v>
      </c>
      <c r="N64">
        <v>2.79</v>
      </c>
      <c r="O64">
        <v>3.98</v>
      </c>
      <c r="P64">
        <v>4.28</v>
      </c>
      <c r="Q64">
        <v>2</v>
      </c>
      <c r="R64">
        <f t="shared" si="0"/>
        <v>0.62562814070351758</v>
      </c>
      <c r="S64">
        <f t="shared" si="1"/>
        <v>0.37437185929648242</v>
      </c>
      <c r="T64">
        <f t="shared" si="2"/>
        <v>4.1251256281407037E-2</v>
      </c>
    </row>
    <row r="65" spans="1:20" ht="15" thickBot="1" x14ac:dyDescent="0.4">
      <c r="A65" t="s">
        <v>20</v>
      </c>
      <c r="B65">
        <v>20220719</v>
      </c>
      <c r="C65">
        <v>20220802</v>
      </c>
      <c r="D65">
        <v>14</v>
      </c>
      <c r="E65" s="1">
        <v>20220803</v>
      </c>
      <c r="F65">
        <v>20220816</v>
      </c>
      <c r="G65">
        <v>8</v>
      </c>
      <c r="H65" t="s">
        <v>21</v>
      </c>
      <c r="I65">
        <v>1</v>
      </c>
      <c r="J65">
        <v>4.5599999999999998E-3</v>
      </c>
      <c r="K65">
        <v>30.04</v>
      </c>
      <c r="L65">
        <v>0.45</v>
      </c>
      <c r="M65">
        <v>33.32</v>
      </c>
      <c r="N65">
        <v>2.8</v>
      </c>
      <c r="O65">
        <v>3.98</v>
      </c>
      <c r="P65">
        <v>4.3099999999999996</v>
      </c>
      <c r="Q65">
        <v>2</v>
      </c>
      <c r="R65">
        <f t="shared" si="0"/>
        <v>0.62060301507537696</v>
      </c>
      <c r="S65">
        <f t="shared" si="1"/>
        <v>0.37939698492462304</v>
      </c>
      <c r="T65">
        <f t="shared" si="2"/>
        <v>4.1241206030150759E-2</v>
      </c>
    </row>
    <row r="66" spans="1:20" ht="15" thickBot="1" x14ac:dyDescent="0.4">
      <c r="A66" t="s">
        <v>20</v>
      </c>
      <c r="B66">
        <v>20220719</v>
      </c>
      <c r="C66">
        <v>20220802</v>
      </c>
      <c r="D66">
        <v>14</v>
      </c>
      <c r="E66" s="1">
        <v>20220803</v>
      </c>
      <c r="F66">
        <v>20220816</v>
      </c>
      <c r="G66">
        <v>8</v>
      </c>
      <c r="H66" t="s">
        <v>21</v>
      </c>
      <c r="I66">
        <v>2</v>
      </c>
      <c r="J66">
        <v>4.5599999999999998E-3</v>
      </c>
      <c r="K66">
        <v>20.04</v>
      </c>
      <c r="L66">
        <v>0.45</v>
      </c>
      <c r="M66">
        <v>17.350000000000001</v>
      </c>
      <c r="N66">
        <v>2.78</v>
      </c>
      <c r="O66">
        <v>3.97</v>
      </c>
      <c r="P66">
        <v>4.47</v>
      </c>
      <c r="Q66">
        <v>2.02</v>
      </c>
      <c r="R66">
        <f t="shared" si="0"/>
        <v>0.5743073047858942</v>
      </c>
      <c r="S66">
        <f t="shared" si="1"/>
        <v>0.4256926952141058</v>
      </c>
      <c r="T66">
        <f t="shared" si="2"/>
        <v>4.1160100755667506E-2</v>
      </c>
    </row>
    <row r="67" spans="1:20" ht="15" thickBot="1" x14ac:dyDescent="0.4">
      <c r="A67" t="s">
        <v>20</v>
      </c>
      <c r="B67">
        <v>20220719</v>
      </c>
      <c r="C67">
        <v>20220802</v>
      </c>
      <c r="D67">
        <v>14</v>
      </c>
      <c r="E67" s="1">
        <v>20220803</v>
      </c>
      <c r="F67">
        <v>20220816</v>
      </c>
      <c r="G67">
        <v>8</v>
      </c>
      <c r="H67" t="s">
        <v>21</v>
      </c>
      <c r="I67">
        <v>3</v>
      </c>
      <c r="J67">
        <v>4.5599999999999998E-3</v>
      </c>
      <c r="K67">
        <v>30.02</v>
      </c>
      <c r="L67">
        <v>0.45</v>
      </c>
      <c r="M67">
        <v>31.99</v>
      </c>
      <c r="N67">
        <v>2.83</v>
      </c>
      <c r="O67">
        <v>3.97</v>
      </c>
      <c r="P67">
        <v>4.3499999999999996</v>
      </c>
      <c r="Q67">
        <v>1.98</v>
      </c>
      <c r="R67">
        <f t="shared" ref="R67:R82" si="3">(O67-(P67-N67))/O67</f>
        <v>0.61712846347607064</v>
      </c>
      <c r="S67">
        <f t="shared" si="1"/>
        <v>0.38287153652392936</v>
      </c>
      <c r="T67">
        <f t="shared" si="2"/>
        <v>4.1221914357682618E-2</v>
      </c>
    </row>
    <row r="68" spans="1:20" ht="15" thickBot="1" x14ac:dyDescent="0.4">
      <c r="A68" t="s">
        <v>20</v>
      </c>
      <c r="B68">
        <v>20220719</v>
      </c>
      <c r="C68">
        <v>20220802</v>
      </c>
      <c r="D68">
        <v>14</v>
      </c>
      <c r="E68" s="1">
        <v>20220803</v>
      </c>
      <c r="F68">
        <v>20220816</v>
      </c>
      <c r="G68">
        <v>8</v>
      </c>
      <c r="H68" t="s">
        <v>22</v>
      </c>
      <c r="I68">
        <v>1</v>
      </c>
      <c r="J68">
        <v>4.5599999999999998E-3</v>
      </c>
      <c r="K68">
        <v>29.95</v>
      </c>
      <c r="L68">
        <v>0.45</v>
      </c>
      <c r="M68">
        <v>34.57</v>
      </c>
      <c r="N68">
        <v>2.82</v>
      </c>
      <c r="O68">
        <v>3.95</v>
      </c>
      <c r="P68">
        <v>4.33</v>
      </c>
      <c r="Q68">
        <v>1.97</v>
      </c>
      <c r="R68">
        <f t="shared" si="3"/>
        <v>0.61772151898734173</v>
      </c>
      <c r="S68">
        <f t="shared" ref="S68:S82" si="4">1-R68</f>
        <v>0.38227848101265827</v>
      </c>
      <c r="T68">
        <f t="shared" ref="T68:T82" si="5">(40+(Q68*R68))/1000</f>
        <v>4.1216911392405069E-2</v>
      </c>
    </row>
    <row r="69" spans="1:20" ht="15" thickBot="1" x14ac:dyDescent="0.4">
      <c r="A69" t="s">
        <v>20</v>
      </c>
      <c r="B69">
        <v>20220719</v>
      </c>
      <c r="C69">
        <v>20220802</v>
      </c>
      <c r="D69">
        <v>14</v>
      </c>
      <c r="E69" s="1">
        <v>20220803</v>
      </c>
      <c r="F69">
        <v>20220816</v>
      </c>
      <c r="G69">
        <v>8</v>
      </c>
      <c r="H69" t="s">
        <v>22</v>
      </c>
      <c r="I69">
        <v>2</v>
      </c>
      <c r="J69">
        <v>4.5599999999999998E-3</v>
      </c>
      <c r="K69">
        <v>19.989999999999998</v>
      </c>
      <c r="L69">
        <v>0.45</v>
      </c>
      <c r="M69">
        <v>21.12</v>
      </c>
      <c r="N69">
        <v>2.83</v>
      </c>
      <c r="O69">
        <v>3.98</v>
      </c>
      <c r="P69">
        <v>4.3099999999999996</v>
      </c>
      <c r="Q69">
        <v>2.04</v>
      </c>
      <c r="R69">
        <f t="shared" si="3"/>
        <v>0.62814070351758811</v>
      </c>
      <c r="S69">
        <f t="shared" si="4"/>
        <v>0.37185929648241189</v>
      </c>
      <c r="T69">
        <f t="shared" si="5"/>
        <v>4.1281407035175882E-2</v>
      </c>
    </row>
    <row r="70" spans="1:20" ht="15" thickBot="1" x14ac:dyDescent="0.4">
      <c r="A70" t="s">
        <v>20</v>
      </c>
      <c r="B70">
        <v>20220719</v>
      </c>
      <c r="C70">
        <v>20220802</v>
      </c>
      <c r="D70">
        <v>14</v>
      </c>
      <c r="E70" s="1">
        <v>20220803</v>
      </c>
      <c r="F70">
        <v>20220816</v>
      </c>
      <c r="G70">
        <v>8</v>
      </c>
      <c r="H70" t="s">
        <v>22</v>
      </c>
      <c r="I70">
        <v>3</v>
      </c>
      <c r="J70">
        <v>4.5599999999999998E-3</v>
      </c>
      <c r="K70">
        <v>30.05</v>
      </c>
      <c r="L70">
        <v>0.45</v>
      </c>
      <c r="M70">
        <v>34.53</v>
      </c>
      <c r="N70">
        <v>2.88</v>
      </c>
      <c r="O70">
        <v>4.0199999999999996</v>
      </c>
      <c r="P70">
        <v>4.37</v>
      </c>
      <c r="Q70">
        <v>1.99</v>
      </c>
      <c r="R70">
        <f t="shared" si="3"/>
        <v>0.62935323383084563</v>
      </c>
      <c r="S70">
        <f t="shared" si="4"/>
        <v>0.37064676616915437</v>
      </c>
      <c r="T70">
        <f t="shared" si="5"/>
        <v>4.1252412935323383E-2</v>
      </c>
    </row>
    <row r="71" spans="1:20" ht="15" thickBot="1" x14ac:dyDescent="0.4">
      <c r="A71" t="s">
        <v>20</v>
      </c>
      <c r="B71">
        <v>20220719</v>
      </c>
      <c r="C71">
        <v>20220802</v>
      </c>
      <c r="D71">
        <v>14</v>
      </c>
      <c r="E71" s="1">
        <v>20220803</v>
      </c>
      <c r="F71">
        <v>20220816</v>
      </c>
      <c r="G71">
        <v>8</v>
      </c>
      <c r="H71" t="s">
        <v>23</v>
      </c>
      <c r="I71">
        <v>1</v>
      </c>
      <c r="J71">
        <v>4.5599999999999998E-3</v>
      </c>
      <c r="K71">
        <v>30.03</v>
      </c>
      <c r="L71">
        <v>0.45</v>
      </c>
      <c r="M71">
        <v>31.35</v>
      </c>
      <c r="N71">
        <v>2.83</v>
      </c>
      <c r="O71">
        <v>4.0199999999999996</v>
      </c>
      <c r="P71">
        <v>4.43</v>
      </c>
      <c r="Q71">
        <v>2.0299999999999998</v>
      </c>
      <c r="R71">
        <f t="shared" si="3"/>
        <v>0.60199004975124382</v>
      </c>
      <c r="S71">
        <f t="shared" si="4"/>
        <v>0.39800995024875618</v>
      </c>
      <c r="T71">
        <f t="shared" si="5"/>
        <v>4.1222039800995029E-2</v>
      </c>
    </row>
    <row r="72" spans="1:20" ht="15" thickBot="1" x14ac:dyDescent="0.4">
      <c r="A72" t="s">
        <v>20</v>
      </c>
      <c r="B72">
        <v>20220719</v>
      </c>
      <c r="C72">
        <v>20220802</v>
      </c>
      <c r="D72">
        <v>14</v>
      </c>
      <c r="E72" s="1">
        <v>20220803</v>
      </c>
      <c r="F72">
        <v>20220816</v>
      </c>
      <c r="G72">
        <v>8</v>
      </c>
      <c r="H72" t="s">
        <v>23</v>
      </c>
      <c r="I72">
        <v>2</v>
      </c>
      <c r="J72">
        <v>4.5599999999999998E-3</v>
      </c>
      <c r="K72">
        <v>19.96</v>
      </c>
      <c r="L72">
        <v>0.45</v>
      </c>
      <c r="M72">
        <v>20.100000000000001</v>
      </c>
      <c r="N72">
        <v>2.85</v>
      </c>
      <c r="O72">
        <v>3.98</v>
      </c>
      <c r="P72">
        <v>4.4000000000000004</v>
      </c>
      <c r="Q72">
        <v>1.96</v>
      </c>
      <c r="R72">
        <f t="shared" si="3"/>
        <v>0.6105527638190954</v>
      </c>
      <c r="S72">
        <f t="shared" si="4"/>
        <v>0.3894472361809046</v>
      </c>
      <c r="T72">
        <f t="shared" si="5"/>
        <v>4.1196683417085427E-2</v>
      </c>
    </row>
    <row r="73" spans="1:20" ht="15" thickBot="1" x14ac:dyDescent="0.4">
      <c r="A73" t="s">
        <v>20</v>
      </c>
      <c r="B73">
        <v>20220719</v>
      </c>
      <c r="C73">
        <v>20220802</v>
      </c>
      <c r="D73">
        <v>14</v>
      </c>
      <c r="E73" s="1">
        <v>20220803</v>
      </c>
      <c r="F73">
        <v>20220816</v>
      </c>
      <c r="G73">
        <v>8</v>
      </c>
      <c r="H73" t="s">
        <v>23</v>
      </c>
      <c r="I73">
        <v>3</v>
      </c>
      <c r="J73">
        <v>4.5599999999999998E-3</v>
      </c>
      <c r="K73">
        <v>30.03</v>
      </c>
      <c r="L73">
        <v>0.45</v>
      </c>
      <c r="M73">
        <v>36.24</v>
      </c>
      <c r="N73">
        <v>2.87</v>
      </c>
      <c r="O73">
        <v>3.99</v>
      </c>
      <c r="P73">
        <v>4.3499999999999996</v>
      </c>
      <c r="Q73">
        <v>2.04</v>
      </c>
      <c r="R73">
        <f t="shared" si="3"/>
        <v>0.62907268170426078</v>
      </c>
      <c r="S73">
        <f t="shared" si="4"/>
        <v>0.37092731829573922</v>
      </c>
      <c r="T73">
        <f t="shared" si="5"/>
        <v>4.1283308270676694E-2</v>
      </c>
    </row>
    <row r="74" spans="1:20" ht="15" thickBot="1" x14ac:dyDescent="0.4">
      <c r="A74" t="s">
        <v>20</v>
      </c>
      <c r="B74">
        <v>20220719</v>
      </c>
      <c r="C74">
        <v>20220802</v>
      </c>
      <c r="D74">
        <v>14</v>
      </c>
      <c r="E74" s="1">
        <v>20220803</v>
      </c>
      <c r="F74">
        <v>20220816</v>
      </c>
      <c r="G74">
        <v>9</v>
      </c>
      <c r="H74" t="s">
        <v>21</v>
      </c>
      <c r="I74">
        <v>1</v>
      </c>
      <c r="J74">
        <v>4.5599999999999998E-3</v>
      </c>
      <c r="K74">
        <v>29.97</v>
      </c>
      <c r="L74">
        <v>0.45</v>
      </c>
      <c r="M74">
        <v>39.270000000000003</v>
      </c>
      <c r="N74">
        <v>2.87</v>
      </c>
      <c r="O74">
        <v>4.01</v>
      </c>
      <c r="P74">
        <v>4.3499999999999996</v>
      </c>
      <c r="Q74">
        <v>2.0099999999999998</v>
      </c>
      <c r="R74">
        <f t="shared" si="3"/>
        <v>0.63092269326683303</v>
      </c>
      <c r="S74">
        <f t="shared" si="4"/>
        <v>0.36907730673316697</v>
      </c>
      <c r="T74">
        <f t="shared" si="5"/>
        <v>4.1268154613466335E-2</v>
      </c>
    </row>
    <row r="75" spans="1:20" ht="15" thickBot="1" x14ac:dyDescent="0.4">
      <c r="A75" t="s">
        <v>20</v>
      </c>
      <c r="B75">
        <v>20220719</v>
      </c>
      <c r="C75">
        <v>20220802</v>
      </c>
      <c r="D75">
        <v>14</v>
      </c>
      <c r="E75" s="1">
        <v>20220803</v>
      </c>
      <c r="F75">
        <v>20220816</v>
      </c>
      <c r="G75">
        <v>9</v>
      </c>
      <c r="H75" t="s">
        <v>21</v>
      </c>
      <c r="I75">
        <v>2</v>
      </c>
      <c r="J75">
        <v>4.5599999999999998E-3</v>
      </c>
      <c r="K75">
        <v>20.02</v>
      </c>
      <c r="L75">
        <v>0.45</v>
      </c>
      <c r="M75">
        <v>23.14</v>
      </c>
      <c r="N75">
        <v>2.88</v>
      </c>
      <c r="O75">
        <v>4.01</v>
      </c>
      <c r="P75">
        <v>4.4000000000000004</v>
      </c>
      <c r="Q75">
        <v>2.0299999999999998</v>
      </c>
      <c r="R75">
        <f t="shared" si="3"/>
        <v>0.62094763092269312</v>
      </c>
      <c r="S75">
        <f t="shared" si="4"/>
        <v>0.37905236907730688</v>
      </c>
      <c r="T75">
        <f t="shared" si="5"/>
        <v>4.1260523690773071E-2</v>
      </c>
    </row>
    <row r="76" spans="1:20" ht="15" thickBot="1" x14ac:dyDescent="0.4">
      <c r="A76" t="s">
        <v>20</v>
      </c>
      <c r="B76">
        <v>20220719</v>
      </c>
      <c r="C76">
        <v>20220802</v>
      </c>
      <c r="D76">
        <v>14</v>
      </c>
      <c r="E76" s="1">
        <v>20220803</v>
      </c>
      <c r="F76">
        <v>20220816</v>
      </c>
      <c r="G76">
        <v>9</v>
      </c>
      <c r="H76" t="s">
        <v>21</v>
      </c>
      <c r="I76">
        <v>3</v>
      </c>
      <c r="J76">
        <v>4.5599999999999998E-3</v>
      </c>
      <c r="K76">
        <v>30.04</v>
      </c>
      <c r="L76">
        <v>0.45</v>
      </c>
      <c r="M76">
        <v>40.08</v>
      </c>
      <c r="N76">
        <v>2.86</v>
      </c>
      <c r="O76">
        <v>4</v>
      </c>
      <c r="P76">
        <v>4.32</v>
      </c>
      <c r="Q76">
        <v>1.95</v>
      </c>
      <c r="R76">
        <f t="shared" si="3"/>
        <v>0.6349999999999999</v>
      </c>
      <c r="S76">
        <f t="shared" si="4"/>
        <v>0.3650000000000001</v>
      </c>
      <c r="T76">
        <f t="shared" si="5"/>
        <v>4.1238250000000004E-2</v>
      </c>
    </row>
    <row r="77" spans="1:20" ht="15" thickBot="1" x14ac:dyDescent="0.4">
      <c r="A77" t="s">
        <v>20</v>
      </c>
      <c r="B77">
        <v>20220719</v>
      </c>
      <c r="C77">
        <v>20220802</v>
      </c>
      <c r="D77">
        <v>14</v>
      </c>
      <c r="E77" s="1">
        <v>20220803</v>
      </c>
      <c r="F77">
        <v>20220816</v>
      </c>
      <c r="G77">
        <v>9</v>
      </c>
      <c r="H77" t="s">
        <v>22</v>
      </c>
      <c r="I77">
        <v>1</v>
      </c>
      <c r="J77">
        <v>4.5599999999999998E-3</v>
      </c>
      <c r="K77">
        <v>30.05</v>
      </c>
      <c r="L77">
        <v>0.45</v>
      </c>
      <c r="M77">
        <v>34.32</v>
      </c>
      <c r="N77">
        <v>2.88</v>
      </c>
      <c r="O77">
        <v>3.98</v>
      </c>
      <c r="P77">
        <v>4.5199999999999996</v>
      </c>
      <c r="Q77">
        <v>1.96</v>
      </c>
      <c r="R77">
        <f t="shared" si="3"/>
        <v>0.58793969849246241</v>
      </c>
      <c r="S77">
        <f t="shared" si="4"/>
        <v>0.41206030150753759</v>
      </c>
      <c r="T77">
        <f t="shared" si="5"/>
        <v>4.1152361809045225E-2</v>
      </c>
    </row>
    <row r="78" spans="1:20" ht="15" thickBot="1" x14ac:dyDescent="0.4">
      <c r="A78" t="s">
        <v>20</v>
      </c>
      <c r="B78">
        <v>20220719</v>
      </c>
      <c r="C78">
        <v>20220802</v>
      </c>
      <c r="D78">
        <v>14</v>
      </c>
      <c r="E78" s="1">
        <v>20220803</v>
      </c>
      <c r="F78">
        <v>20220816</v>
      </c>
      <c r="G78">
        <v>9</v>
      </c>
      <c r="H78" t="s">
        <v>22</v>
      </c>
      <c r="I78">
        <v>2</v>
      </c>
      <c r="J78">
        <v>4.5599999999999998E-3</v>
      </c>
      <c r="K78">
        <v>19.97</v>
      </c>
      <c r="L78">
        <v>0.45</v>
      </c>
      <c r="M78">
        <v>22.05</v>
      </c>
      <c r="N78">
        <v>2.88</v>
      </c>
      <c r="O78">
        <v>4.03</v>
      </c>
      <c r="P78">
        <v>4.53</v>
      </c>
      <c r="Q78">
        <v>2.0099999999999998</v>
      </c>
      <c r="R78">
        <f t="shared" si="3"/>
        <v>0.59057071960297758</v>
      </c>
      <c r="S78">
        <f t="shared" si="4"/>
        <v>0.40942928039702242</v>
      </c>
      <c r="T78">
        <f t="shared" si="5"/>
        <v>4.1187047146401985E-2</v>
      </c>
    </row>
    <row r="79" spans="1:20" ht="15" thickBot="1" x14ac:dyDescent="0.4">
      <c r="A79" t="s">
        <v>20</v>
      </c>
      <c r="B79">
        <v>20220719</v>
      </c>
      <c r="C79">
        <v>20220802</v>
      </c>
      <c r="D79">
        <v>14</v>
      </c>
      <c r="E79" s="1">
        <v>20220803</v>
      </c>
      <c r="F79">
        <v>20220816</v>
      </c>
      <c r="G79">
        <v>9</v>
      </c>
      <c r="H79" t="s">
        <v>22</v>
      </c>
      <c r="I79">
        <v>3</v>
      </c>
      <c r="J79">
        <v>4.5599999999999998E-3</v>
      </c>
      <c r="K79">
        <v>30.01</v>
      </c>
      <c r="L79">
        <v>0.45</v>
      </c>
      <c r="M79">
        <v>36.68</v>
      </c>
      <c r="N79">
        <v>2.88</v>
      </c>
      <c r="O79">
        <v>4.04</v>
      </c>
      <c r="P79">
        <v>4.45</v>
      </c>
      <c r="Q79">
        <v>1.97</v>
      </c>
      <c r="R79">
        <f t="shared" si="3"/>
        <v>0.61138613861386137</v>
      </c>
      <c r="S79">
        <f t="shared" si="4"/>
        <v>0.38861386138613863</v>
      </c>
      <c r="T79">
        <f t="shared" si="5"/>
        <v>4.1204430693069304E-2</v>
      </c>
    </row>
    <row r="80" spans="1:20" ht="15" thickBot="1" x14ac:dyDescent="0.4">
      <c r="A80" t="s">
        <v>20</v>
      </c>
      <c r="B80">
        <v>20220719</v>
      </c>
      <c r="C80">
        <v>20220802</v>
      </c>
      <c r="D80">
        <v>14</v>
      </c>
      <c r="E80" s="1">
        <v>20220803</v>
      </c>
      <c r="F80">
        <v>20220816</v>
      </c>
      <c r="G80">
        <v>9</v>
      </c>
      <c r="H80" t="s">
        <v>23</v>
      </c>
      <c r="I80">
        <v>1</v>
      </c>
      <c r="J80">
        <v>4.5599999999999998E-3</v>
      </c>
      <c r="K80">
        <v>30</v>
      </c>
      <c r="L80">
        <v>0.45</v>
      </c>
      <c r="M80">
        <v>32.119999999999997</v>
      </c>
      <c r="N80">
        <v>2.87</v>
      </c>
      <c r="O80">
        <v>4.0199999999999996</v>
      </c>
      <c r="P80">
        <v>4.53</v>
      </c>
      <c r="Q80">
        <v>1.98</v>
      </c>
      <c r="R80">
        <f t="shared" si="3"/>
        <v>0.5870646766169153</v>
      </c>
      <c r="S80">
        <f t="shared" si="4"/>
        <v>0.4129353233830847</v>
      </c>
      <c r="T80">
        <f t="shared" si="5"/>
        <v>4.1162388059701495E-2</v>
      </c>
    </row>
    <row r="81" spans="1:20" ht="15" thickBot="1" x14ac:dyDescent="0.4">
      <c r="A81" t="s">
        <v>20</v>
      </c>
      <c r="B81">
        <v>20220719</v>
      </c>
      <c r="C81">
        <v>20220802</v>
      </c>
      <c r="D81">
        <v>14</v>
      </c>
      <c r="E81" s="1">
        <v>20220803</v>
      </c>
      <c r="F81">
        <v>20220816</v>
      </c>
      <c r="G81">
        <v>9</v>
      </c>
      <c r="H81" t="s">
        <v>23</v>
      </c>
      <c r="I81">
        <v>2</v>
      </c>
      <c r="J81">
        <v>4.5599999999999998E-3</v>
      </c>
      <c r="K81">
        <v>19.989999999999998</v>
      </c>
      <c r="L81">
        <v>0.45</v>
      </c>
      <c r="M81">
        <v>19.53</v>
      </c>
      <c r="N81">
        <v>2.89</v>
      </c>
      <c r="O81">
        <v>4.04</v>
      </c>
      <c r="P81">
        <v>4.62</v>
      </c>
      <c r="Q81">
        <v>2.0099999999999998</v>
      </c>
      <c r="R81">
        <f t="shared" si="3"/>
        <v>0.57178217821782173</v>
      </c>
      <c r="S81">
        <f t="shared" si="4"/>
        <v>0.42821782178217827</v>
      </c>
      <c r="T81">
        <f t="shared" si="5"/>
        <v>4.1149282178217825E-2</v>
      </c>
    </row>
    <row r="82" spans="1:20" ht="15" thickBot="1" x14ac:dyDescent="0.4">
      <c r="A82" t="s">
        <v>20</v>
      </c>
      <c r="B82">
        <v>20220719</v>
      </c>
      <c r="C82">
        <v>20220802</v>
      </c>
      <c r="D82">
        <v>14</v>
      </c>
      <c r="E82" s="1">
        <v>20220803</v>
      </c>
      <c r="F82">
        <v>20220816</v>
      </c>
      <c r="G82">
        <v>9</v>
      </c>
      <c r="H82" t="s">
        <v>23</v>
      </c>
      <c r="I82">
        <v>3</v>
      </c>
      <c r="J82">
        <v>4.5599999999999998E-3</v>
      </c>
      <c r="K82">
        <v>30.03</v>
      </c>
      <c r="L82">
        <v>0.45</v>
      </c>
      <c r="M82">
        <v>31.62</v>
      </c>
      <c r="N82">
        <v>2.86</v>
      </c>
      <c r="O82">
        <v>4.01</v>
      </c>
      <c r="P82">
        <v>4.47</v>
      </c>
      <c r="Q82">
        <v>1.95</v>
      </c>
      <c r="R82">
        <f t="shared" si="3"/>
        <v>0.59850374064837908</v>
      </c>
      <c r="S82">
        <f t="shared" si="4"/>
        <v>0.40149625935162092</v>
      </c>
      <c r="T82">
        <f t="shared" si="5"/>
        <v>4.1167082294264343E-2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Back</dc:creator>
  <cp:lastModifiedBy>Mike Back</cp:lastModifiedBy>
  <dcterms:created xsi:type="dcterms:W3CDTF">2023-09-27T17:01:06Z</dcterms:created>
  <dcterms:modified xsi:type="dcterms:W3CDTF">2023-09-27T17:11:19Z</dcterms:modified>
</cp:coreProperties>
</file>