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data\"/>
    </mc:Choice>
  </mc:AlternateContent>
  <xr:revisionPtr revIDLastSave="0" documentId="13_ncr:1_{D0545999-119F-4984-BDDD-C7335842B724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2022_2023_MAGM_ambient_concentr" sheetId="1" r:id="rId1"/>
    <sheet name="intact core amb" sheetId="2" r:id="rId2"/>
    <sheet name="resin core am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/>
  <c r="J35" i="3"/>
  <c r="K35" i="3"/>
  <c r="I35" i="3"/>
  <c r="J33" i="3"/>
  <c r="K33" i="3"/>
  <c r="I33" i="3"/>
  <c r="J29" i="3"/>
  <c r="K29" i="3"/>
  <c r="I29" i="3"/>
  <c r="K24" i="3"/>
  <c r="J24" i="3"/>
  <c r="I24" i="3"/>
  <c r="I10" i="3"/>
  <c r="I3" i="3"/>
  <c r="J3" i="3"/>
  <c r="K3" i="3"/>
  <c r="I4" i="3"/>
  <c r="J4" i="3"/>
  <c r="K4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J10" i="3"/>
  <c r="K10" i="3"/>
  <c r="K2" i="3"/>
  <c r="J2" i="3"/>
  <c r="I2" i="3"/>
</calcChain>
</file>

<file path=xl/sharedStrings.xml><?xml version="1.0" encoding="utf-8"?>
<sst xmlns="http://schemas.openxmlformats.org/spreadsheetml/2006/main" count="319" uniqueCount="153">
  <si>
    <t>SampleIdentity</t>
  </si>
  <si>
    <t>Comments</t>
  </si>
  <si>
    <t>NO3.NO2..Results</t>
  </si>
  <si>
    <t>orthoP..Results</t>
  </si>
  <si>
    <t>NH3..Results</t>
  </si>
  <si>
    <t>grasses_1_20220711_F</t>
  </si>
  <si>
    <t>grasses_2_20220711_F</t>
  </si>
  <si>
    <t>grasses_3_20220711_F</t>
  </si>
  <si>
    <t>open_water_4_20220711_F</t>
  </si>
  <si>
    <t>open_water_5_20220711_F</t>
  </si>
  <si>
    <t>open_water_6_20220711_F</t>
  </si>
  <si>
    <t>hardwoods_7_20220711_F</t>
  </si>
  <si>
    <t>hardwoods_8_20220711_F</t>
  </si>
  <si>
    <t>hardwoods_9_20220711_F</t>
  </si>
  <si>
    <t>typha_10_20220711_F</t>
  </si>
  <si>
    <t>typha_11_20220711_F</t>
  </si>
  <si>
    <t>typha_12_20220711_F</t>
  </si>
  <si>
    <t>W04127</t>
  </si>
  <si>
    <t>20230731_MAGM_openwater_1</t>
  </si>
  <si>
    <t>W04128</t>
  </si>
  <si>
    <t>20230731_MAGM_openwater_2</t>
  </si>
  <si>
    <t>W04129</t>
  </si>
  <si>
    <t>20230731_MAGM_openwater_3</t>
  </si>
  <si>
    <t>W04130</t>
  </si>
  <si>
    <t>20230731_MAGM_openwater_4_could_have_debri</t>
  </si>
  <si>
    <t>W04131</t>
  </si>
  <si>
    <t>20230731_MAGM_sav_5</t>
  </si>
  <si>
    <t>W04132</t>
  </si>
  <si>
    <t>20230731_MAGM_sav_6</t>
  </si>
  <si>
    <t>W04133</t>
  </si>
  <si>
    <t>20230731_MAGM_sav_7</t>
  </si>
  <si>
    <t>W04134</t>
  </si>
  <si>
    <t>20230731_MAGM_sav_8</t>
  </si>
  <si>
    <t>W04135</t>
  </si>
  <si>
    <t>20230731_MAGM_sav_9</t>
  </si>
  <si>
    <t>W04136</t>
  </si>
  <si>
    <t>20230731_MAGM_sav_10</t>
  </si>
  <si>
    <t>W04137</t>
  </si>
  <si>
    <t>20230731_MAGM_sav_11</t>
  </si>
  <si>
    <t>W04138</t>
  </si>
  <si>
    <t>20230731_MAGM_sav_12</t>
  </si>
  <si>
    <t>W04139</t>
  </si>
  <si>
    <t>20230731_MAGM_hardwoods_13</t>
  </si>
  <si>
    <t>W04140</t>
  </si>
  <si>
    <t>20230731_MAGM_hardwoods_14</t>
  </si>
  <si>
    <t>W04141</t>
  </si>
  <si>
    <t>20230731_MAGM_hardwoods_15</t>
  </si>
  <si>
    <t>W04142</t>
  </si>
  <si>
    <t>20230731_MAGM_hardwoods_16</t>
  </si>
  <si>
    <t>W04038</t>
  </si>
  <si>
    <t>20220719_MAGM_open_water_5_rb_F</t>
  </si>
  <si>
    <t>W04040</t>
  </si>
  <si>
    <t>20220719_MAGM_hardwoods_7_rb_F</t>
  </si>
  <si>
    <t>W04034</t>
  </si>
  <si>
    <t>20220719_MAGM_grasses_1_rb_F</t>
  </si>
  <si>
    <t>W04042</t>
  </si>
  <si>
    <t>20220719_MAGM_hardwoods_9_rb_F</t>
  </si>
  <si>
    <t>W04037</t>
  </si>
  <si>
    <t>20220719_MAGM_open_water_4_rb_F</t>
  </si>
  <si>
    <t>W04041</t>
  </si>
  <si>
    <t>20220719_MAGM_hardwoods_8_rb_F</t>
  </si>
  <si>
    <t>W04036</t>
  </si>
  <si>
    <t>20220719_MAGM_grasses_3_rb_F</t>
  </si>
  <si>
    <t>W04039</t>
  </si>
  <si>
    <t>20220719_MAGM_open_water_6_rb_F</t>
  </si>
  <si>
    <t>W04035</t>
  </si>
  <si>
    <t>20220719_MAGM_grasses_2_rb_F</t>
  </si>
  <si>
    <t>W04053</t>
  </si>
  <si>
    <t>20220802_MAGM_open_water_4_rb_F</t>
  </si>
  <si>
    <t>W04057</t>
  </si>
  <si>
    <t>20220802_MAGM_hardwoods_8_rb_F</t>
  </si>
  <si>
    <t>W04054</t>
  </si>
  <si>
    <t>20220802_MAGM_open_water_5_rb_F</t>
  </si>
  <si>
    <t>W04055</t>
  </si>
  <si>
    <t>20220802_MAGM_open_water_6_rb_F</t>
  </si>
  <si>
    <t>W04058</t>
  </si>
  <si>
    <t>20220802_MAGM_hardwoods_9_rb_F</t>
  </si>
  <si>
    <t>W04056</t>
  </si>
  <si>
    <t>20220802_MAGM_hardwoods_7_rb_F</t>
  </si>
  <si>
    <t>W04050</t>
  </si>
  <si>
    <t>20220802_MAGM_grasses_1_rb_F</t>
  </si>
  <si>
    <t>W04051</t>
  </si>
  <si>
    <t>20220802_MAGM_grasses_2_rb_F</t>
  </si>
  <si>
    <t>W04052</t>
  </si>
  <si>
    <t>20220802_MAGM_grasses_3_rb_F</t>
  </si>
  <si>
    <t>W04151</t>
  </si>
  <si>
    <t>20230829_MAGM_openwater_1</t>
  </si>
  <si>
    <t>W04152</t>
  </si>
  <si>
    <t>20230829_MAGM_openwater_2</t>
  </si>
  <si>
    <t>W04153</t>
  </si>
  <si>
    <t>20230829_MAGM_openwater_3</t>
  </si>
  <si>
    <t>W04154</t>
  </si>
  <si>
    <t>20230829_MAGM_openwater_4</t>
  </si>
  <si>
    <t>W04155</t>
  </si>
  <si>
    <t>20230829_MAGM_sav_5</t>
  </si>
  <si>
    <t>W04156</t>
  </si>
  <si>
    <t>20230829_MAGM_sav_6</t>
  </si>
  <si>
    <t>W04157</t>
  </si>
  <si>
    <t>20230829_MAGM_sav_7</t>
  </si>
  <si>
    <t>W04158</t>
  </si>
  <si>
    <t>20230829_MAGM_sav_8</t>
  </si>
  <si>
    <t>W04159</t>
  </si>
  <si>
    <t>20230829_MAGM_sav_9</t>
  </si>
  <si>
    <t>W04160</t>
  </si>
  <si>
    <t>20230829_MAGM_sav_10</t>
  </si>
  <si>
    <t>W04161</t>
  </si>
  <si>
    <t>20230829_MAGM_sav_11</t>
  </si>
  <si>
    <t>W04162</t>
  </si>
  <si>
    <t>20230829_MAGM_sav_12</t>
  </si>
  <si>
    <t>W04163</t>
  </si>
  <si>
    <t>20230829_MAGM_hardwoods_13</t>
  </si>
  <si>
    <t>W04164</t>
  </si>
  <si>
    <t>20230829_MAGM_hardwoods_14</t>
  </si>
  <si>
    <t>W04165</t>
  </si>
  <si>
    <t>20230829_MAGM_hardwoods_15</t>
  </si>
  <si>
    <t>W04166</t>
  </si>
  <si>
    <t>20230829_MAGM_hardwoods_16</t>
  </si>
  <si>
    <t>W04177</t>
  </si>
  <si>
    <t>20230908_MAGM_openwater3_rb_F</t>
  </si>
  <si>
    <t>W04178</t>
  </si>
  <si>
    <t>20230908_MAGM_sav8_rb_F</t>
  </si>
  <si>
    <t>W04179</t>
  </si>
  <si>
    <t>20230908_MAGM_sav12_rb_F</t>
  </si>
  <si>
    <t>W04180</t>
  </si>
  <si>
    <t>20230908_MAGM_hardwoods14_rb_F</t>
  </si>
  <si>
    <t>W04181</t>
  </si>
  <si>
    <t>20230908_MAGM_east1_rb_F</t>
  </si>
  <si>
    <t>W04182</t>
  </si>
  <si>
    <t>20230908_MAGM_east5_rb</t>
  </si>
  <si>
    <t>W04183</t>
  </si>
  <si>
    <t>20230908_MAGM_west1_rb_F</t>
  </si>
  <si>
    <t>W04184</t>
  </si>
  <si>
    <t>20230908_MAGM_west5_rb_F</t>
  </si>
  <si>
    <t>dep_ret</t>
  </si>
  <si>
    <t>dep</t>
  </si>
  <si>
    <t>ret</t>
  </si>
  <si>
    <t>sample_point</t>
  </si>
  <si>
    <t>avg_nox</t>
  </si>
  <si>
    <t>avg_drp</t>
  </si>
  <si>
    <t>avg_nh3</t>
  </si>
  <si>
    <t>drp_m</t>
  </si>
  <si>
    <t>drp_sd</t>
  </si>
  <si>
    <t>nox_m</t>
  </si>
  <si>
    <t>nox_sd</t>
  </si>
  <si>
    <t>nh3_m</t>
  </si>
  <si>
    <t>nh3_sd</t>
  </si>
  <si>
    <t>floating veg</t>
  </si>
  <si>
    <t>emergent veg</t>
  </si>
  <si>
    <t>hardwoods</t>
  </si>
  <si>
    <t>submerged veg</t>
  </si>
  <si>
    <t>Typha</t>
  </si>
  <si>
    <t>&lt;MDL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</si>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</sst>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opLeftCell="A52" workbookViewId="0">
      <selection activeCell="B1" sqref="B1:F71"/>
    </sheetView>
  </sheetViews>
  <sheetFormatPr defaultRowHeight="14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5</v>
      </c>
      <c r="D2">
        <v>1.635E-3</v>
      </c>
      <c r="E2">
        <v>3.9570000000000001E-2</v>
      </c>
      <c r="F2">
        <v>1.145E-2</v>
      </c>
    </row>
    <row r="3" spans="1:6">
      <c r="A3">
        <v>2</v>
      </c>
      <c r="B3" t="s">
        <v>6</v>
      </c>
      <c r="D3">
        <v>8.3700000000000007E-3</v>
      </c>
      <c r="E3">
        <v>4.7199999999999999E-2</v>
      </c>
      <c r="F3">
        <v>2.274E-2</v>
      </c>
    </row>
    <row r="4" spans="1:6">
      <c r="A4">
        <v>3</v>
      </c>
      <c r="B4" t="s">
        <v>7</v>
      </c>
      <c r="D4">
        <v>3.2640000000000002E-2</v>
      </c>
      <c r="E4">
        <v>2.2839999999999999E-2</v>
      </c>
      <c r="F4">
        <v>2.9190000000000001E-2</v>
      </c>
    </row>
    <row r="5" spans="1:6">
      <c r="A5">
        <v>4</v>
      </c>
      <c r="B5" t="s">
        <v>8</v>
      </c>
      <c r="D5">
        <v>3.3680000000000002E-2</v>
      </c>
      <c r="E5">
        <v>1.0670000000000001E-2</v>
      </c>
      <c r="F5">
        <v>1.823E-2</v>
      </c>
    </row>
    <row r="6" spans="1:6">
      <c r="A6">
        <v>5</v>
      </c>
      <c r="B6" t="s">
        <v>9</v>
      </c>
      <c r="D6">
        <v>1.635E-3</v>
      </c>
      <c r="E6">
        <v>2.1600000000000001E-2</v>
      </c>
      <c r="F6">
        <v>1.7010000000000001E-2</v>
      </c>
    </row>
    <row r="7" spans="1:6">
      <c r="A7">
        <v>6</v>
      </c>
      <c r="B7" t="s">
        <v>10</v>
      </c>
      <c r="D7">
        <v>1.635E-3</v>
      </c>
      <c r="E7">
        <v>1.017E-2</v>
      </c>
      <c r="F7">
        <v>1.243E-2</v>
      </c>
    </row>
    <row r="8" spans="1:6">
      <c r="A8">
        <v>7</v>
      </c>
      <c r="B8" t="s">
        <v>11</v>
      </c>
      <c r="D8">
        <v>1.635E-3</v>
      </c>
      <c r="E8">
        <v>2.0990000000000002E-2</v>
      </c>
      <c r="F8">
        <v>1.372E-2</v>
      </c>
    </row>
    <row r="9" spans="1:6">
      <c r="A9">
        <v>8</v>
      </c>
      <c r="B9" t="s">
        <v>12</v>
      </c>
      <c r="D9">
        <v>1.635E-3</v>
      </c>
      <c r="E9">
        <v>1.453E-2</v>
      </c>
      <c r="F9">
        <v>1.375E-2</v>
      </c>
    </row>
    <row r="10" spans="1:6">
      <c r="A10">
        <v>9</v>
      </c>
      <c r="B10" t="s">
        <v>13</v>
      </c>
      <c r="D10">
        <v>1.635E-3</v>
      </c>
      <c r="E10">
        <v>2.0060000000000001E-2</v>
      </c>
      <c r="F10">
        <v>1.349E-2</v>
      </c>
    </row>
    <row r="11" spans="1:6">
      <c r="A11">
        <v>10</v>
      </c>
      <c r="B11" t="s">
        <v>14</v>
      </c>
      <c r="D11">
        <v>3.4499999999999999E-3</v>
      </c>
      <c r="E11">
        <v>1.7829999999999999E-2</v>
      </c>
      <c r="F11">
        <v>1.6750000000000001E-2</v>
      </c>
    </row>
    <row r="12" spans="1:6">
      <c r="A12">
        <v>11</v>
      </c>
      <c r="B12" t="s">
        <v>15</v>
      </c>
      <c r="D12">
        <v>1.635E-3</v>
      </c>
      <c r="E12">
        <v>2.316E-2</v>
      </c>
      <c r="F12">
        <v>1.771E-2</v>
      </c>
    </row>
    <row r="13" spans="1:6">
      <c r="A13">
        <v>12</v>
      </c>
      <c r="B13" t="s">
        <v>16</v>
      </c>
      <c r="D13">
        <v>1.635E-3</v>
      </c>
      <c r="E13">
        <v>1.6080000000000001E-2</v>
      </c>
      <c r="F13">
        <v>1.193E-2</v>
      </c>
    </row>
    <row r="14" spans="1:6">
      <c r="A14">
        <v>13</v>
      </c>
      <c r="B14" t="s">
        <v>17</v>
      </c>
      <c r="C14" t="s">
        <v>18</v>
      </c>
      <c r="D14">
        <v>6.1500000000000001E-3</v>
      </c>
      <c r="E14">
        <v>1.0529999999999999E-2</v>
      </c>
      <c r="F14">
        <v>1.6500000000000001E-2</v>
      </c>
    </row>
    <row r="15" spans="1:6">
      <c r="A15">
        <v>14</v>
      </c>
      <c r="B15" t="s">
        <v>19</v>
      </c>
      <c r="C15" t="s">
        <v>20</v>
      </c>
      <c r="D15">
        <v>2.8469999999999999E-2</v>
      </c>
      <c r="E15">
        <v>3.9849999999999998E-3</v>
      </c>
      <c r="F15">
        <v>1.306E-2</v>
      </c>
    </row>
    <row r="16" spans="1:6">
      <c r="A16">
        <v>15</v>
      </c>
      <c r="B16" t="s">
        <v>21</v>
      </c>
      <c r="C16" t="s">
        <v>22</v>
      </c>
      <c r="D16">
        <v>6.1500000000000001E-3</v>
      </c>
      <c r="E16">
        <v>3.9849999999999998E-3</v>
      </c>
      <c r="F16">
        <v>1.555E-2</v>
      </c>
    </row>
    <row r="17" spans="1:6">
      <c r="A17">
        <v>16</v>
      </c>
      <c r="B17" t="s">
        <v>23</v>
      </c>
      <c r="C17" t="s">
        <v>24</v>
      </c>
      <c r="D17">
        <v>6.1500000000000001E-3</v>
      </c>
      <c r="E17">
        <v>3.9849999999999998E-3</v>
      </c>
      <c r="F17">
        <v>1.4160000000000001E-2</v>
      </c>
    </row>
    <row r="18" spans="1:6">
      <c r="A18">
        <v>17</v>
      </c>
      <c r="B18" t="s">
        <v>25</v>
      </c>
      <c r="C18" t="s">
        <v>26</v>
      </c>
      <c r="D18">
        <v>6.1500000000000001E-3</v>
      </c>
      <c r="E18">
        <v>3.9849999999999998E-3</v>
      </c>
      <c r="F18">
        <v>1.7069999999999998E-2</v>
      </c>
    </row>
    <row r="19" spans="1:6">
      <c r="A19">
        <v>18</v>
      </c>
      <c r="B19" t="s">
        <v>27</v>
      </c>
      <c r="C19" t="s">
        <v>28</v>
      </c>
      <c r="D19">
        <v>6.1500000000000001E-3</v>
      </c>
      <c r="E19">
        <v>8.6099999999999996E-3</v>
      </c>
      <c r="F19">
        <v>1.703E-2</v>
      </c>
    </row>
    <row r="20" spans="1:6">
      <c r="A20">
        <v>19</v>
      </c>
      <c r="B20" t="s">
        <v>29</v>
      </c>
      <c r="C20" t="s">
        <v>30</v>
      </c>
      <c r="D20">
        <v>6.1500000000000001E-3</v>
      </c>
      <c r="E20">
        <v>3.9849999999999998E-3</v>
      </c>
      <c r="F20">
        <v>1.523E-2</v>
      </c>
    </row>
    <row r="21" spans="1:6">
      <c r="A21">
        <v>20</v>
      </c>
      <c r="B21" t="s">
        <v>31</v>
      </c>
      <c r="C21" t="s">
        <v>32</v>
      </c>
      <c r="D21">
        <v>6.1500000000000001E-3</v>
      </c>
      <c r="E21">
        <v>3.9849999999999998E-3</v>
      </c>
      <c r="F21">
        <v>1.8460000000000001E-2</v>
      </c>
    </row>
    <row r="22" spans="1:6">
      <c r="A22">
        <v>21</v>
      </c>
      <c r="B22" t="s">
        <v>33</v>
      </c>
      <c r="C22" t="s">
        <v>34</v>
      </c>
      <c r="D22">
        <v>6.1500000000000001E-3</v>
      </c>
      <c r="E22">
        <v>1.137E-2</v>
      </c>
      <c r="F22">
        <v>1.8290000000000001E-2</v>
      </c>
    </row>
    <row r="23" spans="1:6">
      <c r="A23">
        <v>22</v>
      </c>
      <c r="B23" t="s">
        <v>35</v>
      </c>
      <c r="C23" t="s">
        <v>36</v>
      </c>
      <c r="D23">
        <v>6.1500000000000001E-3</v>
      </c>
      <c r="E23">
        <v>1.4370000000000001E-2</v>
      </c>
      <c r="F23">
        <v>1.9460000000000002E-2</v>
      </c>
    </row>
    <row r="24" spans="1:6">
      <c r="A24">
        <v>23</v>
      </c>
      <c r="B24" t="s">
        <v>37</v>
      </c>
      <c r="C24" t="s">
        <v>38</v>
      </c>
      <c r="D24">
        <v>6.1500000000000001E-3</v>
      </c>
      <c r="E24">
        <v>2.4979999999999999E-2</v>
      </c>
      <c r="F24">
        <v>4.0910000000000002E-2</v>
      </c>
    </row>
    <row r="25" spans="1:6">
      <c r="A25">
        <v>24</v>
      </c>
      <c r="B25" t="s">
        <v>39</v>
      </c>
      <c r="C25" t="s">
        <v>40</v>
      </c>
      <c r="D25">
        <v>6.1500000000000001E-3</v>
      </c>
      <c r="E25">
        <v>2.3769999999999999E-2</v>
      </c>
      <c r="F25">
        <v>2.0719999999999999E-2</v>
      </c>
    </row>
    <row r="26" spans="1:6">
      <c r="A26">
        <v>25</v>
      </c>
      <c r="B26" t="s">
        <v>41</v>
      </c>
      <c r="C26" t="s">
        <v>42</v>
      </c>
      <c r="D26">
        <v>6.1500000000000001E-3</v>
      </c>
      <c r="E26">
        <v>0.16631000000000001</v>
      </c>
      <c r="F26">
        <v>0.31081999999999999</v>
      </c>
    </row>
    <row r="27" spans="1:6">
      <c r="A27">
        <v>26</v>
      </c>
      <c r="B27" t="s">
        <v>43</v>
      </c>
      <c r="C27" t="s">
        <v>44</v>
      </c>
      <c r="D27">
        <v>2.836E-2</v>
      </c>
      <c r="E27">
        <v>4.9840000000000002E-2</v>
      </c>
      <c r="F27">
        <v>3.3890000000000003E-2</v>
      </c>
    </row>
    <row r="28" spans="1:6">
      <c r="A28">
        <v>27</v>
      </c>
      <c r="B28" t="s">
        <v>45</v>
      </c>
      <c r="C28" t="s">
        <v>46</v>
      </c>
      <c r="D28">
        <v>1.3480000000000001E-2</v>
      </c>
      <c r="E28">
        <v>0.12256</v>
      </c>
      <c r="F28">
        <v>0.16109000000000001</v>
      </c>
    </row>
    <row r="29" spans="1:6">
      <c r="A29">
        <v>28</v>
      </c>
      <c r="B29" t="s">
        <v>47</v>
      </c>
      <c r="C29" t="s">
        <v>48</v>
      </c>
      <c r="D29">
        <v>6.1500000000000001E-3</v>
      </c>
      <c r="E29">
        <v>7.0709999999999995E-2</v>
      </c>
      <c r="F29">
        <v>2.7189999999999999E-2</v>
      </c>
    </row>
    <row r="30" spans="1:6">
      <c r="A30">
        <v>29</v>
      </c>
      <c r="B30" t="s">
        <v>49</v>
      </c>
      <c r="C30" t="s">
        <v>50</v>
      </c>
      <c r="D30">
        <v>3.6700000000000001E-3</v>
      </c>
      <c r="E30">
        <v>1.5720000000000001E-2</v>
      </c>
      <c r="F30">
        <v>1.7219999999999999E-2</v>
      </c>
    </row>
    <row r="31" spans="1:6">
      <c r="A31">
        <v>30</v>
      </c>
      <c r="B31" t="s">
        <v>51</v>
      </c>
      <c r="C31" t="s">
        <v>52</v>
      </c>
      <c r="D31">
        <v>3.6700000000000001E-3</v>
      </c>
      <c r="E31">
        <v>2.1819999999999999E-2</v>
      </c>
      <c r="F31">
        <v>1.5299999999999999E-2</v>
      </c>
    </row>
    <row r="32" spans="1:6">
      <c r="A32">
        <v>31</v>
      </c>
      <c r="B32" t="s">
        <v>53</v>
      </c>
      <c r="C32" t="s">
        <v>54</v>
      </c>
      <c r="D32">
        <v>3.6700000000000001E-3</v>
      </c>
      <c r="E32">
        <v>5.3560000000000003E-2</v>
      </c>
      <c r="F32">
        <v>1.5789999999999998E-2</v>
      </c>
    </row>
    <row r="33" spans="1:6">
      <c r="A33">
        <v>32</v>
      </c>
      <c r="B33" t="s">
        <v>55</v>
      </c>
      <c r="C33" t="s">
        <v>56</v>
      </c>
      <c r="D33">
        <v>1.0030000000000001E-2</v>
      </c>
      <c r="E33">
        <v>1.9810000000000001E-2</v>
      </c>
      <c r="F33">
        <v>2.1930000000000002E-2</v>
      </c>
    </row>
    <row r="34" spans="1:6">
      <c r="A34">
        <v>33</v>
      </c>
      <c r="B34" t="s">
        <v>57</v>
      </c>
      <c r="C34" t="s">
        <v>58</v>
      </c>
      <c r="D34">
        <v>0.18545</v>
      </c>
      <c r="E34">
        <v>0.11894</v>
      </c>
      <c r="F34">
        <v>0.35366999999999998</v>
      </c>
    </row>
    <row r="35" spans="1:6">
      <c r="A35">
        <v>34</v>
      </c>
      <c r="B35" t="s">
        <v>59</v>
      </c>
      <c r="C35" t="s">
        <v>60</v>
      </c>
      <c r="D35">
        <v>3.6700000000000001E-3</v>
      </c>
      <c r="E35">
        <v>1.5299999999999999E-2</v>
      </c>
      <c r="F35">
        <v>1.8079999999999999E-2</v>
      </c>
    </row>
    <row r="36" spans="1:6">
      <c r="A36">
        <v>35</v>
      </c>
      <c r="B36" t="s">
        <v>61</v>
      </c>
      <c r="C36" t="s">
        <v>62</v>
      </c>
      <c r="D36">
        <v>3.6700000000000001E-3</v>
      </c>
      <c r="E36">
        <v>3.8510000000000003E-2</v>
      </c>
      <c r="F36">
        <v>2.445E-2</v>
      </c>
    </row>
    <row r="37" spans="1:6">
      <c r="A37">
        <v>36</v>
      </c>
      <c r="B37" t="s">
        <v>63</v>
      </c>
      <c r="C37" t="s">
        <v>64</v>
      </c>
      <c r="D37">
        <v>1.1390000000000001E-2</v>
      </c>
      <c r="E37">
        <v>3.4509999999999999E-2</v>
      </c>
      <c r="F37">
        <v>1.839E-2</v>
      </c>
    </row>
    <row r="38" spans="1:6">
      <c r="A38">
        <v>37</v>
      </c>
      <c r="B38" t="s">
        <v>65</v>
      </c>
      <c r="C38" t="s">
        <v>66</v>
      </c>
      <c r="D38">
        <v>3.6700000000000001E-3</v>
      </c>
      <c r="E38">
        <v>3.2469999999999999E-2</v>
      </c>
      <c r="F38">
        <v>6.0350000000000004E-3</v>
      </c>
    </row>
    <row r="39" spans="1:6">
      <c r="A39">
        <v>38</v>
      </c>
      <c r="B39" t="s">
        <v>67</v>
      </c>
      <c r="C39" t="s">
        <v>68</v>
      </c>
      <c r="D39">
        <v>0.22656000000000001</v>
      </c>
      <c r="E39">
        <v>5.1369999999999999E-2</v>
      </c>
      <c r="F39">
        <v>8.133E-2</v>
      </c>
    </row>
    <row r="40" spans="1:6">
      <c r="A40">
        <v>39</v>
      </c>
      <c r="B40" t="s">
        <v>69</v>
      </c>
      <c r="C40" t="s">
        <v>70</v>
      </c>
      <c r="D40">
        <v>9.6399999999999993E-3</v>
      </c>
      <c r="E40">
        <v>1.3299999999999999E-2</v>
      </c>
      <c r="F40">
        <v>2.1600000000000001E-2</v>
      </c>
    </row>
    <row r="41" spans="1:6">
      <c r="A41">
        <v>40</v>
      </c>
      <c r="B41" t="s">
        <v>71</v>
      </c>
      <c r="C41" t="s">
        <v>72</v>
      </c>
      <c r="D41">
        <v>1.192E-2</v>
      </c>
      <c r="E41">
        <v>2.7310000000000001E-2</v>
      </c>
      <c r="F41">
        <v>1.545E-2</v>
      </c>
    </row>
    <row r="42" spans="1:6">
      <c r="A42">
        <v>41</v>
      </c>
      <c r="B42" t="s">
        <v>73</v>
      </c>
      <c r="C42" t="s">
        <v>74</v>
      </c>
      <c r="D42">
        <v>1.389E-2</v>
      </c>
      <c r="E42">
        <v>2.2120000000000001E-2</v>
      </c>
      <c r="F42">
        <v>1.635E-2</v>
      </c>
    </row>
    <row r="43" spans="1:6">
      <c r="A43">
        <v>42</v>
      </c>
      <c r="B43" t="s">
        <v>75</v>
      </c>
      <c r="C43" t="s">
        <v>76</v>
      </c>
      <c r="D43">
        <v>2.3879999999999998E-2</v>
      </c>
      <c r="E43">
        <v>1.387E-2</v>
      </c>
      <c r="F43">
        <v>2.334E-2</v>
      </c>
    </row>
    <row r="44" spans="1:6">
      <c r="A44">
        <v>43</v>
      </c>
      <c r="B44" t="s">
        <v>77</v>
      </c>
      <c r="C44" t="s">
        <v>78</v>
      </c>
      <c r="D44">
        <v>8.4100000000000008E-3</v>
      </c>
      <c r="E44">
        <v>2.2550000000000001E-2</v>
      </c>
      <c r="F44">
        <v>1.379E-2</v>
      </c>
    </row>
    <row r="45" spans="1:6">
      <c r="A45">
        <v>44</v>
      </c>
      <c r="B45" t="s">
        <v>79</v>
      </c>
      <c r="C45" t="s">
        <v>80</v>
      </c>
      <c r="D45">
        <v>2.265E-2</v>
      </c>
      <c r="E45">
        <v>2.4539999999999999E-2</v>
      </c>
      <c r="F45">
        <v>1.5049999999999999E-2</v>
      </c>
    </row>
    <row r="46" spans="1:6">
      <c r="A46">
        <v>45</v>
      </c>
      <c r="B46" t="s">
        <v>81</v>
      </c>
      <c r="C46" t="s">
        <v>82</v>
      </c>
      <c r="D46">
        <v>1.2959999999999999E-2</v>
      </c>
      <c r="E46">
        <v>1.9699999999999999E-2</v>
      </c>
      <c r="F46">
        <v>1.7930000000000001E-2</v>
      </c>
    </row>
    <row r="47" spans="1:6">
      <c r="A47">
        <v>46</v>
      </c>
      <c r="B47" t="s">
        <v>83</v>
      </c>
      <c r="C47" t="s">
        <v>84</v>
      </c>
      <c r="D47">
        <v>1.24E-2</v>
      </c>
      <c r="E47">
        <v>2.2120000000000001E-2</v>
      </c>
      <c r="F47">
        <v>1.898E-2</v>
      </c>
    </row>
    <row r="48" spans="1:6">
      <c r="A48">
        <v>47</v>
      </c>
      <c r="B48" t="s">
        <v>85</v>
      </c>
      <c r="C48" t="s">
        <v>86</v>
      </c>
      <c r="D48">
        <v>6.1500000000000001E-3</v>
      </c>
      <c r="E48">
        <v>3.9849999999999998E-3</v>
      </c>
      <c r="F48">
        <v>1.239E-2</v>
      </c>
    </row>
    <row r="49" spans="1:6">
      <c r="A49">
        <v>48</v>
      </c>
      <c r="B49" t="s">
        <v>87</v>
      </c>
      <c r="C49" t="s">
        <v>88</v>
      </c>
      <c r="D49">
        <v>6.1500000000000001E-3</v>
      </c>
      <c r="E49">
        <v>3.9849999999999998E-3</v>
      </c>
      <c r="F49">
        <v>1.4109999999999999E-2</v>
      </c>
    </row>
    <row r="50" spans="1:6">
      <c r="A50">
        <v>49</v>
      </c>
      <c r="B50" t="s">
        <v>89</v>
      </c>
      <c r="C50" t="s">
        <v>90</v>
      </c>
      <c r="D50">
        <v>6.1500000000000001E-3</v>
      </c>
      <c r="E50">
        <v>3.9849999999999998E-3</v>
      </c>
      <c r="F50">
        <v>1.072E-2</v>
      </c>
    </row>
    <row r="51" spans="1:6">
      <c r="A51">
        <v>50</v>
      </c>
      <c r="B51" t="s">
        <v>91</v>
      </c>
      <c r="C51" t="s">
        <v>92</v>
      </c>
      <c r="D51">
        <v>6.1500000000000001E-3</v>
      </c>
      <c r="E51">
        <v>3.9849999999999998E-3</v>
      </c>
      <c r="F51">
        <v>1.094E-2</v>
      </c>
    </row>
    <row r="52" spans="1:6">
      <c r="A52">
        <v>51</v>
      </c>
      <c r="B52" t="s">
        <v>93</v>
      </c>
      <c r="C52" t="s">
        <v>94</v>
      </c>
      <c r="D52">
        <v>6.1500000000000001E-3</v>
      </c>
      <c r="E52">
        <v>3.9849999999999998E-3</v>
      </c>
      <c r="F52">
        <v>1.354E-2</v>
      </c>
    </row>
    <row r="53" spans="1:6">
      <c r="A53">
        <v>52</v>
      </c>
      <c r="B53" t="s">
        <v>95</v>
      </c>
      <c r="C53" t="s">
        <v>96</v>
      </c>
      <c r="D53">
        <v>6.1500000000000001E-3</v>
      </c>
      <c r="E53">
        <v>3.9849999999999998E-3</v>
      </c>
      <c r="F53">
        <v>1.504E-2</v>
      </c>
    </row>
    <row r="54" spans="1:6">
      <c r="A54">
        <v>53</v>
      </c>
      <c r="B54" t="s">
        <v>97</v>
      </c>
      <c r="C54" t="s">
        <v>98</v>
      </c>
      <c r="D54">
        <v>6.1500000000000001E-3</v>
      </c>
      <c r="E54">
        <v>3.9849999999999998E-3</v>
      </c>
      <c r="F54">
        <v>1.1390000000000001E-2</v>
      </c>
    </row>
    <row r="55" spans="1:6">
      <c r="A55">
        <v>54</v>
      </c>
      <c r="B55" t="s">
        <v>99</v>
      </c>
      <c r="C55" t="s">
        <v>100</v>
      </c>
      <c r="D55">
        <v>6.1500000000000001E-3</v>
      </c>
      <c r="E55">
        <v>3.9849999999999998E-3</v>
      </c>
      <c r="F55">
        <v>1.388E-2</v>
      </c>
    </row>
    <row r="56" spans="1:6">
      <c r="A56">
        <v>55</v>
      </c>
      <c r="B56" t="s">
        <v>101</v>
      </c>
      <c r="C56" t="s">
        <v>102</v>
      </c>
      <c r="D56">
        <v>6.1500000000000001E-3</v>
      </c>
      <c r="E56">
        <v>3.9849999999999998E-3</v>
      </c>
      <c r="F56">
        <v>9.9699999999999997E-3</v>
      </c>
    </row>
    <row r="57" spans="1:6">
      <c r="A57">
        <v>56</v>
      </c>
      <c r="B57" t="s">
        <v>103</v>
      </c>
      <c r="C57" t="s">
        <v>104</v>
      </c>
      <c r="D57">
        <v>6.1500000000000001E-3</v>
      </c>
      <c r="E57">
        <v>3.9849999999999998E-3</v>
      </c>
      <c r="F57">
        <v>1.14E-2</v>
      </c>
    </row>
    <row r="58" spans="1:6">
      <c r="A58">
        <v>57</v>
      </c>
      <c r="B58" t="s">
        <v>105</v>
      </c>
      <c r="C58" t="s">
        <v>106</v>
      </c>
      <c r="D58">
        <v>6.1500000000000001E-3</v>
      </c>
      <c r="E58">
        <v>3.9849999999999998E-3</v>
      </c>
      <c r="F58">
        <v>1.2500000000000001E-2</v>
      </c>
    </row>
    <row r="59" spans="1:6">
      <c r="A59">
        <v>58</v>
      </c>
      <c r="B59" t="s">
        <v>107</v>
      </c>
      <c r="C59" t="s">
        <v>108</v>
      </c>
      <c r="D59">
        <v>6.1500000000000001E-3</v>
      </c>
      <c r="E59">
        <v>3.9849999999999998E-3</v>
      </c>
      <c r="F59">
        <v>9.5999999999999992E-3</v>
      </c>
    </row>
    <row r="60" spans="1:6">
      <c r="A60">
        <v>59</v>
      </c>
      <c r="B60" t="s">
        <v>109</v>
      </c>
      <c r="C60" t="s">
        <v>110</v>
      </c>
      <c r="D60">
        <v>6.1500000000000001E-3</v>
      </c>
      <c r="E60">
        <v>4.1739999999999999E-2</v>
      </c>
      <c r="F60">
        <v>4.6269999999999999E-2</v>
      </c>
    </row>
    <row r="61" spans="1:6">
      <c r="A61">
        <v>60</v>
      </c>
      <c r="B61" t="s">
        <v>111</v>
      </c>
      <c r="C61" t="s">
        <v>112</v>
      </c>
      <c r="D61">
        <v>6.1500000000000001E-3</v>
      </c>
      <c r="E61">
        <v>2.257E-2</v>
      </c>
      <c r="F61">
        <v>3.4380000000000001E-2</v>
      </c>
    </row>
    <row r="62" spans="1:6">
      <c r="A62">
        <v>61</v>
      </c>
      <c r="B62" t="s">
        <v>113</v>
      </c>
      <c r="C62" t="s">
        <v>114</v>
      </c>
      <c r="D62">
        <v>0.11494</v>
      </c>
      <c r="E62">
        <v>4.0910000000000002E-2</v>
      </c>
      <c r="F62">
        <v>0.20249</v>
      </c>
    </row>
    <row r="63" spans="1:6">
      <c r="A63">
        <v>62</v>
      </c>
      <c r="B63" t="s">
        <v>115</v>
      </c>
      <c r="C63" t="s">
        <v>116</v>
      </c>
      <c r="D63">
        <v>6.1500000000000001E-3</v>
      </c>
      <c r="E63">
        <v>4.5190000000000001E-2</v>
      </c>
      <c r="F63">
        <v>2.8490000000000001E-2</v>
      </c>
    </row>
    <row r="64" spans="1:6">
      <c r="A64">
        <v>63</v>
      </c>
      <c r="B64" t="s">
        <v>117</v>
      </c>
      <c r="C64" t="s">
        <v>118</v>
      </c>
      <c r="D64">
        <v>5.1799999999999997E-3</v>
      </c>
      <c r="E64">
        <v>4.5900000000000003E-3</v>
      </c>
      <c r="F64">
        <v>2.0449999999999999E-2</v>
      </c>
    </row>
    <row r="65" spans="1:6">
      <c r="A65">
        <v>64</v>
      </c>
      <c r="B65" t="s">
        <v>119</v>
      </c>
      <c r="C65" t="s">
        <v>120</v>
      </c>
      <c r="D65">
        <v>2.31E-3</v>
      </c>
      <c r="E65">
        <v>4.7600000000000003E-3</v>
      </c>
      <c r="F65">
        <v>1.3820000000000001E-2</v>
      </c>
    </row>
    <row r="66" spans="1:6">
      <c r="A66">
        <v>65</v>
      </c>
      <c r="B66" t="s">
        <v>121</v>
      </c>
      <c r="C66" t="s">
        <v>122</v>
      </c>
      <c r="D66">
        <v>2.31E-3</v>
      </c>
      <c r="E66">
        <v>6.3899999999999998E-3</v>
      </c>
      <c r="F66">
        <v>1.2E-2</v>
      </c>
    </row>
    <row r="67" spans="1:6">
      <c r="A67">
        <v>66</v>
      </c>
      <c r="B67" t="s">
        <v>123</v>
      </c>
      <c r="C67" t="s">
        <v>124</v>
      </c>
      <c r="D67">
        <v>2.31E-3</v>
      </c>
      <c r="E67">
        <v>9.3179999999999999E-2</v>
      </c>
      <c r="F67">
        <v>0.20971999999999999</v>
      </c>
    </row>
    <row r="68" spans="1:6">
      <c r="A68">
        <v>67</v>
      </c>
      <c r="B68" t="s">
        <v>125</v>
      </c>
      <c r="C68" t="s">
        <v>126</v>
      </c>
      <c r="D68">
        <v>5.8029999999999998E-2</v>
      </c>
      <c r="E68">
        <v>5.0540000000000002E-2</v>
      </c>
      <c r="F68">
        <v>0.22223000000000001</v>
      </c>
    </row>
    <row r="69" spans="1:6">
      <c r="A69">
        <v>68</v>
      </c>
      <c r="B69" t="s">
        <v>127</v>
      </c>
      <c r="C69" t="s">
        <v>128</v>
      </c>
      <c r="D69">
        <v>2.31E-3</v>
      </c>
      <c r="E69">
        <v>1.423E-2</v>
      </c>
      <c r="F69">
        <v>2.1700000000000001E-2</v>
      </c>
    </row>
    <row r="70" spans="1:6">
      <c r="A70">
        <v>69</v>
      </c>
      <c r="B70" t="s">
        <v>129</v>
      </c>
      <c r="C70" t="s">
        <v>130</v>
      </c>
      <c r="D70">
        <v>2.31E-3</v>
      </c>
      <c r="E70">
        <v>1.7979999999999999E-2</v>
      </c>
      <c r="F70">
        <v>1.553E-2</v>
      </c>
    </row>
    <row r="71" spans="1:6">
      <c r="A71">
        <v>70</v>
      </c>
      <c r="B71" t="s">
        <v>131</v>
      </c>
      <c r="C71" t="s">
        <v>132</v>
      </c>
      <c r="D71">
        <v>2.31E-3</v>
      </c>
      <c r="E71">
        <v>8.2799999999999992E-3</v>
      </c>
      <c r="F71">
        <v>1.8769999999999998E-2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6E1B-7DFB-4E94-836E-D2C7F36DE1BB}">
  <dimension ref="A1:L29"/>
  <sheetViews>
    <sheetView workbookViewId="0">
      <selection activeCell="J12" sqref="J12"/>
    </sheetView>
  </sheetViews>
  <sheetFormatPr defaultRowHeight="14"/>
  <cols>
    <col min="1" max="1" width="23.83203125" bestFit="1" customWidth="1"/>
    <col min="2" max="2" width="42.83203125" bestFit="1" customWidth="1"/>
    <col min="6" max="6" width="13.1640625" bestFit="1" customWidth="1"/>
    <col min="9" max="9" width="12.08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 t="s">
        <v>5</v>
      </c>
      <c r="C2">
        <v>1.635E-3</v>
      </c>
      <c r="D2">
        <v>3.9570000000000001E-2</v>
      </c>
      <c r="E2">
        <v>1.145E-2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2">
      <c r="A3" t="s">
        <v>6</v>
      </c>
      <c r="C3">
        <v>8.3700000000000007E-3</v>
      </c>
      <c r="D3">
        <v>4.7199999999999999E-2</v>
      </c>
      <c r="E3">
        <v>2.274E-2</v>
      </c>
      <c r="F3" t="s">
        <v>146</v>
      </c>
      <c r="G3">
        <f>AVERAGE(D18:D25)</f>
        <v>1.1881875E-2</v>
      </c>
      <c r="H3">
        <f>_xlfn.STDEV.S(D18:D25)</f>
        <v>8.5950837017033013E-3</v>
      </c>
      <c r="I3" t="s">
        <v>151</v>
      </c>
      <c r="J3" t="s">
        <v>152</v>
      </c>
    </row>
    <row r="4" spans="1:12">
      <c r="A4" t="s">
        <v>7</v>
      </c>
      <c r="C4">
        <v>3.2640000000000002E-2</v>
      </c>
      <c r="D4">
        <v>2.2839999999999999E-2</v>
      </c>
      <c r="E4">
        <v>2.9190000000000001E-2</v>
      </c>
      <c r="F4" t="s">
        <v>147</v>
      </c>
    </row>
    <row r="5" spans="1:12">
      <c r="A5" t="s">
        <v>8</v>
      </c>
      <c r="C5">
        <v>3.3680000000000002E-2</v>
      </c>
      <c r="D5">
        <v>1.0670000000000001E-2</v>
      </c>
      <c r="E5">
        <v>1.823E-2</v>
      </c>
      <c r="F5" t="s">
        <v>148</v>
      </c>
    </row>
    <row r="6" spans="1:12">
      <c r="A6" t="s">
        <v>9</v>
      </c>
      <c r="C6">
        <v>1.635E-3</v>
      </c>
      <c r="D6">
        <v>2.1600000000000001E-2</v>
      </c>
      <c r="E6">
        <v>1.7010000000000001E-2</v>
      </c>
      <c r="F6" t="s">
        <v>149</v>
      </c>
    </row>
    <row r="7" spans="1:12">
      <c r="A7" t="s">
        <v>10</v>
      </c>
      <c r="C7">
        <v>1.635E-3</v>
      </c>
      <c r="D7">
        <v>1.017E-2</v>
      </c>
      <c r="E7">
        <v>1.243E-2</v>
      </c>
      <c r="F7" t="s">
        <v>150</v>
      </c>
    </row>
    <row r="8" spans="1:12">
      <c r="A8" t="s">
        <v>11</v>
      </c>
      <c r="C8">
        <v>1.635E-3</v>
      </c>
      <c r="D8">
        <v>2.0990000000000002E-2</v>
      </c>
      <c r="E8">
        <v>1.372E-2</v>
      </c>
    </row>
    <row r="9" spans="1:12">
      <c r="A9" t="s">
        <v>12</v>
      </c>
      <c r="C9">
        <v>1.635E-3</v>
      </c>
      <c r="D9">
        <v>1.453E-2</v>
      </c>
      <c r="E9">
        <v>1.375E-2</v>
      </c>
    </row>
    <row r="10" spans="1:12">
      <c r="A10" t="s">
        <v>13</v>
      </c>
      <c r="C10">
        <v>1.635E-3</v>
      </c>
      <c r="D10">
        <v>2.0060000000000001E-2</v>
      </c>
      <c r="E10">
        <v>1.349E-2</v>
      </c>
    </row>
    <row r="11" spans="1:12">
      <c r="A11" t="s">
        <v>14</v>
      </c>
      <c r="C11">
        <v>3.4499999999999999E-3</v>
      </c>
      <c r="D11">
        <v>1.7829999999999999E-2</v>
      </c>
      <c r="E11">
        <v>1.6750000000000001E-2</v>
      </c>
    </row>
    <row r="12" spans="1:12">
      <c r="A12" t="s">
        <v>15</v>
      </c>
      <c r="C12">
        <v>1.635E-3</v>
      </c>
      <c r="D12">
        <v>2.316E-2</v>
      </c>
      <c r="E12">
        <v>1.771E-2</v>
      </c>
    </row>
    <row r="13" spans="1:12">
      <c r="A13" t="s">
        <v>16</v>
      </c>
      <c r="C13">
        <v>1.635E-3</v>
      </c>
      <c r="D13">
        <v>1.6080000000000001E-2</v>
      </c>
      <c r="E13">
        <v>1.193E-2</v>
      </c>
    </row>
    <row r="14" spans="1:12">
      <c r="A14" t="s">
        <v>17</v>
      </c>
      <c r="B14" t="s">
        <v>18</v>
      </c>
      <c r="C14">
        <v>6.1500000000000001E-3</v>
      </c>
      <c r="D14">
        <v>1.0529999999999999E-2</v>
      </c>
      <c r="E14">
        <v>1.6500000000000001E-2</v>
      </c>
    </row>
    <row r="15" spans="1:12">
      <c r="A15" t="s">
        <v>19</v>
      </c>
      <c r="B15" t="s">
        <v>20</v>
      </c>
      <c r="C15">
        <v>2.8469999999999999E-2</v>
      </c>
      <c r="D15">
        <v>3.9849999999999998E-3</v>
      </c>
      <c r="E15">
        <v>1.306E-2</v>
      </c>
    </row>
    <row r="16" spans="1:12">
      <c r="A16" t="s">
        <v>21</v>
      </c>
      <c r="B16" t="s">
        <v>22</v>
      </c>
      <c r="C16">
        <v>6.1500000000000001E-3</v>
      </c>
      <c r="D16">
        <v>3.9849999999999998E-3</v>
      </c>
      <c r="E16">
        <v>1.555E-2</v>
      </c>
    </row>
    <row r="17" spans="1:5">
      <c r="A17" t="s">
        <v>23</v>
      </c>
      <c r="B17" t="s">
        <v>24</v>
      </c>
      <c r="C17">
        <v>6.1500000000000001E-3</v>
      </c>
      <c r="D17">
        <v>3.9849999999999998E-3</v>
      </c>
      <c r="E17">
        <v>1.4160000000000001E-2</v>
      </c>
    </row>
    <row r="18" spans="1:5">
      <c r="A18" t="s">
        <v>25</v>
      </c>
      <c r="B18" t="s">
        <v>26</v>
      </c>
      <c r="C18">
        <v>6.1500000000000001E-3</v>
      </c>
      <c r="D18">
        <v>3.9849999999999998E-3</v>
      </c>
      <c r="E18">
        <v>1.7069999999999998E-2</v>
      </c>
    </row>
    <row r="19" spans="1:5">
      <c r="A19" t="s">
        <v>27</v>
      </c>
      <c r="B19" t="s">
        <v>28</v>
      </c>
      <c r="C19">
        <v>6.1500000000000001E-3</v>
      </c>
      <c r="D19">
        <v>8.6099999999999996E-3</v>
      </c>
      <c r="E19">
        <v>1.703E-2</v>
      </c>
    </row>
    <row r="20" spans="1:5">
      <c r="A20" t="s">
        <v>29</v>
      </c>
      <c r="B20" t="s">
        <v>30</v>
      </c>
      <c r="C20">
        <v>6.1500000000000001E-3</v>
      </c>
      <c r="D20">
        <v>3.9849999999999998E-3</v>
      </c>
      <c r="E20">
        <v>1.523E-2</v>
      </c>
    </row>
    <row r="21" spans="1:5">
      <c r="A21" t="s">
        <v>31</v>
      </c>
      <c r="B21" t="s">
        <v>32</v>
      </c>
      <c r="C21">
        <v>6.1500000000000001E-3</v>
      </c>
      <c r="D21">
        <v>3.9849999999999998E-3</v>
      </c>
      <c r="E21">
        <v>1.8460000000000001E-2</v>
      </c>
    </row>
    <row r="22" spans="1:5">
      <c r="A22" t="s">
        <v>33</v>
      </c>
      <c r="B22" t="s">
        <v>34</v>
      </c>
      <c r="C22">
        <v>6.1500000000000001E-3</v>
      </c>
      <c r="D22">
        <v>1.137E-2</v>
      </c>
      <c r="E22">
        <v>1.8290000000000001E-2</v>
      </c>
    </row>
    <row r="23" spans="1:5">
      <c r="A23" t="s">
        <v>35</v>
      </c>
      <c r="B23" t="s">
        <v>36</v>
      </c>
      <c r="C23">
        <v>6.1500000000000001E-3</v>
      </c>
      <c r="D23">
        <v>1.4370000000000001E-2</v>
      </c>
      <c r="E23">
        <v>1.9460000000000002E-2</v>
      </c>
    </row>
    <row r="24" spans="1:5">
      <c r="A24" t="s">
        <v>37</v>
      </c>
      <c r="B24" t="s">
        <v>38</v>
      </c>
      <c r="C24">
        <v>6.1500000000000001E-3</v>
      </c>
      <c r="D24">
        <v>2.4979999999999999E-2</v>
      </c>
      <c r="E24">
        <v>4.0910000000000002E-2</v>
      </c>
    </row>
    <row r="25" spans="1:5">
      <c r="A25" t="s">
        <v>39</v>
      </c>
      <c r="B25" t="s">
        <v>40</v>
      </c>
      <c r="C25">
        <v>6.1500000000000001E-3</v>
      </c>
      <c r="D25">
        <v>2.3769999999999999E-2</v>
      </c>
      <c r="E25">
        <v>2.0719999999999999E-2</v>
      </c>
    </row>
    <row r="26" spans="1:5">
      <c r="A26" t="s">
        <v>41</v>
      </c>
      <c r="B26" t="s">
        <v>42</v>
      </c>
      <c r="C26">
        <v>6.1500000000000001E-3</v>
      </c>
      <c r="D26">
        <v>0.16631000000000001</v>
      </c>
      <c r="E26">
        <v>0.31081999999999999</v>
      </c>
    </row>
    <row r="27" spans="1:5">
      <c r="A27" t="s">
        <v>43</v>
      </c>
      <c r="B27" t="s">
        <v>44</v>
      </c>
      <c r="C27">
        <v>2.836E-2</v>
      </c>
      <c r="D27">
        <v>4.9840000000000002E-2</v>
      </c>
      <c r="E27">
        <v>3.3890000000000003E-2</v>
      </c>
    </row>
    <row r="28" spans="1:5">
      <c r="A28" t="s">
        <v>45</v>
      </c>
      <c r="B28" t="s">
        <v>46</v>
      </c>
      <c r="C28">
        <v>1.3480000000000001E-2</v>
      </c>
      <c r="D28">
        <v>0.12256</v>
      </c>
      <c r="E28">
        <v>0.16109000000000001</v>
      </c>
    </row>
    <row r="29" spans="1:5">
      <c r="A29" t="s">
        <v>47</v>
      </c>
      <c r="B29" t="s">
        <v>48</v>
      </c>
      <c r="C29">
        <v>6.1500000000000001E-3</v>
      </c>
      <c r="D29">
        <v>7.0709999999999995E-2</v>
      </c>
      <c r="E29">
        <v>2.7189999999999999E-2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06BD-0866-4877-AE56-F879DEC8A350}">
  <dimension ref="A1:K42"/>
  <sheetViews>
    <sheetView tabSelected="1" workbookViewId="0">
      <selection activeCell="J13" sqref="J13"/>
    </sheetView>
  </sheetViews>
  <sheetFormatPr defaultRowHeight="14"/>
  <cols>
    <col min="1" max="1" width="23.83203125" bestFit="1" customWidth="1"/>
    <col min="2" max="2" width="42.83203125" bestFit="1" customWidth="1"/>
    <col min="3" max="3" width="13.83203125" customWidth="1"/>
    <col min="4" max="4" width="10.6640625" customWidth="1"/>
  </cols>
  <sheetData>
    <row r="1" spans="1:11">
      <c r="A1" t="s">
        <v>0</v>
      </c>
      <c r="B1" t="s">
        <v>1</v>
      </c>
      <c r="C1" t="s">
        <v>136</v>
      </c>
      <c r="D1" t="s">
        <v>133</v>
      </c>
      <c r="E1" t="s">
        <v>2</v>
      </c>
      <c r="F1" t="s">
        <v>3</v>
      </c>
      <c r="G1" t="s">
        <v>4</v>
      </c>
      <c r="I1" t="s">
        <v>137</v>
      </c>
      <c r="J1" t="s">
        <v>138</v>
      </c>
      <c r="K1" t="s">
        <v>139</v>
      </c>
    </row>
    <row r="2" spans="1:11">
      <c r="A2" t="s">
        <v>53</v>
      </c>
      <c r="B2" t="s">
        <v>54</v>
      </c>
      <c r="C2">
        <v>1</v>
      </c>
      <c r="D2" t="s">
        <v>134</v>
      </c>
      <c r="E2">
        <v>3.6700000000000001E-3</v>
      </c>
      <c r="F2">
        <v>5.3560000000000003E-2</v>
      </c>
      <c r="G2">
        <v>1.5789999999999998E-2</v>
      </c>
      <c r="I2">
        <f>AVERAGE(E2,E11)</f>
        <v>1.316E-2</v>
      </c>
      <c r="J2">
        <f>AVERAGE(F2,F11)</f>
        <v>3.9050000000000001E-2</v>
      </c>
      <c r="K2">
        <f>AVERAGE(G2,G11)</f>
        <v>1.542E-2</v>
      </c>
    </row>
    <row r="3" spans="1:11">
      <c r="A3" t="s">
        <v>65</v>
      </c>
      <c r="B3" t="s">
        <v>66</v>
      </c>
      <c r="C3">
        <v>2</v>
      </c>
      <c r="D3" t="s">
        <v>134</v>
      </c>
      <c r="E3">
        <v>3.6700000000000001E-3</v>
      </c>
      <c r="F3">
        <v>3.2469999999999999E-2</v>
      </c>
      <c r="G3">
        <v>6.0350000000000004E-3</v>
      </c>
      <c r="I3">
        <f t="shared" ref="I3:K3" si="0">AVERAGE(E3,E12)</f>
        <v>8.3149999999999995E-3</v>
      </c>
      <c r="J3">
        <f t="shared" si="0"/>
        <v>2.6084999999999997E-2</v>
      </c>
      <c r="K3">
        <f t="shared" si="0"/>
        <v>1.19825E-2</v>
      </c>
    </row>
    <row r="4" spans="1:11">
      <c r="A4" t="s">
        <v>61</v>
      </c>
      <c r="B4" t="s">
        <v>62</v>
      </c>
      <c r="C4">
        <v>3</v>
      </c>
      <c r="D4" t="s">
        <v>134</v>
      </c>
      <c r="E4">
        <v>3.6700000000000001E-3</v>
      </c>
      <c r="F4">
        <v>3.8510000000000003E-2</v>
      </c>
      <c r="G4">
        <v>2.445E-2</v>
      </c>
      <c r="I4">
        <f t="shared" ref="I4:K4" si="1">AVERAGE(E4,E13)</f>
        <v>8.0350000000000005E-3</v>
      </c>
      <c r="J4">
        <f t="shared" si="1"/>
        <v>3.0315000000000002E-2</v>
      </c>
      <c r="K4">
        <f t="shared" si="1"/>
        <v>2.1714999999999998E-2</v>
      </c>
    </row>
    <row r="5" spans="1:11">
      <c r="A5" t="s">
        <v>57</v>
      </c>
      <c r="B5" t="s">
        <v>58</v>
      </c>
      <c r="C5">
        <v>4</v>
      </c>
      <c r="D5" t="s">
        <v>134</v>
      </c>
      <c r="E5">
        <v>0.18545</v>
      </c>
      <c r="F5">
        <v>0.11894</v>
      </c>
      <c r="G5">
        <v>0.35366999999999998</v>
      </c>
      <c r="I5">
        <f t="shared" ref="I5:K5" si="2">AVERAGE(E5,E14)</f>
        <v>0.20600499999999999</v>
      </c>
      <c r="J5">
        <f t="shared" si="2"/>
        <v>8.5155000000000008E-2</v>
      </c>
      <c r="K5">
        <f t="shared" si="2"/>
        <v>0.2175</v>
      </c>
    </row>
    <row r="6" spans="1:11">
      <c r="A6" t="s">
        <v>49</v>
      </c>
      <c r="B6" t="s">
        <v>50</v>
      </c>
      <c r="C6">
        <v>5</v>
      </c>
      <c r="D6" t="s">
        <v>134</v>
      </c>
      <c r="E6">
        <v>3.6700000000000001E-3</v>
      </c>
      <c r="F6">
        <v>1.5720000000000001E-2</v>
      </c>
      <c r="G6">
        <v>1.7219999999999999E-2</v>
      </c>
      <c r="I6">
        <f t="shared" ref="I6:K6" si="3">AVERAGE(E6,E15)</f>
        <v>7.7949999999999998E-3</v>
      </c>
      <c r="J6">
        <f t="shared" si="3"/>
        <v>2.1514999999999999E-2</v>
      </c>
      <c r="K6">
        <f t="shared" si="3"/>
        <v>1.6334999999999999E-2</v>
      </c>
    </row>
    <row r="7" spans="1:11">
      <c r="A7" t="s">
        <v>63</v>
      </c>
      <c r="B7" t="s">
        <v>64</v>
      </c>
      <c r="C7">
        <v>6</v>
      </c>
      <c r="D7" t="s">
        <v>134</v>
      </c>
      <c r="E7">
        <v>1.1390000000000001E-2</v>
      </c>
      <c r="F7">
        <v>3.4509999999999999E-2</v>
      </c>
      <c r="G7">
        <v>1.839E-2</v>
      </c>
      <c r="I7">
        <f t="shared" ref="I7:K7" si="4">AVERAGE(E7,E16)</f>
        <v>1.264E-2</v>
      </c>
      <c r="J7">
        <f t="shared" si="4"/>
        <v>2.8315E-2</v>
      </c>
      <c r="K7">
        <f t="shared" si="4"/>
        <v>1.737E-2</v>
      </c>
    </row>
    <row r="8" spans="1:11">
      <c r="A8" t="s">
        <v>51</v>
      </c>
      <c r="B8" t="s">
        <v>52</v>
      </c>
      <c r="C8">
        <v>7</v>
      </c>
      <c r="D8" t="s">
        <v>134</v>
      </c>
      <c r="E8">
        <v>3.6700000000000001E-3</v>
      </c>
      <c r="F8">
        <v>2.1819999999999999E-2</v>
      </c>
      <c r="G8">
        <v>1.5299999999999999E-2</v>
      </c>
      <c r="I8">
        <f t="shared" ref="I8:K8" si="5">AVERAGE(E8,E17)</f>
        <v>6.0400000000000002E-3</v>
      </c>
      <c r="J8">
        <f t="shared" si="5"/>
        <v>2.2185E-2</v>
      </c>
      <c r="K8">
        <f t="shared" si="5"/>
        <v>1.4544999999999999E-2</v>
      </c>
    </row>
    <row r="9" spans="1:11">
      <c r="A9" t="s">
        <v>59</v>
      </c>
      <c r="B9" t="s">
        <v>60</v>
      </c>
      <c r="C9">
        <v>8</v>
      </c>
      <c r="D9" t="s">
        <v>134</v>
      </c>
      <c r="E9">
        <v>3.6700000000000001E-3</v>
      </c>
      <c r="F9">
        <v>1.5299999999999999E-2</v>
      </c>
      <c r="G9">
        <v>1.8079999999999999E-2</v>
      </c>
      <c r="I9">
        <f t="shared" ref="I9:K9" si="6">AVERAGE(E9,E18)</f>
        <v>6.6549999999999995E-3</v>
      </c>
      <c r="J9">
        <f t="shared" si="6"/>
        <v>1.43E-2</v>
      </c>
      <c r="K9">
        <f t="shared" si="6"/>
        <v>1.984E-2</v>
      </c>
    </row>
    <row r="10" spans="1:11">
      <c r="A10" t="s">
        <v>55</v>
      </c>
      <c r="B10" t="s">
        <v>56</v>
      </c>
      <c r="C10">
        <v>9</v>
      </c>
      <c r="D10" t="s">
        <v>134</v>
      </c>
      <c r="E10">
        <v>1.0030000000000001E-2</v>
      </c>
      <c r="F10">
        <v>1.9810000000000001E-2</v>
      </c>
      <c r="G10">
        <v>2.1930000000000002E-2</v>
      </c>
      <c r="I10">
        <f>AVERAGE(E10,E19)</f>
        <v>1.6954999999999998E-2</v>
      </c>
      <c r="J10">
        <f t="shared" ref="J10:K10" si="7">AVERAGE(F10,F19)</f>
        <v>1.6840000000000001E-2</v>
      </c>
      <c r="K10">
        <f t="shared" si="7"/>
        <v>2.2635000000000002E-2</v>
      </c>
    </row>
    <row r="11" spans="1:11">
      <c r="A11" t="s">
        <v>79</v>
      </c>
      <c r="B11" t="s">
        <v>80</v>
      </c>
      <c r="C11">
        <v>1</v>
      </c>
      <c r="D11" t="s">
        <v>135</v>
      </c>
      <c r="E11">
        <v>2.265E-2</v>
      </c>
      <c r="F11">
        <v>2.4539999999999999E-2</v>
      </c>
      <c r="G11">
        <v>1.5049999999999999E-2</v>
      </c>
    </row>
    <row r="12" spans="1:11">
      <c r="A12" t="s">
        <v>81</v>
      </c>
      <c r="B12" t="s">
        <v>82</v>
      </c>
      <c r="C12">
        <v>2</v>
      </c>
      <c r="D12" t="s">
        <v>135</v>
      </c>
      <c r="E12">
        <v>1.2959999999999999E-2</v>
      </c>
      <c r="F12">
        <v>1.9699999999999999E-2</v>
      </c>
      <c r="G12">
        <v>1.7930000000000001E-2</v>
      </c>
    </row>
    <row r="13" spans="1:11">
      <c r="A13" t="s">
        <v>83</v>
      </c>
      <c r="B13" t="s">
        <v>84</v>
      </c>
      <c r="C13">
        <v>3</v>
      </c>
      <c r="D13" t="s">
        <v>135</v>
      </c>
      <c r="E13">
        <v>1.24E-2</v>
      </c>
      <c r="F13">
        <v>2.2120000000000001E-2</v>
      </c>
      <c r="G13">
        <v>1.898E-2</v>
      </c>
    </row>
    <row r="14" spans="1:11">
      <c r="A14" t="s">
        <v>67</v>
      </c>
      <c r="B14" t="s">
        <v>68</v>
      </c>
      <c r="C14">
        <v>4</v>
      </c>
      <c r="D14" t="s">
        <v>135</v>
      </c>
      <c r="E14">
        <v>0.22656000000000001</v>
      </c>
      <c r="F14">
        <v>5.1369999999999999E-2</v>
      </c>
      <c r="G14">
        <v>8.133E-2</v>
      </c>
    </row>
    <row r="15" spans="1:11">
      <c r="A15" t="s">
        <v>71</v>
      </c>
      <c r="B15" t="s">
        <v>72</v>
      </c>
      <c r="C15">
        <v>5</v>
      </c>
      <c r="D15" t="s">
        <v>135</v>
      </c>
      <c r="E15">
        <v>1.192E-2</v>
      </c>
      <c r="F15">
        <v>2.7310000000000001E-2</v>
      </c>
      <c r="G15">
        <v>1.545E-2</v>
      </c>
    </row>
    <row r="16" spans="1:11">
      <c r="A16" t="s">
        <v>73</v>
      </c>
      <c r="B16" t="s">
        <v>74</v>
      </c>
      <c r="C16">
        <v>6</v>
      </c>
      <c r="D16" t="s">
        <v>135</v>
      </c>
      <c r="E16">
        <v>1.389E-2</v>
      </c>
      <c r="F16">
        <v>2.2120000000000001E-2</v>
      </c>
      <c r="G16">
        <v>1.635E-2</v>
      </c>
    </row>
    <row r="17" spans="1:11">
      <c r="A17" t="s">
        <v>77</v>
      </c>
      <c r="B17" t="s">
        <v>78</v>
      </c>
      <c r="C17">
        <v>7</v>
      </c>
      <c r="D17" t="s">
        <v>135</v>
      </c>
      <c r="E17">
        <v>8.4100000000000008E-3</v>
      </c>
      <c r="F17">
        <v>2.2550000000000001E-2</v>
      </c>
      <c r="G17">
        <v>1.379E-2</v>
      </c>
    </row>
    <row r="18" spans="1:11">
      <c r="A18" t="s">
        <v>69</v>
      </c>
      <c r="B18" t="s">
        <v>70</v>
      </c>
      <c r="C18">
        <v>8</v>
      </c>
      <c r="D18" t="s">
        <v>135</v>
      </c>
      <c r="E18">
        <v>9.6399999999999993E-3</v>
      </c>
      <c r="F18">
        <v>1.3299999999999999E-2</v>
      </c>
      <c r="G18">
        <v>2.1600000000000001E-2</v>
      </c>
    </row>
    <row r="19" spans="1:11">
      <c r="A19" t="s">
        <v>75</v>
      </c>
      <c r="B19" t="s">
        <v>76</v>
      </c>
      <c r="C19">
        <v>9</v>
      </c>
      <c r="D19" t="s">
        <v>135</v>
      </c>
      <c r="E19">
        <v>2.3879999999999998E-2</v>
      </c>
      <c r="F19">
        <v>1.387E-2</v>
      </c>
      <c r="G19">
        <v>2.334E-2</v>
      </c>
    </row>
    <row r="22" spans="1:11">
      <c r="A22" t="s">
        <v>85</v>
      </c>
      <c r="B22" t="s">
        <v>86</v>
      </c>
      <c r="D22" t="s">
        <v>134</v>
      </c>
      <c r="E22">
        <v>6.1500000000000001E-3</v>
      </c>
      <c r="F22">
        <v>3.9849999999999998E-3</v>
      </c>
      <c r="G22">
        <v>1.239E-2</v>
      </c>
      <c r="I22">
        <v>6.1500000000000001E-3</v>
      </c>
      <c r="J22">
        <v>3.9849999999999998E-3</v>
      </c>
      <c r="K22">
        <v>1.239E-2</v>
      </c>
    </row>
    <row r="23" spans="1:11">
      <c r="A23" t="s">
        <v>87</v>
      </c>
      <c r="B23" t="s">
        <v>88</v>
      </c>
      <c r="D23" t="s">
        <v>134</v>
      </c>
      <c r="E23">
        <v>6.1500000000000001E-3</v>
      </c>
      <c r="F23">
        <v>3.9849999999999998E-3</v>
      </c>
      <c r="G23">
        <v>1.4109999999999999E-2</v>
      </c>
      <c r="I23">
        <v>6.1500000000000001E-3</v>
      </c>
      <c r="J23">
        <v>3.9849999999999998E-3</v>
      </c>
      <c r="K23">
        <v>1.4109999999999999E-2</v>
      </c>
    </row>
    <row r="24" spans="1:11">
      <c r="A24" t="s">
        <v>89</v>
      </c>
      <c r="B24" t="s">
        <v>90</v>
      </c>
      <c r="D24" t="s">
        <v>134</v>
      </c>
      <c r="E24">
        <v>6.1500000000000001E-3</v>
      </c>
      <c r="F24">
        <v>3.9849999999999998E-3</v>
      </c>
      <c r="G24">
        <v>1.072E-2</v>
      </c>
      <c r="I24">
        <f>AVERAGE(E24,E39)</f>
        <v>5.6649999999999999E-3</v>
      </c>
      <c r="J24">
        <f t="shared" ref="J24" si="8">AVERAGE(F24,F39)</f>
        <v>4.2874999999999996E-3</v>
      </c>
      <c r="K24">
        <f>AVERAGE(G24,G39)</f>
        <v>1.5585E-2</v>
      </c>
    </row>
    <row r="25" spans="1:11">
      <c r="A25" t="s">
        <v>91</v>
      </c>
      <c r="B25" t="s">
        <v>92</v>
      </c>
      <c r="D25" t="s">
        <v>134</v>
      </c>
      <c r="E25">
        <v>6.1500000000000001E-3</v>
      </c>
      <c r="F25">
        <v>3.9849999999999998E-3</v>
      </c>
      <c r="G25">
        <v>1.094E-2</v>
      </c>
      <c r="I25">
        <v>6.1500000000000001E-3</v>
      </c>
      <c r="J25">
        <v>3.9849999999999998E-3</v>
      </c>
      <c r="K25">
        <v>1.094E-2</v>
      </c>
    </row>
    <row r="26" spans="1:11">
      <c r="A26" t="s">
        <v>93</v>
      </c>
      <c r="B26" t="s">
        <v>94</v>
      </c>
      <c r="D26" t="s">
        <v>134</v>
      </c>
      <c r="E26">
        <v>6.1500000000000001E-3</v>
      </c>
      <c r="F26">
        <v>3.9849999999999998E-3</v>
      </c>
      <c r="G26">
        <v>1.354E-2</v>
      </c>
      <c r="I26">
        <v>6.1500000000000001E-3</v>
      </c>
      <c r="J26">
        <v>3.9849999999999998E-3</v>
      </c>
      <c r="K26">
        <v>1.354E-2</v>
      </c>
    </row>
    <row r="27" spans="1:11">
      <c r="A27" t="s">
        <v>95</v>
      </c>
      <c r="B27" t="s">
        <v>96</v>
      </c>
      <c r="D27" t="s">
        <v>134</v>
      </c>
      <c r="E27">
        <v>6.1500000000000001E-3</v>
      </c>
      <c r="F27">
        <v>3.9849999999999998E-3</v>
      </c>
      <c r="G27">
        <v>1.504E-2</v>
      </c>
      <c r="I27">
        <v>6.1500000000000001E-3</v>
      </c>
      <c r="J27">
        <v>3.9849999999999998E-3</v>
      </c>
      <c r="K27">
        <v>1.504E-2</v>
      </c>
    </row>
    <row r="28" spans="1:11">
      <c r="A28" t="s">
        <v>97</v>
      </c>
      <c r="B28" t="s">
        <v>98</v>
      </c>
      <c r="D28" t="s">
        <v>134</v>
      </c>
      <c r="E28">
        <v>6.1500000000000001E-3</v>
      </c>
      <c r="F28">
        <v>3.9849999999999998E-3</v>
      </c>
      <c r="G28">
        <v>1.1390000000000001E-2</v>
      </c>
      <c r="I28">
        <v>6.1500000000000001E-3</v>
      </c>
      <c r="J28">
        <v>3.9849999999999998E-3</v>
      </c>
      <c r="K28">
        <v>1.1390000000000001E-2</v>
      </c>
    </row>
    <row r="29" spans="1:11">
      <c r="A29" t="s">
        <v>99</v>
      </c>
      <c r="B29" t="s">
        <v>100</v>
      </c>
      <c r="D29" t="s">
        <v>134</v>
      </c>
      <c r="E29">
        <v>6.1500000000000001E-3</v>
      </c>
      <c r="F29">
        <v>3.9849999999999998E-3</v>
      </c>
      <c r="G29">
        <v>1.388E-2</v>
      </c>
      <c r="I29">
        <f>AVERAGE(E29,E40)</f>
        <v>4.2300000000000003E-3</v>
      </c>
      <c r="J29">
        <f t="shared" ref="J29:K29" si="9">AVERAGE(F29,F40)</f>
        <v>4.3724999999999997E-3</v>
      </c>
      <c r="K29">
        <f t="shared" si="9"/>
        <v>1.3850000000000001E-2</v>
      </c>
    </row>
    <row r="30" spans="1:11">
      <c r="A30" t="s">
        <v>101</v>
      </c>
      <c r="B30" t="s">
        <v>102</v>
      </c>
      <c r="D30" t="s">
        <v>134</v>
      </c>
      <c r="E30">
        <v>6.1500000000000001E-3</v>
      </c>
      <c r="F30">
        <v>3.9849999999999998E-3</v>
      </c>
      <c r="G30">
        <v>9.9699999999999997E-3</v>
      </c>
      <c r="I30">
        <v>6.1500000000000001E-3</v>
      </c>
      <c r="J30">
        <v>3.9849999999999998E-3</v>
      </c>
      <c r="K30">
        <v>9.9699999999999997E-3</v>
      </c>
    </row>
    <row r="31" spans="1:11">
      <c r="A31" t="s">
        <v>103</v>
      </c>
      <c r="B31" t="s">
        <v>104</v>
      </c>
      <c r="D31" t="s">
        <v>134</v>
      </c>
      <c r="E31">
        <v>6.1500000000000001E-3</v>
      </c>
      <c r="F31">
        <v>3.9849999999999998E-3</v>
      </c>
      <c r="G31">
        <v>1.14E-2</v>
      </c>
      <c r="I31">
        <v>6.1500000000000001E-3</v>
      </c>
      <c r="J31">
        <v>3.9849999999999998E-3</v>
      </c>
      <c r="K31">
        <v>1.14E-2</v>
      </c>
    </row>
    <row r="32" spans="1:11">
      <c r="A32" t="s">
        <v>105</v>
      </c>
      <c r="B32" t="s">
        <v>106</v>
      </c>
      <c r="D32" t="s">
        <v>134</v>
      </c>
      <c r="E32">
        <v>6.1500000000000001E-3</v>
      </c>
      <c r="F32">
        <v>3.9849999999999998E-3</v>
      </c>
      <c r="G32">
        <v>1.2500000000000001E-2</v>
      </c>
      <c r="I32">
        <v>6.1500000000000001E-3</v>
      </c>
      <c r="J32">
        <v>3.9849999999999998E-3</v>
      </c>
      <c r="K32">
        <v>1.2500000000000001E-2</v>
      </c>
    </row>
    <row r="33" spans="1:11">
      <c r="A33" t="s">
        <v>107</v>
      </c>
      <c r="B33" t="s">
        <v>108</v>
      </c>
      <c r="D33" t="s">
        <v>134</v>
      </c>
      <c r="E33">
        <v>6.1500000000000001E-3</v>
      </c>
      <c r="F33">
        <v>3.9849999999999998E-3</v>
      </c>
      <c r="G33">
        <v>9.5999999999999992E-3</v>
      </c>
      <c r="I33">
        <f>AVERAGE(E33,E41)</f>
        <v>4.2300000000000003E-3</v>
      </c>
      <c r="J33">
        <f t="shared" ref="J33:K33" si="10">AVERAGE(F33,F41)</f>
        <v>5.1874999999999994E-3</v>
      </c>
      <c r="K33">
        <f t="shared" si="10"/>
        <v>1.0800000000000001E-2</v>
      </c>
    </row>
    <row r="34" spans="1:11">
      <c r="A34" t="s">
        <v>109</v>
      </c>
      <c r="B34" t="s">
        <v>110</v>
      </c>
      <c r="D34" t="s">
        <v>134</v>
      </c>
      <c r="E34">
        <v>6.1500000000000001E-3</v>
      </c>
      <c r="F34">
        <v>4.1739999999999999E-2</v>
      </c>
      <c r="G34">
        <v>4.6269999999999999E-2</v>
      </c>
      <c r="I34">
        <v>6.1500000000000001E-3</v>
      </c>
      <c r="J34">
        <v>4.1739999999999999E-2</v>
      </c>
      <c r="K34">
        <v>4.6269999999999999E-2</v>
      </c>
    </row>
    <row r="35" spans="1:11">
      <c r="A35" t="s">
        <v>111</v>
      </c>
      <c r="B35" t="s">
        <v>112</v>
      </c>
      <c r="D35" t="s">
        <v>134</v>
      </c>
      <c r="E35">
        <v>6.1500000000000001E-3</v>
      </c>
      <c r="F35">
        <v>2.257E-2</v>
      </c>
      <c r="G35">
        <v>3.4380000000000001E-2</v>
      </c>
      <c r="I35">
        <f>AVERAGE(E35,E42)</f>
        <v>4.2300000000000003E-3</v>
      </c>
      <c r="J35">
        <f t="shared" ref="J35:K35" si="11">AVERAGE(F35,F42)</f>
        <v>5.7874999999999996E-2</v>
      </c>
      <c r="K35">
        <f t="shared" si="11"/>
        <v>0.12204999999999999</v>
      </c>
    </row>
    <row r="36" spans="1:11">
      <c r="A36" t="s">
        <v>113</v>
      </c>
      <c r="B36" t="s">
        <v>114</v>
      </c>
      <c r="D36" t="s">
        <v>134</v>
      </c>
      <c r="E36">
        <v>0.11494</v>
      </c>
      <c r="F36">
        <v>4.0910000000000002E-2</v>
      </c>
      <c r="G36">
        <v>0.20249</v>
      </c>
      <c r="I36">
        <v>0.11494</v>
      </c>
      <c r="J36">
        <v>4.0910000000000002E-2</v>
      </c>
      <c r="K36">
        <v>0.20249</v>
      </c>
    </row>
    <row r="37" spans="1:11">
      <c r="A37" t="s">
        <v>115</v>
      </c>
      <c r="B37" t="s">
        <v>116</v>
      </c>
      <c r="D37" t="s">
        <v>134</v>
      </c>
      <c r="E37">
        <v>6.1500000000000001E-3</v>
      </c>
      <c r="F37">
        <v>4.5190000000000001E-2</v>
      </c>
      <c r="G37">
        <v>2.8490000000000001E-2</v>
      </c>
      <c r="I37">
        <v>6.1500000000000001E-3</v>
      </c>
      <c r="J37">
        <v>4.5190000000000001E-2</v>
      </c>
      <c r="K37">
        <v>2.8490000000000001E-2</v>
      </c>
    </row>
    <row r="39" spans="1:11">
      <c r="A39" t="s">
        <v>117</v>
      </c>
      <c r="B39" t="s">
        <v>118</v>
      </c>
      <c r="D39" t="s">
        <v>135</v>
      </c>
      <c r="E39">
        <v>5.1799999999999997E-3</v>
      </c>
      <c r="F39">
        <v>4.5900000000000003E-3</v>
      </c>
      <c r="G39">
        <v>2.0449999999999999E-2</v>
      </c>
    </row>
    <row r="40" spans="1:11">
      <c r="A40" t="s">
        <v>119</v>
      </c>
      <c r="B40" t="s">
        <v>120</v>
      </c>
      <c r="D40" t="s">
        <v>135</v>
      </c>
      <c r="E40">
        <v>2.31E-3</v>
      </c>
      <c r="F40">
        <v>4.7600000000000003E-3</v>
      </c>
      <c r="G40">
        <v>1.3820000000000001E-2</v>
      </c>
    </row>
    <row r="41" spans="1:11">
      <c r="A41" t="s">
        <v>121</v>
      </c>
      <c r="B41" t="s">
        <v>122</v>
      </c>
      <c r="D41" t="s">
        <v>135</v>
      </c>
      <c r="E41">
        <v>2.31E-3</v>
      </c>
      <c r="F41">
        <v>6.3899999999999998E-3</v>
      </c>
      <c r="G41">
        <v>1.2E-2</v>
      </c>
    </row>
    <row r="42" spans="1:11">
      <c r="A42" t="s">
        <v>123</v>
      </c>
      <c r="B42" t="s">
        <v>124</v>
      </c>
      <c r="D42" t="s">
        <v>135</v>
      </c>
      <c r="E42">
        <v>2.31E-3</v>
      </c>
      <c r="F42">
        <v>9.3179999999999999E-2</v>
      </c>
      <c r="G42">
        <v>0.20971999999999999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2022_2023_MAGM_ambient_concentr</vt:lpstr>
      <vt:lpstr>intact core amb</vt:lpstr>
      <vt:lpstr>resin core amb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2024-04-04T12:31:39Z</dcterms:created>
  <dcterms:modified xsi:type="dcterms:W3CDTF">2024-04-11T14:29:10Z</dcterms:modified>
</cp:coreProperties>
</file>