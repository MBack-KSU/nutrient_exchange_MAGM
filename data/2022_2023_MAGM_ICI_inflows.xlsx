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b\Documents\Kinsman-Costello Lab\Dissertation\MAGM nutrient flux manuscript\data\"/>
    </mc:Choice>
  </mc:AlternateContent>
  <xr:revisionPtr revIDLastSave="0" documentId="13_ncr:1_{38A9FB8E-4375-43DB-B1F1-EE138A73E345}" xr6:coauthVersionLast="47" xr6:coauthVersionMax="47" xr10:uidLastSave="{00000000-0000-0000-0000-000000000000}"/>
  <bookViews>
    <workbookView xWindow="-110" yWindow="-110" windowWidth="19420" windowHeight="10420" xr2:uid="{53AB9FD3-7EB1-4460-ADC8-A04ABF84B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7" i="1"/>
  <c r="M15" i="1"/>
  <c r="M14" i="1"/>
  <c r="M5" i="1"/>
  <c r="M4" i="1"/>
  <c r="M3" i="1"/>
  <c r="M2" i="1"/>
  <c r="K14" i="1"/>
  <c r="K5" i="1"/>
  <c r="K4" i="1"/>
  <c r="K3" i="1"/>
  <c r="K2" i="1"/>
  <c r="K17" i="1"/>
  <c r="K16" i="1"/>
  <c r="K15" i="1"/>
  <c r="I17" i="1"/>
  <c r="I16" i="1"/>
  <c r="I15" i="1"/>
  <c r="I14" i="1"/>
  <c r="I5" i="1"/>
  <c r="I4" i="1"/>
  <c r="I3" i="1"/>
  <c r="I2" i="1"/>
</calcChain>
</file>

<file path=xl/sharedStrings.xml><?xml version="1.0" encoding="utf-8"?>
<sst xmlns="http://schemas.openxmlformats.org/spreadsheetml/2006/main" count="85" uniqueCount="22">
  <si>
    <t>site</t>
  </si>
  <si>
    <t>year</t>
  </si>
  <si>
    <t>habitat</t>
  </si>
  <si>
    <t>core_id</t>
  </si>
  <si>
    <t>flow_rate</t>
  </si>
  <si>
    <t>core_sa_m2</t>
  </si>
  <si>
    <t>time</t>
  </si>
  <si>
    <t>in_NO3_ugL</t>
  </si>
  <si>
    <t>in_orthoP_ugL</t>
  </si>
  <si>
    <t>in_NH3_ugL</t>
  </si>
  <si>
    <t>MAGM</t>
  </si>
  <si>
    <t>grasses</t>
  </si>
  <si>
    <t>T1</t>
  </si>
  <si>
    <t>sav</t>
  </si>
  <si>
    <t>hardwoods</t>
  </si>
  <si>
    <t>typha</t>
  </si>
  <si>
    <t>T2</t>
  </si>
  <si>
    <t>T3</t>
  </si>
  <si>
    <t>fav</t>
  </si>
  <si>
    <t>avg_NO3_mgL</t>
  </si>
  <si>
    <t>avg_oP_mgL</t>
  </si>
  <si>
    <t>avg_NH3_mgL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</si>
</sst>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62E8-5D4B-48C4-BA2A-AB2D3279EAA3}">
  <dimension ref="A1:M25"/>
  <sheetViews>
    <sheetView tabSelected="1" workbookViewId="0">
      <selection activeCell="N9" sqref="N9"/>
    </sheetView>
  </sheetViews>
  <sheetFormatPr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8</v>
      </c>
      <c r="K1" t="s">
        <v>20</v>
      </c>
      <c r="L1" t="s">
        <v>9</v>
      </c>
      <c r="M1" t="s">
        <v>21</v>
      </c>
    </row>
    <row r="2" spans="1:13">
      <c r="A2" t="s">
        <v>10</v>
      </c>
      <c r="B2">
        <v>2022</v>
      </c>
      <c r="C2" t="s">
        <v>11</v>
      </c>
      <c r="D2">
        <v>1</v>
      </c>
      <c r="E2">
        <v>1.27</v>
      </c>
      <c r="F2">
        <v>4.4999999999999997E-3</v>
      </c>
      <c r="G2" t="s">
        <v>12</v>
      </c>
      <c r="H2">
        <v>24.58</v>
      </c>
      <c r="I2">
        <f>(AVERAGE(H2,H6,H10))/1000</f>
        <v>2.244666666666667E-2</v>
      </c>
      <c r="J2">
        <v>29.4</v>
      </c>
      <c r="K2">
        <f>(AVERAGE(J2,J6,J10))/1000</f>
        <v>3.6723333333333337E-2</v>
      </c>
      <c r="L2">
        <v>41.34</v>
      </c>
      <c r="M2">
        <f>(AVERAGE(L2,L6,L10))/1000</f>
        <v>6.2483333333333328E-2</v>
      </c>
    </row>
    <row r="3" spans="1:13">
      <c r="A3" t="s">
        <v>10</v>
      </c>
      <c r="B3">
        <v>2022</v>
      </c>
      <c r="C3" t="s">
        <v>13</v>
      </c>
      <c r="D3">
        <v>4</v>
      </c>
      <c r="E3">
        <v>1.1299999999999999</v>
      </c>
      <c r="F3">
        <v>4.4999999999999997E-3</v>
      </c>
      <c r="G3" t="s">
        <v>12</v>
      </c>
      <c r="H3">
        <v>48.19</v>
      </c>
      <c r="I3">
        <f>(AVERAGE(H3,H7,H11))/1000</f>
        <v>4.5673333333333337E-2</v>
      </c>
      <c r="J3">
        <v>99.5</v>
      </c>
      <c r="K3">
        <f>(AVERAGE(J3,J7,J11))/1000</f>
        <v>0.10148333333333333</v>
      </c>
      <c r="L3">
        <v>55.45</v>
      </c>
      <c r="M3">
        <f>(AVERAGE(L3,L7,L11))/1000</f>
        <v>7.6336666666666678E-2</v>
      </c>
    </row>
    <row r="4" spans="1:13">
      <c r="A4" t="s">
        <v>10</v>
      </c>
      <c r="B4">
        <v>2022</v>
      </c>
      <c r="C4" t="s">
        <v>14</v>
      </c>
      <c r="D4">
        <v>7</v>
      </c>
      <c r="E4">
        <v>1.47</v>
      </c>
      <c r="F4">
        <v>4.4999999999999997E-3</v>
      </c>
      <c r="G4" t="s">
        <v>12</v>
      </c>
      <c r="H4">
        <v>20.6</v>
      </c>
      <c r="I4">
        <f>(AVERAGE(H4,H8,H12))/1000</f>
        <v>2.0403333333333332E-2</v>
      </c>
      <c r="J4">
        <v>16.7</v>
      </c>
      <c r="K4">
        <f>(AVERAGE(J4,J8,J12))/1000</f>
        <v>1.9293333333333332E-2</v>
      </c>
      <c r="L4">
        <v>12.1</v>
      </c>
      <c r="M4">
        <f>(AVERAGE(L4,L8,L12))/1000</f>
        <v>1.9963333333333336E-2</v>
      </c>
    </row>
    <row r="5" spans="1:13">
      <c r="A5" t="s">
        <v>10</v>
      </c>
      <c r="B5">
        <v>2022</v>
      </c>
      <c r="C5" t="s">
        <v>15</v>
      </c>
      <c r="D5">
        <v>10</v>
      </c>
      <c r="E5">
        <v>1</v>
      </c>
      <c r="F5">
        <v>4.4999999999999997E-3</v>
      </c>
      <c r="G5" t="s">
        <v>12</v>
      </c>
      <c r="H5">
        <v>22.42</v>
      </c>
      <c r="I5">
        <f>(AVERAGE(H5,H9,H13))/1000</f>
        <v>2.3813333333333332E-2</v>
      </c>
      <c r="J5">
        <v>14.45</v>
      </c>
      <c r="K5">
        <f>(AVERAGE(J5,J9,J13))/1000</f>
        <v>1.5196666666666667E-2</v>
      </c>
      <c r="L5">
        <v>12.75</v>
      </c>
      <c r="M5">
        <f>(AVERAGE(L5,L9,L13))/1000</f>
        <v>1.5386666666666665E-2</v>
      </c>
    </row>
    <row r="6" spans="1:13">
      <c r="A6" t="s">
        <v>10</v>
      </c>
      <c r="B6">
        <v>2022</v>
      </c>
      <c r="C6" t="s">
        <v>11</v>
      </c>
      <c r="D6">
        <v>1</v>
      </c>
      <c r="E6">
        <v>1.1000000000000001</v>
      </c>
      <c r="F6">
        <v>4.4999999999999997E-3</v>
      </c>
      <c r="G6" t="s">
        <v>16</v>
      </c>
      <c r="H6">
        <v>21.22</v>
      </c>
      <c r="J6">
        <v>36.75</v>
      </c>
      <c r="L6">
        <v>61.87</v>
      </c>
    </row>
    <row r="7" spans="1:13">
      <c r="A7" t="s">
        <v>10</v>
      </c>
      <c r="B7">
        <v>2022</v>
      </c>
      <c r="C7" t="s">
        <v>13</v>
      </c>
      <c r="D7">
        <v>4</v>
      </c>
      <c r="E7">
        <v>1.1299999999999999</v>
      </c>
      <c r="F7">
        <v>4.4999999999999997E-3</v>
      </c>
      <c r="G7" t="s">
        <v>16</v>
      </c>
      <c r="H7">
        <v>43.87</v>
      </c>
      <c r="J7">
        <v>100.08</v>
      </c>
      <c r="L7">
        <v>81.400000000000006</v>
      </c>
    </row>
    <row r="8" spans="1:13">
      <c r="A8" t="s">
        <v>10</v>
      </c>
      <c r="B8">
        <v>2022</v>
      </c>
      <c r="C8" t="s">
        <v>14</v>
      </c>
      <c r="D8">
        <v>7</v>
      </c>
      <c r="E8">
        <v>1.07</v>
      </c>
      <c r="F8">
        <v>4.4999999999999997E-3</v>
      </c>
      <c r="G8" t="s">
        <v>16</v>
      </c>
      <c r="H8">
        <v>18.899999999999999</v>
      </c>
      <c r="J8">
        <v>21.07</v>
      </c>
      <c r="L8">
        <v>19.23</v>
      </c>
    </row>
    <row r="9" spans="1:13">
      <c r="A9" t="s">
        <v>10</v>
      </c>
      <c r="B9">
        <v>2022</v>
      </c>
      <c r="C9" t="s">
        <v>15</v>
      </c>
      <c r="D9">
        <v>10</v>
      </c>
      <c r="E9">
        <v>1</v>
      </c>
      <c r="F9">
        <v>4.4999999999999997E-3</v>
      </c>
      <c r="G9" t="s">
        <v>16</v>
      </c>
      <c r="H9">
        <v>19.61</v>
      </c>
      <c r="J9">
        <v>14.15</v>
      </c>
      <c r="L9">
        <v>14.04</v>
      </c>
    </row>
    <row r="10" spans="1:13">
      <c r="A10" t="s">
        <v>10</v>
      </c>
      <c r="B10">
        <v>2022</v>
      </c>
      <c r="C10" t="s">
        <v>11</v>
      </c>
      <c r="D10">
        <v>1</v>
      </c>
      <c r="E10">
        <v>1.17</v>
      </c>
      <c r="F10">
        <v>4.4999999999999997E-3</v>
      </c>
      <c r="G10" t="s">
        <v>17</v>
      </c>
      <c r="H10">
        <v>21.54</v>
      </c>
      <c r="J10">
        <v>44.02</v>
      </c>
      <c r="L10">
        <v>84.24</v>
      </c>
    </row>
    <row r="11" spans="1:13">
      <c r="A11" t="s">
        <v>10</v>
      </c>
      <c r="B11">
        <v>2022</v>
      </c>
      <c r="C11" t="s">
        <v>13</v>
      </c>
      <c r="D11">
        <v>4</v>
      </c>
      <c r="E11">
        <v>1.1299999999999999</v>
      </c>
      <c r="F11">
        <v>4.4999999999999997E-3</v>
      </c>
      <c r="G11" t="s">
        <v>17</v>
      </c>
      <c r="H11">
        <v>44.96</v>
      </c>
      <c r="J11">
        <v>104.87</v>
      </c>
      <c r="L11">
        <v>92.16</v>
      </c>
    </row>
    <row r="12" spans="1:13">
      <c r="A12" t="s">
        <v>10</v>
      </c>
      <c r="B12">
        <v>2022</v>
      </c>
      <c r="C12" t="s">
        <v>14</v>
      </c>
      <c r="D12">
        <v>7</v>
      </c>
      <c r="E12">
        <v>1.2</v>
      </c>
      <c r="F12">
        <v>4.4999999999999997E-3</v>
      </c>
      <c r="G12" t="s">
        <v>17</v>
      </c>
      <c r="H12">
        <v>21.71</v>
      </c>
      <c r="J12">
        <v>20.11</v>
      </c>
      <c r="L12">
        <v>28.56</v>
      </c>
    </row>
    <row r="13" spans="1:13">
      <c r="A13" t="s">
        <v>10</v>
      </c>
      <c r="B13">
        <v>2022</v>
      </c>
      <c r="C13" t="s">
        <v>15</v>
      </c>
      <c r="D13">
        <v>10</v>
      </c>
      <c r="E13">
        <v>1.03</v>
      </c>
      <c r="F13">
        <v>4.4999999999999997E-3</v>
      </c>
      <c r="G13" t="s">
        <v>17</v>
      </c>
      <c r="H13">
        <v>29.41</v>
      </c>
      <c r="J13">
        <v>16.989999999999998</v>
      </c>
      <c r="L13">
        <v>19.37</v>
      </c>
    </row>
    <row r="14" spans="1:13">
      <c r="A14" t="s">
        <v>10</v>
      </c>
      <c r="B14">
        <v>2023</v>
      </c>
      <c r="C14" t="s">
        <v>13</v>
      </c>
      <c r="D14">
        <v>13</v>
      </c>
      <c r="E14">
        <v>1.17</v>
      </c>
      <c r="F14">
        <v>4.4999999999999997E-3</v>
      </c>
      <c r="G14" t="s">
        <v>12</v>
      </c>
      <c r="H14">
        <v>11.41</v>
      </c>
      <c r="I14">
        <f>(AVERAGE(H14,H18,H22))/1000</f>
        <v>1.6113333333333334E-2</v>
      </c>
      <c r="J14">
        <v>1.9450000000000001</v>
      </c>
      <c r="K14">
        <f>(AVERAGE(J14,J18,J22))/1000</f>
        <v>2.6099999999999999E-3</v>
      </c>
      <c r="L14">
        <v>15.33</v>
      </c>
      <c r="M14">
        <f>(AVERAGE(L14,L18,L22))/1000</f>
        <v>4.1873333333333332E-2</v>
      </c>
    </row>
    <row r="15" spans="1:13">
      <c r="A15" t="s">
        <v>10</v>
      </c>
      <c r="B15">
        <v>2023</v>
      </c>
      <c r="C15" t="s">
        <v>18</v>
      </c>
      <c r="D15">
        <v>17</v>
      </c>
      <c r="E15">
        <v>1.25</v>
      </c>
      <c r="F15">
        <v>4.4999999999999997E-3</v>
      </c>
      <c r="G15" t="s">
        <v>12</v>
      </c>
      <c r="H15">
        <v>31.13</v>
      </c>
      <c r="I15">
        <f>(AVERAGE(H15,H19,H23))/1000</f>
        <v>2.4156666666666667E-2</v>
      </c>
      <c r="J15">
        <v>5.49</v>
      </c>
      <c r="K15">
        <f>(AVERAGE(J15,J19,J23))/1000</f>
        <v>6.6000000000000008E-3</v>
      </c>
      <c r="L15">
        <v>18.52</v>
      </c>
      <c r="M15">
        <f>(AVERAGE(L15,L19,L23))/1000</f>
        <v>3.2696666666666666E-2</v>
      </c>
    </row>
    <row r="16" spans="1:13">
      <c r="A16" t="s">
        <v>10</v>
      </c>
      <c r="B16">
        <v>2023</v>
      </c>
      <c r="C16" t="s">
        <v>18</v>
      </c>
      <c r="D16">
        <v>21</v>
      </c>
      <c r="E16">
        <v>1.1599999999999999</v>
      </c>
      <c r="F16">
        <v>4.4999999999999997E-3</v>
      </c>
      <c r="G16" t="s">
        <v>12</v>
      </c>
      <c r="H16">
        <v>5.1449999999999996</v>
      </c>
      <c r="I16">
        <f>(AVERAGE(H16,H20,H24))/1000</f>
        <v>1.5964999999999997E-2</v>
      </c>
      <c r="J16">
        <v>8.4600000000000009</v>
      </c>
      <c r="K16">
        <f>(AVERAGE(J16,J20,J24))/1000</f>
        <v>8.6733333333333332E-3</v>
      </c>
      <c r="L16">
        <v>17.14</v>
      </c>
      <c r="M16">
        <f>(AVERAGE(L16,L20,L24))/1000</f>
        <v>2.9420000000000002E-2</v>
      </c>
    </row>
    <row r="17" spans="1:13">
      <c r="A17" t="s">
        <v>10</v>
      </c>
      <c r="B17">
        <v>2023</v>
      </c>
      <c r="C17" t="s">
        <v>14</v>
      </c>
      <c r="D17">
        <v>25</v>
      </c>
      <c r="E17">
        <v>0.76</v>
      </c>
      <c r="F17">
        <v>4.4999999999999997E-3</v>
      </c>
      <c r="G17" t="s">
        <v>12</v>
      </c>
      <c r="H17">
        <v>5.1449999999999996</v>
      </c>
      <c r="I17">
        <f>(AVERAGE(H17,H21,H25))/1000</f>
        <v>1.3344999999999999E-2</v>
      </c>
      <c r="J17">
        <v>21.63</v>
      </c>
      <c r="K17">
        <f>(AVERAGE(J17,J21,J25))/1000</f>
        <v>2.8129999999999999E-2</v>
      </c>
      <c r="L17">
        <v>18.18</v>
      </c>
      <c r="M17">
        <f>(AVERAGE(L17,L21,L25))/1000</f>
        <v>5.1729999999999998E-2</v>
      </c>
    </row>
    <row r="18" spans="1:13">
      <c r="A18" t="s">
        <v>10</v>
      </c>
      <c r="B18">
        <v>2023</v>
      </c>
      <c r="C18" t="s">
        <v>13</v>
      </c>
      <c r="D18">
        <v>13</v>
      </c>
      <c r="E18">
        <v>1.17</v>
      </c>
      <c r="F18">
        <v>4.4999999999999997E-3</v>
      </c>
      <c r="G18" t="s">
        <v>16</v>
      </c>
      <c r="H18">
        <v>16.170000000000002</v>
      </c>
      <c r="J18">
        <v>3.94</v>
      </c>
      <c r="L18">
        <v>42.88</v>
      </c>
    </row>
    <row r="19" spans="1:13">
      <c r="A19" t="s">
        <v>10</v>
      </c>
      <c r="B19">
        <v>2023</v>
      </c>
      <c r="C19" t="s">
        <v>18</v>
      </c>
      <c r="D19">
        <v>17</v>
      </c>
      <c r="E19">
        <v>1.17</v>
      </c>
      <c r="F19">
        <v>4.4999999999999997E-3</v>
      </c>
      <c r="G19" t="s">
        <v>16</v>
      </c>
      <c r="H19">
        <v>18.47</v>
      </c>
      <c r="J19">
        <v>7.04</v>
      </c>
      <c r="L19">
        <v>34.92</v>
      </c>
    </row>
    <row r="20" spans="1:13">
      <c r="A20" t="s">
        <v>10</v>
      </c>
      <c r="B20">
        <v>2023</v>
      </c>
      <c r="C20" t="s">
        <v>18</v>
      </c>
      <c r="D20">
        <v>21</v>
      </c>
      <c r="E20">
        <v>1.25</v>
      </c>
      <c r="F20">
        <v>4.4999999999999997E-3</v>
      </c>
      <c r="G20" t="s">
        <v>16</v>
      </c>
      <c r="H20">
        <v>16.28</v>
      </c>
      <c r="J20">
        <v>6.99</v>
      </c>
      <c r="L20">
        <v>29.76</v>
      </c>
    </row>
    <row r="21" spans="1:13">
      <c r="A21" t="s">
        <v>10</v>
      </c>
      <c r="B21">
        <v>2023</v>
      </c>
      <c r="C21" t="s">
        <v>14</v>
      </c>
      <c r="D21">
        <v>25</v>
      </c>
      <c r="E21">
        <v>0.76</v>
      </c>
      <c r="F21">
        <v>4.4999999999999997E-3</v>
      </c>
      <c r="G21" t="s">
        <v>16</v>
      </c>
      <c r="H21">
        <v>16.02</v>
      </c>
      <c r="J21">
        <v>28.66</v>
      </c>
      <c r="L21">
        <v>57.69</v>
      </c>
    </row>
    <row r="22" spans="1:13">
      <c r="A22" t="s">
        <v>10</v>
      </c>
      <c r="B22">
        <v>2023</v>
      </c>
      <c r="C22" t="s">
        <v>13</v>
      </c>
      <c r="D22">
        <v>13</v>
      </c>
      <c r="E22">
        <v>1.25</v>
      </c>
      <c r="F22">
        <v>4.4999999999999997E-3</v>
      </c>
      <c r="G22" t="s">
        <v>17</v>
      </c>
      <c r="H22">
        <v>20.76</v>
      </c>
      <c r="J22">
        <v>1.9450000000000001</v>
      </c>
      <c r="L22">
        <v>67.41</v>
      </c>
    </row>
    <row r="23" spans="1:13">
      <c r="A23" t="s">
        <v>10</v>
      </c>
      <c r="B23">
        <v>2023</v>
      </c>
      <c r="C23" t="s">
        <v>18</v>
      </c>
      <c r="D23">
        <v>17</v>
      </c>
      <c r="E23">
        <v>1.17</v>
      </c>
      <c r="F23">
        <v>4.4999999999999997E-3</v>
      </c>
      <c r="G23" t="s">
        <v>17</v>
      </c>
      <c r="H23">
        <v>22.87</v>
      </c>
      <c r="J23">
        <v>7.27</v>
      </c>
      <c r="L23">
        <v>44.65</v>
      </c>
    </row>
    <row r="24" spans="1:13">
      <c r="A24" t="s">
        <v>10</v>
      </c>
      <c r="B24">
        <v>2023</v>
      </c>
      <c r="C24" t="s">
        <v>18</v>
      </c>
      <c r="D24">
        <v>21</v>
      </c>
      <c r="E24">
        <v>1.17</v>
      </c>
      <c r="F24">
        <v>4.4999999999999997E-3</v>
      </c>
      <c r="G24" t="s">
        <v>17</v>
      </c>
      <c r="H24">
        <v>26.47</v>
      </c>
      <c r="J24">
        <v>10.57</v>
      </c>
      <c r="L24">
        <v>41.36</v>
      </c>
    </row>
    <row r="25" spans="1:13">
      <c r="A25" t="s">
        <v>10</v>
      </c>
      <c r="B25">
        <v>2023</v>
      </c>
      <c r="C25" t="s">
        <v>14</v>
      </c>
      <c r="D25">
        <v>25</v>
      </c>
      <c r="E25">
        <v>0.91</v>
      </c>
      <c r="F25">
        <v>4.4999999999999997E-3</v>
      </c>
      <c r="G25" t="s">
        <v>17</v>
      </c>
      <c r="H25">
        <v>18.87</v>
      </c>
      <c r="J25">
        <v>34.1</v>
      </c>
      <c r="L25">
        <v>79.319999999999993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Back</dc:creator>
  <cp:lastModifiedBy>Mike Back</cp:lastModifiedBy>
  <dcterms:created xsi:type="dcterms:W3CDTF">2024-03-04T18:29:51Z</dcterms:created>
  <dcterms:modified xsi:type="dcterms:W3CDTF">2024-03-04T19:26:22Z</dcterms:modified>
</cp:coreProperties>
</file>