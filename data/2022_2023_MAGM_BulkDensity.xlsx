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b\Documents\Kinsman-Costello Lab\Dissertation\MAGM nutrient flux manuscript\data\"/>
    </mc:Choice>
  </mc:AlternateContent>
  <xr:revisionPtr revIDLastSave="0" documentId="13_ncr:1_{94ED6D65-3408-4FE6-83AA-0FAAC3704656}" xr6:coauthVersionLast="47" xr6:coauthVersionMax="47" xr10:uidLastSave="{00000000-0000-0000-0000-000000000000}"/>
  <bookViews>
    <workbookView xWindow="-110" yWindow="-110" windowWidth="19420" windowHeight="10420" xr2:uid="{97CF3C72-262E-4C79-B0AE-6554FCB6E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</calcChain>
</file>

<file path=xl/sharedStrings.xml><?xml version="1.0" encoding="utf-8"?>
<sst xmlns="http://schemas.openxmlformats.org/spreadsheetml/2006/main" count="54" uniqueCount="54">
  <si>
    <t>sample_id</t>
  </si>
  <si>
    <t>sample_point</t>
  </si>
  <si>
    <t>tin_weight</t>
  </si>
  <si>
    <t>wet_weight</t>
  </si>
  <si>
    <t>dry_weight_tin_1</t>
  </si>
  <si>
    <t>dry_weight_tin_2</t>
  </si>
  <si>
    <t>date</t>
  </si>
  <si>
    <t>S02676</t>
  </si>
  <si>
    <t>S02681</t>
  </si>
  <si>
    <t>S02684</t>
  </si>
  <si>
    <t>S02678</t>
  </si>
  <si>
    <t>S02680</t>
  </si>
  <si>
    <t>S02675</t>
  </si>
  <si>
    <t>S02679</t>
  </si>
  <si>
    <t>S02685</t>
  </si>
  <si>
    <t>S02682</t>
  </si>
  <si>
    <t>S02677</t>
  </si>
  <si>
    <t>S02693</t>
  </si>
  <si>
    <t>S02689</t>
  </si>
  <si>
    <t>S02692</t>
  </si>
  <si>
    <t>S02690</t>
  </si>
  <si>
    <t>S02691</t>
  </si>
  <si>
    <t>S02674</t>
  </si>
  <si>
    <t>S02688</t>
  </si>
  <si>
    <t>S02687</t>
  </si>
  <si>
    <t>S02668</t>
  </si>
  <si>
    <t>S02670</t>
  </si>
  <si>
    <t>S02686</t>
  </si>
  <si>
    <t>S02669</t>
  </si>
  <si>
    <t>S02672</t>
  </si>
  <si>
    <t>S02671</t>
  </si>
  <si>
    <t>S02683</t>
  </si>
  <si>
    <t>W1</t>
  </si>
  <si>
    <t>W2</t>
  </si>
  <si>
    <t>E5</t>
  </si>
  <si>
    <t>E1</t>
  </si>
  <si>
    <t>E4</t>
  </si>
  <si>
    <t>E2</t>
  </si>
  <si>
    <t>E3</t>
  </si>
  <si>
    <t>W5</t>
  </si>
  <si>
    <t>W4</t>
  </si>
  <si>
    <t>W3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</si>
  <si>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</si>
  <si>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</si>
  <si>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</si>
  <si>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</si>
  <si>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</si>
  <si>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</si>
  <si>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</si>
  <si>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</si>
  <si>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</si>
  <si>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volume_cm3</t>
  </si>
  <si>
    <t>dw_g</t>
  </si>
  <si>
    <t>bulk_density_g_cm3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</si>
</sst>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07A2-E13C-4925-8883-53BF6927984B}">
  <dimension ref="A1:J35"/>
  <sheetViews>
    <sheetView tabSelected="1" workbookViewId="0">
      <selection activeCell="L16" sqref="L16"/>
    </sheetView>
  </sheetViews>
  <sheetFormatPr defaultRowHeight="14.5" x14ac:dyDescent="0.35"/>
  <sheetData>
    <row r="1" spans="1:10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52</v>
      </c>
      <c r="I1" t="s">
        <v>51</v>
      </c>
      <c r="J1" t="s">
        <v>53</v>
      </c>
    </row>
    <row r="2" spans="1:10" x14ac:dyDescent="0.35">
      <c r="A2">
        <v>20220929</v>
      </c>
      <c r="B2" t="s">
        <v>42</v>
      </c>
      <c r="C2">
        <v>1</v>
      </c>
      <c r="D2">
        <v>2.06</v>
      </c>
      <c r="E2">
        <v>37.049999999999997</v>
      </c>
      <c r="F2">
        <v>8.61</v>
      </c>
      <c r="G2">
        <v>8.6199999999999992</v>
      </c>
      <c r="H2">
        <f>G2-D2</f>
        <v>6.5599999999999987</v>
      </c>
      <c r="I2">
        <f>PI()*1.31*5</f>
        <v>20.577431881013144</v>
      </c>
      <c r="J2">
        <f>H2/I2</f>
        <v>0.31879585547567429</v>
      </c>
    </row>
    <row r="3" spans="1:10" x14ac:dyDescent="0.35">
      <c r="A3">
        <v>20220929</v>
      </c>
      <c r="B3" t="s">
        <v>43</v>
      </c>
      <c r="C3">
        <v>2</v>
      </c>
      <c r="D3">
        <v>2.15</v>
      </c>
      <c r="E3">
        <v>40.270000000000003</v>
      </c>
      <c r="F3">
        <v>3.74</v>
      </c>
      <c r="G3">
        <v>13.74</v>
      </c>
      <c r="H3">
        <f t="shared" ref="H3:H35" si="0">G3-D3</f>
        <v>11.59</v>
      </c>
      <c r="I3">
        <f t="shared" ref="I3:I35" si="1">PI()*1.31*5</f>
        <v>20.577431881013144</v>
      </c>
      <c r="J3">
        <f t="shared" ref="J3:J35" si="2">H3/I3</f>
        <v>0.56323840929315028</v>
      </c>
    </row>
    <row r="4" spans="1:10" x14ac:dyDescent="0.35">
      <c r="A4">
        <v>20220929</v>
      </c>
      <c r="B4" t="s">
        <v>44</v>
      </c>
      <c r="C4">
        <v>3</v>
      </c>
      <c r="D4">
        <v>2.15</v>
      </c>
      <c r="E4">
        <v>7.16</v>
      </c>
      <c r="F4">
        <v>25.99</v>
      </c>
      <c r="G4">
        <v>25.99</v>
      </c>
      <c r="H4">
        <f t="shared" si="0"/>
        <v>23.84</v>
      </c>
      <c r="I4">
        <f t="shared" si="1"/>
        <v>20.577431881013144</v>
      </c>
      <c r="J4">
        <f t="shared" si="2"/>
        <v>1.1585507918506215</v>
      </c>
    </row>
    <row r="5" spans="1:10" x14ac:dyDescent="0.35">
      <c r="A5">
        <v>20220929</v>
      </c>
      <c r="B5" t="s">
        <v>45</v>
      </c>
      <c r="C5">
        <v>4</v>
      </c>
      <c r="D5">
        <v>2.21</v>
      </c>
      <c r="E5">
        <v>47.84</v>
      </c>
      <c r="F5">
        <v>34.19</v>
      </c>
      <c r="G5">
        <v>34.22</v>
      </c>
      <c r="H5">
        <f t="shared" si="0"/>
        <v>32.01</v>
      </c>
      <c r="I5">
        <f t="shared" si="1"/>
        <v>20.577431881013144</v>
      </c>
      <c r="J5">
        <f t="shared" si="2"/>
        <v>1.5555877033195633</v>
      </c>
    </row>
    <row r="6" spans="1:10" x14ac:dyDescent="0.35">
      <c r="A6">
        <v>20220929</v>
      </c>
      <c r="B6" t="s">
        <v>46</v>
      </c>
      <c r="C6">
        <v>5</v>
      </c>
      <c r="D6">
        <v>2.17</v>
      </c>
      <c r="E6">
        <v>41.78</v>
      </c>
      <c r="F6">
        <v>20.170000000000002</v>
      </c>
      <c r="G6">
        <v>20.16</v>
      </c>
      <c r="H6">
        <f t="shared" si="0"/>
        <v>17.990000000000002</v>
      </c>
      <c r="I6">
        <f t="shared" si="1"/>
        <v>20.577431881013144</v>
      </c>
      <c r="J6">
        <f t="shared" si="2"/>
        <v>0.87425875609868631</v>
      </c>
    </row>
    <row r="7" spans="1:10" x14ac:dyDescent="0.35">
      <c r="A7">
        <v>20220929</v>
      </c>
      <c r="B7" t="s">
        <v>47</v>
      </c>
      <c r="C7">
        <v>6</v>
      </c>
      <c r="D7">
        <v>2.19</v>
      </c>
      <c r="E7">
        <v>31.69</v>
      </c>
      <c r="F7">
        <v>12.95</v>
      </c>
      <c r="G7">
        <v>12.95</v>
      </c>
      <c r="H7">
        <f t="shared" si="0"/>
        <v>10.76</v>
      </c>
      <c r="I7">
        <f t="shared" si="1"/>
        <v>20.577431881013144</v>
      </c>
      <c r="J7">
        <f t="shared" si="2"/>
        <v>0.52290295806680731</v>
      </c>
    </row>
    <row r="8" spans="1:10" x14ac:dyDescent="0.35">
      <c r="A8">
        <v>20220929</v>
      </c>
      <c r="B8" t="s">
        <v>48</v>
      </c>
      <c r="C8">
        <v>7</v>
      </c>
      <c r="D8">
        <v>2.17</v>
      </c>
      <c r="E8">
        <v>42.32</v>
      </c>
      <c r="F8">
        <v>23.4</v>
      </c>
      <c r="G8">
        <v>23.46</v>
      </c>
      <c r="H8">
        <f t="shared" si="0"/>
        <v>21.29</v>
      </c>
      <c r="I8">
        <f t="shared" si="1"/>
        <v>20.577431881013144</v>
      </c>
      <c r="J8">
        <f t="shared" si="2"/>
        <v>1.0346286224202907</v>
      </c>
    </row>
    <row r="9" spans="1:10" x14ac:dyDescent="0.35">
      <c r="A9">
        <v>20220929</v>
      </c>
      <c r="B9" t="s">
        <v>49</v>
      </c>
      <c r="C9">
        <v>8</v>
      </c>
      <c r="D9">
        <v>2.02</v>
      </c>
      <c r="E9">
        <v>38.18</v>
      </c>
      <c r="F9">
        <v>14.83</v>
      </c>
      <c r="G9">
        <v>14.82</v>
      </c>
      <c r="H9">
        <f t="shared" si="0"/>
        <v>12.8</v>
      </c>
      <c r="I9">
        <f t="shared" si="1"/>
        <v>20.577431881013144</v>
      </c>
      <c r="J9">
        <f t="shared" si="2"/>
        <v>0.62204069361107195</v>
      </c>
    </row>
    <row r="10" spans="1:10" x14ac:dyDescent="0.35">
      <c r="A10">
        <v>20220929</v>
      </c>
      <c r="B10" t="s">
        <v>50</v>
      </c>
      <c r="C10">
        <v>9</v>
      </c>
      <c r="D10">
        <v>2.0299999999999998</v>
      </c>
      <c r="E10">
        <v>42.2</v>
      </c>
      <c r="F10">
        <v>25.62</v>
      </c>
      <c r="G10">
        <v>25.6</v>
      </c>
      <c r="H10">
        <f t="shared" si="0"/>
        <v>23.57</v>
      </c>
      <c r="I10">
        <f t="shared" si="1"/>
        <v>20.577431881013144</v>
      </c>
      <c r="J10">
        <f t="shared" si="2"/>
        <v>1.145429620969763</v>
      </c>
    </row>
    <row r="11" spans="1:10" x14ac:dyDescent="0.35">
      <c r="A11">
        <v>20231010</v>
      </c>
      <c r="B11" t="s">
        <v>25</v>
      </c>
      <c r="C11">
        <v>1</v>
      </c>
      <c r="D11">
        <v>2.1800000000000002</v>
      </c>
      <c r="E11">
        <v>32.229999999999997</v>
      </c>
      <c r="F11">
        <v>8.01</v>
      </c>
      <c r="G11">
        <v>8.0299999999999994</v>
      </c>
      <c r="H11">
        <f t="shared" si="0"/>
        <v>5.85</v>
      </c>
      <c r="I11">
        <f t="shared" si="1"/>
        <v>20.577431881013144</v>
      </c>
      <c r="J11">
        <f t="shared" si="2"/>
        <v>0.28429203575193518</v>
      </c>
    </row>
    <row r="12" spans="1:10" x14ac:dyDescent="0.35">
      <c r="A12">
        <v>20231010</v>
      </c>
      <c r="B12" t="s">
        <v>28</v>
      </c>
      <c r="C12">
        <v>2</v>
      </c>
      <c r="D12">
        <v>2.2000000000000002</v>
      </c>
      <c r="E12">
        <v>30.98</v>
      </c>
      <c r="F12">
        <v>8.09</v>
      </c>
      <c r="G12">
        <v>8.06</v>
      </c>
      <c r="H12">
        <f t="shared" si="0"/>
        <v>5.86</v>
      </c>
      <c r="I12">
        <f t="shared" si="1"/>
        <v>20.577431881013144</v>
      </c>
      <c r="J12">
        <f t="shared" si="2"/>
        <v>0.28477800504381889</v>
      </c>
    </row>
    <row r="13" spans="1:10" x14ac:dyDescent="0.35">
      <c r="A13">
        <v>20231010</v>
      </c>
      <c r="B13" t="s">
        <v>26</v>
      </c>
      <c r="C13">
        <v>3</v>
      </c>
      <c r="D13">
        <v>2.2400000000000002</v>
      </c>
      <c r="E13">
        <v>30.33</v>
      </c>
      <c r="F13">
        <v>10.68</v>
      </c>
      <c r="G13">
        <v>10.64</v>
      </c>
      <c r="H13">
        <f t="shared" si="0"/>
        <v>8.4</v>
      </c>
      <c r="I13">
        <f t="shared" si="1"/>
        <v>20.577431881013144</v>
      </c>
      <c r="J13">
        <f t="shared" si="2"/>
        <v>0.40821420518226598</v>
      </c>
    </row>
    <row r="14" spans="1:10" x14ac:dyDescent="0.35">
      <c r="A14">
        <v>20231010</v>
      </c>
      <c r="B14" t="s">
        <v>30</v>
      </c>
      <c r="C14">
        <v>4</v>
      </c>
      <c r="D14">
        <v>2.1800000000000002</v>
      </c>
      <c r="E14">
        <v>38.299999999999997</v>
      </c>
      <c r="F14">
        <v>19.48</v>
      </c>
      <c r="G14">
        <v>19.47</v>
      </c>
      <c r="H14">
        <f t="shared" si="0"/>
        <v>17.29</v>
      </c>
      <c r="I14">
        <f t="shared" si="1"/>
        <v>20.577431881013144</v>
      </c>
      <c r="J14">
        <f t="shared" si="2"/>
        <v>0.84024090566683063</v>
      </c>
    </row>
    <row r="15" spans="1:10" x14ac:dyDescent="0.35">
      <c r="A15">
        <v>20231010</v>
      </c>
      <c r="B15" t="s">
        <v>29</v>
      </c>
      <c r="C15">
        <v>5</v>
      </c>
      <c r="D15">
        <v>2.2599999999999998</v>
      </c>
      <c r="E15">
        <v>37.04</v>
      </c>
      <c r="F15">
        <v>18.510000000000002</v>
      </c>
      <c r="G15">
        <v>18.52</v>
      </c>
      <c r="H15">
        <f t="shared" si="0"/>
        <v>16.259999999999998</v>
      </c>
      <c r="I15">
        <f t="shared" si="1"/>
        <v>20.577431881013144</v>
      </c>
      <c r="J15">
        <f t="shared" si="2"/>
        <v>0.79018606860281471</v>
      </c>
    </row>
    <row r="16" spans="1:10" x14ac:dyDescent="0.35">
      <c r="A16">
        <v>20231010</v>
      </c>
      <c r="B16" t="s">
        <v>22</v>
      </c>
      <c r="C16">
        <v>7</v>
      </c>
      <c r="D16">
        <v>2.2200000000000002</v>
      </c>
      <c r="E16">
        <v>34.74</v>
      </c>
      <c r="F16">
        <v>10.96</v>
      </c>
      <c r="G16">
        <v>10.98</v>
      </c>
      <c r="H16">
        <f t="shared" si="0"/>
        <v>8.76</v>
      </c>
      <c r="I16">
        <f t="shared" si="1"/>
        <v>20.577431881013144</v>
      </c>
      <c r="J16">
        <f t="shared" si="2"/>
        <v>0.42570909969007731</v>
      </c>
    </row>
    <row r="17" spans="1:10" x14ac:dyDescent="0.35">
      <c r="A17">
        <v>20231010</v>
      </c>
      <c r="B17" t="s">
        <v>12</v>
      </c>
      <c r="C17">
        <v>8</v>
      </c>
      <c r="D17">
        <v>2.2599999999999998</v>
      </c>
      <c r="E17">
        <v>36.44</v>
      </c>
      <c r="F17">
        <v>10.53</v>
      </c>
      <c r="G17">
        <v>10.53</v>
      </c>
      <c r="H17">
        <f t="shared" si="0"/>
        <v>8.27</v>
      </c>
      <c r="I17">
        <f t="shared" si="1"/>
        <v>20.577431881013144</v>
      </c>
      <c r="J17">
        <f t="shared" si="2"/>
        <v>0.40189660438777847</v>
      </c>
    </row>
    <row r="18" spans="1:10" x14ac:dyDescent="0.35">
      <c r="A18">
        <v>20231010</v>
      </c>
      <c r="B18" t="s">
        <v>7</v>
      </c>
      <c r="C18">
        <v>9</v>
      </c>
      <c r="D18">
        <v>2.21</v>
      </c>
      <c r="E18">
        <v>35.85</v>
      </c>
      <c r="F18">
        <v>11.07</v>
      </c>
      <c r="G18">
        <v>11.08</v>
      </c>
      <c r="H18">
        <f t="shared" si="0"/>
        <v>8.870000000000001</v>
      </c>
      <c r="I18">
        <f t="shared" si="1"/>
        <v>20.577431881013144</v>
      </c>
      <c r="J18">
        <f t="shared" si="2"/>
        <v>0.4310547619007975</v>
      </c>
    </row>
    <row r="19" spans="1:10" x14ac:dyDescent="0.35">
      <c r="A19">
        <v>20231010</v>
      </c>
      <c r="B19" t="s">
        <v>16</v>
      </c>
      <c r="C19">
        <v>10</v>
      </c>
      <c r="D19">
        <v>2.14</v>
      </c>
      <c r="E19">
        <v>38.39</v>
      </c>
      <c r="F19">
        <v>9.3699999999999992</v>
      </c>
      <c r="G19">
        <v>9.3800000000000008</v>
      </c>
      <c r="H19">
        <f t="shared" si="0"/>
        <v>7.24</v>
      </c>
      <c r="I19">
        <f t="shared" si="1"/>
        <v>20.577431881013144</v>
      </c>
      <c r="J19">
        <f t="shared" si="2"/>
        <v>0.35184176732376254</v>
      </c>
    </row>
    <row r="20" spans="1:10" x14ac:dyDescent="0.35">
      <c r="A20">
        <v>20231010</v>
      </c>
      <c r="B20" t="s">
        <v>10</v>
      </c>
      <c r="C20">
        <v>11</v>
      </c>
      <c r="D20">
        <v>2.2000000000000002</v>
      </c>
      <c r="E20">
        <v>29.54</v>
      </c>
      <c r="F20">
        <v>10.54</v>
      </c>
      <c r="G20">
        <v>10.54</v>
      </c>
      <c r="H20">
        <f t="shared" si="0"/>
        <v>8.34</v>
      </c>
      <c r="I20">
        <f t="shared" si="1"/>
        <v>20.577431881013144</v>
      </c>
      <c r="J20">
        <f t="shared" si="2"/>
        <v>0.40529838943096402</v>
      </c>
    </row>
    <row r="21" spans="1:10" x14ac:dyDescent="0.35">
      <c r="A21">
        <v>20231010</v>
      </c>
      <c r="B21" t="s">
        <v>13</v>
      </c>
      <c r="C21">
        <v>12</v>
      </c>
      <c r="D21">
        <v>2.2400000000000002</v>
      </c>
      <c r="E21">
        <v>34.36</v>
      </c>
      <c r="F21">
        <v>7.54</v>
      </c>
      <c r="G21">
        <v>7.52</v>
      </c>
      <c r="H21">
        <f t="shared" si="0"/>
        <v>5.2799999999999994</v>
      </c>
      <c r="I21">
        <f t="shared" si="1"/>
        <v>20.577431881013144</v>
      </c>
      <c r="J21">
        <f t="shared" si="2"/>
        <v>0.25659178611456712</v>
      </c>
    </row>
    <row r="22" spans="1:10" x14ac:dyDescent="0.35">
      <c r="A22">
        <v>20231010</v>
      </c>
      <c r="B22" t="s">
        <v>11</v>
      </c>
      <c r="C22">
        <v>13</v>
      </c>
      <c r="D22">
        <v>2.15</v>
      </c>
      <c r="E22">
        <v>36.9</v>
      </c>
      <c r="F22">
        <v>13.61</v>
      </c>
      <c r="G22">
        <v>13.61</v>
      </c>
      <c r="H22">
        <f t="shared" si="0"/>
        <v>11.459999999999999</v>
      </c>
      <c r="I22">
        <f t="shared" si="1"/>
        <v>20.577431881013144</v>
      </c>
      <c r="J22">
        <f t="shared" si="2"/>
        <v>0.55692080849866277</v>
      </c>
    </row>
    <row r="23" spans="1:10" x14ac:dyDescent="0.35">
      <c r="A23">
        <v>20231010</v>
      </c>
      <c r="B23" t="s">
        <v>8</v>
      </c>
      <c r="C23">
        <v>14</v>
      </c>
      <c r="D23">
        <v>2.16</v>
      </c>
      <c r="E23">
        <v>36.25</v>
      </c>
      <c r="F23">
        <v>13.42</v>
      </c>
      <c r="G23">
        <v>13.44</v>
      </c>
      <c r="H23">
        <f t="shared" si="0"/>
        <v>11.28</v>
      </c>
      <c r="I23">
        <f t="shared" si="1"/>
        <v>20.577431881013144</v>
      </c>
      <c r="J23">
        <f t="shared" si="2"/>
        <v>0.54817336124475713</v>
      </c>
    </row>
    <row r="24" spans="1:10" x14ac:dyDescent="0.35">
      <c r="A24">
        <v>20231010</v>
      </c>
      <c r="B24" t="s">
        <v>15</v>
      </c>
      <c r="C24">
        <v>15</v>
      </c>
      <c r="D24">
        <v>2.23</v>
      </c>
      <c r="E24">
        <v>37.409999999999997</v>
      </c>
      <c r="F24">
        <v>14.06</v>
      </c>
      <c r="G24">
        <v>14.08</v>
      </c>
      <c r="H24">
        <f t="shared" si="0"/>
        <v>11.85</v>
      </c>
      <c r="I24">
        <f t="shared" si="1"/>
        <v>20.577431881013144</v>
      </c>
      <c r="J24">
        <f t="shared" si="2"/>
        <v>0.57587361088212519</v>
      </c>
    </row>
    <row r="25" spans="1:10" x14ac:dyDescent="0.35">
      <c r="A25">
        <v>20231010</v>
      </c>
      <c r="B25" t="s">
        <v>31</v>
      </c>
      <c r="C25">
        <v>16</v>
      </c>
      <c r="D25">
        <v>2.2000000000000002</v>
      </c>
      <c r="E25">
        <v>42.88</v>
      </c>
      <c r="F25">
        <v>22.33</v>
      </c>
      <c r="G25">
        <v>22.28</v>
      </c>
      <c r="H25">
        <f t="shared" si="0"/>
        <v>20.080000000000002</v>
      </c>
      <c r="I25">
        <f t="shared" si="1"/>
        <v>20.577431881013144</v>
      </c>
      <c r="J25">
        <f t="shared" si="2"/>
        <v>0.97582633810236918</v>
      </c>
    </row>
    <row r="26" spans="1:10" x14ac:dyDescent="0.35">
      <c r="A26">
        <v>20231010</v>
      </c>
      <c r="B26" t="s">
        <v>18</v>
      </c>
      <c r="C26" t="s">
        <v>35</v>
      </c>
      <c r="D26">
        <v>2.2000000000000002</v>
      </c>
      <c r="E26">
        <v>37.520000000000003</v>
      </c>
      <c r="F26">
        <v>18.12</v>
      </c>
      <c r="G26">
        <v>18.12</v>
      </c>
      <c r="H26">
        <f t="shared" si="0"/>
        <v>15.920000000000002</v>
      </c>
      <c r="I26">
        <f t="shared" si="1"/>
        <v>20.577431881013144</v>
      </c>
      <c r="J26">
        <f t="shared" si="2"/>
        <v>0.77366311267877075</v>
      </c>
    </row>
    <row r="27" spans="1:10" x14ac:dyDescent="0.35">
      <c r="A27">
        <v>20231010</v>
      </c>
      <c r="B27" t="s">
        <v>20</v>
      </c>
      <c r="C27" t="s">
        <v>37</v>
      </c>
      <c r="D27">
        <v>2.2200000000000002</v>
      </c>
      <c r="E27">
        <v>37.6</v>
      </c>
      <c r="F27">
        <v>9.9700000000000006</v>
      </c>
      <c r="G27">
        <v>9.9600000000000009</v>
      </c>
      <c r="H27">
        <f t="shared" si="0"/>
        <v>7.74</v>
      </c>
      <c r="I27">
        <f t="shared" si="1"/>
        <v>20.577431881013144</v>
      </c>
      <c r="J27">
        <f t="shared" si="2"/>
        <v>0.37614023191794504</v>
      </c>
    </row>
    <row r="28" spans="1:10" x14ac:dyDescent="0.35">
      <c r="A28">
        <v>20231010</v>
      </c>
      <c r="B28" t="s">
        <v>21</v>
      </c>
      <c r="C28" t="s">
        <v>38</v>
      </c>
      <c r="D28">
        <v>2.21</v>
      </c>
      <c r="E28">
        <v>32.08</v>
      </c>
      <c r="F28">
        <v>11.84</v>
      </c>
      <c r="G28">
        <v>11.87</v>
      </c>
      <c r="H28">
        <f t="shared" si="0"/>
        <v>9.66</v>
      </c>
      <c r="I28">
        <f t="shared" si="1"/>
        <v>20.577431881013144</v>
      </c>
      <c r="J28">
        <f t="shared" si="2"/>
        <v>0.46944633595960583</v>
      </c>
    </row>
    <row r="29" spans="1:10" x14ac:dyDescent="0.35">
      <c r="A29">
        <v>20231010</v>
      </c>
      <c r="B29" t="s">
        <v>19</v>
      </c>
      <c r="C29" t="s">
        <v>36</v>
      </c>
      <c r="D29">
        <v>2.19</v>
      </c>
      <c r="E29">
        <v>38.270000000000003</v>
      </c>
      <c r="F29">
        <v>12.91</v>
      </c>
      <c r="G29">
        <v>12.89</v>
      </c>
      <c r="H29">
        <f t="shared" si="0"/>
        <v>10.700000000000001</v>
      </c>
      <c r="I29">
        <f t="shared" si="1"/>
        <v>20.577431881013144</v>
      </c>
      <c r="J29">
        <f t="shared" si="2"/>
        <v>0.51998714231550547</v>
      </c>
    </row>
    <row r="30" spans="1:10" x14ac:dyDescent="0.35">
      <c r="A30">
        <v>20231010</v>
      </c>
      <c r="B30" t="s">
        <v>17</v>
      </c>
      <c r="C30" t="s">
        <v>34</v>
      </c>
      <c r="D30">
        <v>2.23</v>
      </c>
      <c r="E30">
        <v>30.76</v>
      </c>
      <c r="F30">
        <v>10.23</v>
      </c>
      <c r="G30">
        <v>10.220000000000001</v>
      </c>
      <c r="H30">
        <f t="shared" si="0"/>
        <v>7.99</v>
      </c>
      <c r="I30">
        <f t="shared" si="1"/>
        <v>20.577431881013144</v>
      </c>
      <c r="J30">
        <f t="shared" si="2"/>
        <v>0.3882894642150363</v>
      </c>
    </row>
    <row r="31" spans="1:10" x14ac:dyDescent="0.35">
      <c r="A31">
        <v>20231010</v>
      </c>
      <c r="B31" t="s">
        <v>9</v>
      </c>
      <c r="C31" t="s">
        <v>32</v>
      </c>
      <c r="D31">
        <v>2.19</v>
      </c>
      <c r="E31">
        <v>38.49</v>
      </c>
      <c r="F31">
        <v>13.42</v>
      </c>
      <c r="G31">
        <v>13.44</v>
      </c>
      <c r="H31">
        <f t="shared" si="0"/>
        <v>11.25</v>
      </c>
      <c r="I31">
        <f t="shared" si="1"/>
        <v>20.577431881013144</v>
      </c>
      <c r="J31">
        <f t="shared" si="2"/>
        <v>0.54671545336910621</v>
      </c>
    </row>
    <row r="32" spans="1:10" x14ac:dyDescent="0.35">
      <c r="A32">
        <v>20231010</v>
      </c>
      <c r="B32" t="s">
        <v>14</v>
      </c>
      <c r="C32" t="s">
        <v>33</v>
      </c>
      <c r="D32">
        <v>2.29</v>
      </c>
      <c r="E32">
        <v>34.46</v>
      </c>
      <c r="F32">
        <v>10.44</v>
      </c>
      <c r="G32">
        <v>10.44</v>
      </c>
      <c r="H32">
        <f t="shared" si="0"/>
        <v>8.1499999999999986</v>
      </c>
      <c r="I32">
        <f t="shared" si="1"/>
        <v>20.577431881013144</v>
      </c>
      <c r="J32">
        <f t="shared" si="2"/>
        <v>0.39606497288517462</v>
      </c>
    </row>
    <row r="33" spans="1:10" x14ac:dyDescent="0.35">
      <c r="A33">
        <v>20231010</v>
      </c>
      <c r="B33" t="s">
        <v>27</v>
      </c>
      <c r="C33" t="s">
        <v>41</v>
      </c>
      <c r="D33">
        <v>2.21</v>
      </c>
      <c r="E33">
        <v>38.65</v>
      </c>
      <c r="F33">
        <v>10.93</v>
      </c>
      <c r="G33">
        <v>10.92</v>
      </c>
      <c r="H33">
        <f t="shared" si="0"/>
        <v>8.7100000000000009</v>
      </c>
      <c r="I33">
        <f t="shared" si="1"/>
        <v>20.577431881013144</v>
      </c>
      <c r="J33">
        <f t="shared" si="2"/>
        <v>0.42327925323065912</v>
      </c>
    </row>
    <row r="34" spans="1:10" x14ac:dyDescent="0.35">
      <c r="A34">
        <v>20231010</v>
      </c>
      <c r="B34" t="s">
        <v>24</v>
      </c>
      <c r="C34" t="s">
        <v>40</v>
      </c>
      <c r="D34">
        <v>2.13</v>
      </c>
      <c r="E34">
        <v>33.25</v>
      </c>
      <c r="F34">
        <v>12.7</v>
      </c>
      <c r="G34">
        <v>12.69</v>
      </c>
      <c r="H34">
        <f t="shared" si="0"/>
        <v>10.559999999999999</v>
      </c>
      <c r="I34">
        <f t="shared" si="1"/>
        <v>20.577431881013144</v>
      </c>
      <c r="J34">
        <f t="shared" si="2"/>
        <v>0.51318357222913424</v>
      </c>
    </row>
    <row r="35" spans="1:10" x14ac:dyDescent="0.35">
      <c r="A35">
        <v>20231010</v>
      </c>
      <c r="B35" t="s">
        <v>23</v>
      </c>
      <c r="C35" t="s">
        <v>39</v>
      </c>
      <c r="D35">
        <v>2.23</v>
      </c>
      <c r="E35">
        <v>36.97</v>
      </c>
      <c r="F35">
        <v>15.15</v>
      </c>
      <c r="G35">
        <v>15.18</v>
      </c>
      <c r="H35">
        <f t="shared" si="0"/>
        <v>12.95</v>
      </c>
      <c r="I35">
        <f t="shared" si="1"/>
        <v>20.577431881013144</v>
      </c>
      <c r="J35">
        <f t="shared" si="2"/>
        <v>0.62933023298932667</v>
      </c>
    </row>
  </sheetData>
  <sortState xmlns:xlrd2="http://schemas.microsoft.com/office/spreadsheetml/2017/richdata2" ref="A2:G37">
    <sortCondition ref="A1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Watson</dc:creator>
  <cp:lastModifiedBy>Mike Back</cp:lastModifiedBy>
  <dcterms:created xsi:type="dcterms:W3CDTF">2024-01-29T17:26:46Z</dcterms:created>
  <dcterms:modified xsi:type="dcterms:W3CDTF">2024-01-29T21:03:42Z</dcterms:modified>
</cp:coreProperties>
</file>